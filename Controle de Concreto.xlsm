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lanejamento02\Dropbox\CIDADE JARDIM\3. CONTROLE DE MATERIAIS\5. Concreto\"/>
    </mc:Choice>
  </mc:AlternateContent>
  <xr:revisionPtr revIDLastSave="0" documentId="13_ncr:1_{847BD366-0F07-48F9-B418-61CDF813C510}" xr6:coauthVersionLast="47" xr6:coauthVersionMax="47" xr10:uidLastSave="{00000000-0000-0000-0000-000000000000}"/>
  <workbookProtection workbookAlgorithmName="SHA-512" workbookHashValue="IQ1i64ZyAVtUUKSdJcPINW9qHoJcDFge6tzORee5mLCUvsYS5/qycjmOkFc5QW9OKzNGg9SWpx/xCh4vhvd/XQ==" workbookSaltValue="kRRbTbLl15Lz9PLYvgqvnA==" workbookSpinCount="100000" lockStructure="1"/>
  <bookViews>
    <workbookView xWindow="-120" yWindow="-120" windowWidth="20730" windowHeight="11160" xr2:uid="{874D24B3-2858-472D-87A7-1F065EA1478A}"/>
  </bookViews>
  <sheets>
    <sheet name="Aviso" sheetId="6" r:id="rId1"/>
    <sheet name="recebConcreto" sheetId="4" state="hidden" r:id="rId2"/>
    <sheet name="consConcreto" sheetId="1" state="hidden" r:id="rId3"/>
    <sheet name="resisConcreto" sheetId="5" state="hidden" r:id="rId4"/>
    <sheet name="validConcreto" sheetId="2" state="hidden" r:id="rId5"/>
    <sheet name="validEndereços" sheetId="11" state="hidden" r:id="rId6"/>
    <sheet name="validUser" sheetId="10" state="hidden" r:id="rId7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6" i="5"/>
  <c r="B5" i="5"/>
  <c r="B4" i="5"/>
  <c r="B3" i="5"/>
  <c r="A50" i="1"/>
  <c r="A95" i="1"/>
  <c r="A142" i="1"/>
  <c r="A187" i="1"/>
  <c r="A235" i="1"/>
  <c r="A281" i="1"/>
  <c r="A329" i="1"/>
  <c r="A3" i="1"/>
  <c r="A49" i="1"/>
  <c r="A94" i="1"/>
  <c r="A141" i="1"/>
  <c r="A186" i="1"/>
  <c r="A233" i="1"/>
  <c r="A327" i="1"/>
  <c r="A279" i="1"/>
  <c r="A234" i="1"/>
  <c r="A280" i="1"/>
  <c r="A328" i="1"/>
  <c r="A93" i="1"/>
  <c r="A140" i="1"/>
  <c r="A185" i="1"/>
  <c r="A2" i="1"/>
  <c r="A48" i="1"/>
  <c r="A7" i="1"/>
  <c r="A53" i="1"/>
  <c r="A238" i="1"/>
  <c r="A825" i="1"/>
  <c r="A332" i="1"/>
  <c r="A417" i="1"/>
  <c r="A501" i="1"/>
  <c r="A728" i="1"/>
  <c r="A801" i="1"/>
  <c r="A873" i="1"/>
  <c r="A98" i="1"/>
  <c r="A145" i="1"/>
  <c r="A189" i="1"/>
  <c r="A283" i="1"/>
  <c r="A374" i="1"/>
  <c r="A458" i="1"/>
  <c r="A586" i="1"/>
  <c r="A663" i="1"/>
  <c r="A848" i="1"/>
  <c r="A543" i="1"/>
  <c r="A628" i="1"/>
  <c r="A695" i="1"/>
  <c r="A752" i="1"/>
  <c r="A778" i="1"/>
  <c r="A5" i="1"/>
  <c r="A51" i="1"/>
  <c r="A96" i="1"/>
  <c r="A143" i="1"/>
  <c r="A236" i="1"/>
  <c r="A188" i="1"/>
  <c r="A282" i="1"/>
  <c r="A372" i="1"/>
  <c r="A456" i="1"/>
  <c r="A541" i="1"/>
  <c r="A626" i="1"/>
  <c r="A693" i="1"/>
  <c r="A750" i="1"/>
  <c r="A776" i="1"/>
  <c r="A871" i="1"/>
  <c r="A726" i="1"/>
  <c r="A661" i="1"/>
  <c r="A584" i="1"/>
  <c r="A846" i="1"/>
  <c r="A499" i="1"/>
  <c r="A415" i="1"/>
  <c r="A824" i="1"/>
  <c r="A330" i="1"/>
  <c r="A799" i="1"/>
  <c r="A6" i="1"/>
  <c r="A237" i="1"/>
  <c r="A331" i="1"/>
  <c r="A416" i="1"/>
  <c r="A627" i="1"/>
  <c r="A694" i="1"/>
  <c r="A751" i="1"/>
  <c r="A190" i="1"/>
  <c r="A284" i="1"/>
  <c r="A500" i="1"/>
  <c r="A585" i="1"/>
  <c r="A662" i="1"/>
  <c r="A52" i="1"/>
  <c r="A97" i="1"/>
  <c r="A144" i="1"/>
  <c r="A373" i="1"/>
  <c r="A457" i="1"/>
  <c r="A542" i="1"/>
  <c r="A727" i="1"/>
  <c r="A777" i="1"/>
  <c r="A800" i="1"/>
  <c r="A847" i="1"/>
  <c r="A872" i="1"/>
  <c r="A9" i="1"/>
  <c r="A994" i="1"/>
  <c r="A334" i="1"/>
  <c r="A419" i="1"/>
  <c r="A588" i="1"/>
  <c r="A666" i="1"/>
  <c r="A731" i="1"/>
  <c r="A781" i="1"/>
  <c r="A827" i="1"/>
  <c r="A875" i="1"/>
  <c r="A915" i="1"/>
  <c r="A503" i="1"/>
  <c r="A55" i="1"/>
  <c r="A100" i="1"/>
  <c r="A147" i="1"/>
  <c r="A193" i="1"/>
  <c r="A287" i="1"/>
  <c r="A376" i="1"/>
  <c r="A460" i="1"/>
  <c r="A545" i="1"/>
  <c r="A630" i="1"/>
  <c r="A240" i="1"/>
  <c r="A755" i="1"/>
  <c r="A698" i="1"/>
  <c r="A804" i="1"/>
  <c r="A851" i="1"/>
  <c r="A896" i="1"/>
  <c r="A936" i="1"/>
  <c r="A958" i="1"/>
  <c r="A976" i="1"/>
  <c r="A8" i="1"/>
  <c r="A992" i="1"/>
  <c r="A54" i="1"/>
  <c r="A974" i="1"/>
  <c r="A99" i="1"/>
  <c r="A239" i="1"/>
  <c r="A956" i="1"/>
  <c r="A333" i="1"/>
  <c r="A934" i="1"/>
  <c r="A418" i="1"/>
  <c r="A502" i="1"/>
  <c r="A587" i="1"/>
  <c r="A664" i="1"/>
  <c r="A729" i="1"/>
  <c r="A779" i="1"/>
  <c r="A826" i="1"/>
  <c r="A874" i="1"/>
  <c r="A914" i="1"/>
  <c r="A894" i="1"/>
  <c r="A849" i="1"/>
  <c r="A802" i="1"/>
  <c r="A753" i="1"/>
  <c r="A696" i="1"/>
  <c r="A629" i="1"/>
  <c r="A544" i="1"/>
  <c r="A459" i="1"/>
  <c r="A375" i="1"/>
  <c r="A285" i="1"/>
  <c r="A191" i="1"/>
  <c r="A146" i="1"/>
  <c r="A241" i="1"/>
  <c r="A335" i="1"/>
  <c r="A420" i="1"/>
  <c r="A504" i="1"/>
  <c r="A589" i="1"/>
  <c r="A828" i="1"/>
  <c r="A876" i="1"/>
  <c r="A916" i="1"/>
  <c r="A895" i="1"/>
  <c r="A935" i="1"/>
  <c r="A957" i="1"/>
  <c r="A975" i="1"/>
  <c r="A993" i="1"/>
  <c r="A665" i="1"/>
  <c r="A730" i="1"/>
  <c r="A754" i="1"/>
  <c r="A780" i="1"/>
  <c r="A803" i="1"/>
  <c r="A850" i="1"/>
  <c r="A697" i="1"/>
  <c r="A192" i="1"/>
  <c r="A286" i="1"/>
  <c r="A11" i="1"/>
  <c r="A57" i="1"/>
  <c r="A102" i="1"/>
  <c r="A149" i="1"/>
  <c r="A195" i="1"/>
  <c r="A243" i="1"/>
  <c r="A337" i="1"/>
  <c r="A422" i="1"/>
  <c r="A506" i="1"/>
  <c r="A591" i="1"/>
  <c r="A289" i="1"/>
  <c r="A378" i="1"/>
  <c r="A462" i="1"/>
  <c r="A547" i="1"/>
  <c r="A632" i="1"/>
  <c r="A668" i="1"/>
  <c r="A733" i="1"/>
  <c r="A700" i="1"/>
  <c r="A757" i="1"/>
  <c r="A783" i="1"/>
  <c r="A830" i="1"/>
  <c r="A853" i="1"/>
  <c r="A898" i="1"/>
  <c r="A806" i="1"/>
  <c r="A878" i="1"/>
  <c r="A918" i="1"/>
  <c r="A938" i="1"/>
  <c r="A960" i="1"/>
  <c r="A978" i="1"/>
  <c r="A996" i="1"/>
  <c r="A1010" i="1"/>
  <c r="A1024" i="1"/>
  <c r="A1023" i="1"/>
  <c r="A1009" i="1"/>
  <c r="A995" i="1"/>
  <c r="A977" i="1"/>
  <c r="A242" i="1"/>
  <c r="A336" i="1"/>
  <c r="A421" i="1"/>
  <c r="A505" i="1"/>
  <c r="A590" i="1"/>
  <c r="A667" i="1"/>
  <c r="A732" i="1"/>
  <c r="A782" i="1"/>
  <c r="A829" i="1"/>
  <c r="A877" i="1"/>
  <c r="A917" i="1"/>
  <c r="A959" i="1"/>
  <c r="A937" i="1"/>
  <c r="A897" i="1"/>
  <c r="A852" i="1"/>
  <c r="A805" i="1"/>
  <c r="A756" i="1"/>
  <c r="A10" i="1"/>
  <c r="A56" i="1"/>
  <c r="A699" i="1"/>
  <c r="A101" i="1"/>
  <c r="A631" i="1"/>
  <c r="A546" i="1"/>
  <c r="A148" i="1"/>
  <c r="A461" i="1"/>
  <c r="A194" i="1"/>
  <c r="A377" i="1"/>
  <c r="A288" i="1"/>
  <c r="A12" i="1"/>
  <c r="A58" i="1"/>
  <c r="A103" i="1"/>
  <c r="A150" i="1"/>
  <c r="A244" i="1"/>
  <c r="A784" i="1"/>
  <c r="A831" i="1"/>
  <c r="A879" i="1"/>
  <c r="A919" i="1"/>
  <c r="A961" i="1"/>
  <c r="A196" i="1"/>
  <c r="A290" i="1"/>
  <c r="A246" i="1"/>
  <c r="A152" i="1"/>
  <c r="A340" i="1"/>
  <c r="A424" i="1"/>
  <c r="A509" i="1"/>
  <c r="A594" i="1"/>
  <c r="A670" i="1"/>
  <c r="A60" i="1"/>
  <c r="A549" i="1"/>
  <c r="A464" i="1"/>
  <c r="A635" i="1"/>
  <c r="A703" i="1"/>
  <c r="A292" i="1"/>
  <c r="A380" i="1"/>
  <c r="A14" i="1"/>
  <c r="A105" i="1"/>
  <c r="A198" i="1"/>
  <c r="A59" i="1"/>
  <c r="A13" i="1"/>
  <c r="A151" i="1"/>
  <c r="A104" i="1"/>
  <c r="A245" i="1"/>
  <c r="A197" i="1"/>
  <c r="A338" i="1"/>
  <c r="A291" i="1"/>
  <c r="A379" i="1"/>
  <c r="A423" i="1"/>
  <c r="A463" i="1"/>
  <c r="A507" i="1"/>
  <c r="A548" i="1"/>
  <c r="A633" i="1"/>
  <c r="A592" i="1"/>
  <c r="A701" i="1"/>
  <c r="A669" i="1"/>
  <c r="A15" i="1"/>
  <c r="A61" i="1"/>
  <c r="A106" i="1"/>
  <c r="A199" i="1"/>
  <c r="A293" i="1"/>
  <c r="A153" i="1"/>
  <c r="A247" i="1"/>
  <c r="A381" i="1"/>
  <c r="A465" i="1"/>
  <c r="A550" i="1"/>
  <c r="A634" i="1"/>
  <c r="A702" i="1"/>
  <c r="A339" i="1"/>
  <c r="A508" i="1"/>
  <c r="A593" i="1"/>
  <c r="A671" i="1"/>
  <c r="A63" i="1"/>
  <c r="A155" i="1"/>
  <c r="A249" i="1"/>
  <c r="A342" i="1"/>
  <c r="A426" i="1"/>
  <c r="A511" i="1"/>
  <c r="A596" i="1"/>
  <c r="A17" i="1"/>
  <c r="A108" i="1"/>
  <c r="A201" i="1"/>
  <c r="A295" i="1"/>
  <c r="A383" i="1"/>
  <c r="A467" i="1"/>
  <c r="A552" i="1"/>
  <c r="A595" i="1"/>
  <c r="A510" i="1"/>
  <c r="A425" i="1"/>
  <c r="A341" i="1"/>
  <c r="A551" i="1"/>
  <c r="A248" i="1"/>
  <c r="A466" i="1"/>
  <c r="A154" i="1"/>
  <c r="A62" i="1"/>
  <c r="A382" i="1"/>
  <c r="A294" i="1"/>
  <c r="A200" i="1"/>
  <c r="A107" i="1"/>
  <c r="A16" i="1"/>
  <c r="A157" i="1"/>
  <c r="A203" i="1"/>
  <c r="A251" i="1"/>
  <c r="A297" i="1"/>
  <c r="A344" i="1"/>
  <c r="A385" i="1"/>
  <c r="A428" i="1"/>
  <c r="A469" i="1"/>
  <c r="A513" i="1"/>
  <c r="A19" i="1"/>
  <c r="A65" i="1"/>
  <c r="A554" i="1"/>
  <c r="A598" i="1"/>
  <c r="A110" i="1"/>
  <c r="A637" i="1"/>
  <c r="A18" i="1"/>
  <c r="A202" i="1"/>
  <c r="A296" i="1"/>
  <c r="A384" i="1"/>
  <c r="A468" i="1"/>
  <c r="A64" i="1"/>
  <c r="A553" i="1"/>
  <c r="A109" i="1"/>
  <c r="A512" i="1"/>
  <c r="A427" i="1"/>
  <c r="A597" i="1"/>
  <c r="A343" i="1"/>
  <c r="A250" i="1"/>
  <c r="A156" i="1"/>
  <c r="A636" i="1"/>
  <c r="A253" i="1"/>
  <c r="A347" i="1"/>
  <c r="A67" i="1"/>
  <c r="A159" i="1"/>
  <c r="A431" i="1"/>
  <c r="A516" i="1"/>
  <c r="A601" i="1"/>
  <c r="A674" i="1"/>
  <c r="A472" i="1"/>
  <c r="A557" i="1"/>
  <c r="A640" i="1"/>
  <c r="A705" i="1"/>
  <c r="A113" i="1"/>
  <c r="A206" i="1"/>
  <c r="A300" i="1"/>
  <c r="A388" i="1"/>
  <c r="A22" i="1"/>
  <c r="A21" i="1"/>
  <c r="A66" i="1"/>
  <c r="A112" i="1"/>
  <c r="A158" i="1"/>
  <c r="A205" i="1"/>
  <c r="A252" i="1"/>
  <c r="A299" i="1"/>
  <c r="A346" i="1"/>
  <c r="A387" i="1"/>
  <c r="A430" i="1"/>
  <c r="A471" i="1"/>
  <c r="A515" i="1"/>
  <c r="A556" i="1"/>
  <c r="A600" i="1"/>
  <c r="A639" i="1"/>
  <c r="A673" i="1"/>
  <c r="A704" i="1"/>
  <c r="A20" i="1"/>
  <c r="A111" i="1"/>
  <c r="A204" i="1"/>
  <c r="A298" i="1"/>
  <c r="A386" i="1"/>
  <c r="A470" i="1"/>
  <c r="A555" i="1"/>
  <c r="A638" i="1"/>
  <c r="A345" i="1"/>
  <c r="A429" i="1"/>
  <c r="A514" i="1"/>
  <c r="A599" i="1"/>
  <c r="A672" i="1"/>
  <c r="A68" i="1"/>
  <c r="A160" i="1"/>
  <c r="A254" i="1"/>
  <c r="A24" i="1"/>
  <c r="A115" i="1"/>
  <c r="A208" i="1"/>
  <c r="A302" i="1"/>
  <c r="A390" i="1"/>
  <c r="A474" i="1"/>
  <c r="A559" i="1"/>
  <c r="A70" i="1"/>
  <c r="A162" i="1"/>
  <c r="A256" i="1"/>
  <c r="A349" i="1"/>
  <c r="A433" i="1"/>
  <c r="A603" i="1"/>
  <c r="A518" i="1"/>
  <c r="A602" i="1"/>
  <c r="A558" i="1"/>
  <c r="A473" i="1"/>
  <c r="A517" i="1"/>
  <c r="A432" i="1"/>
  <c r="A348" i="1"/>
  <c r="A389" i="1"/>
  <c r="A255" i="1"/>
  <c r="A161" i="1"/>
  <c r="A301" i="1"/>
  <c r="A69" i="1"/>
  <c r="A207" i="1"/>
  <c r="A114" i="1"/>
  <c r="A23" i="1"/>
  <c r="A604" i="1"/>
  <c r="A164" i="1"/>
  <c r="A435" i="1"/>
  <c r="A520" i="1"/>
  <c r="A605" i="1"/>
  <c r="A258" i="1"/>
  <c r="A351" i="1"/>
  <c r="A72" i="1"/>
  <c r="A210" i="1"/>
  <c r="A304" i="1"/>
  <c r="A392" i="1"/>
  <c r="A117" i="1"/>
  <c r="A26" i="1"/>
  <c r="A476" i="1"/>
  <c r="A561" i="1"/>
  <c r="A116" i="1"/>
  <c r="A71" i="1"/>
  <c r="A257" i="1"/>
  <c r="A25" i="1"/>
  <c r="A350" i="1"/>
  <c r="A209" i="1"/>
  <c r="A434" i="1"/>
  <c r="A303" i="1"/>
  <c r="A391" i="1"/>
  <c r="A475" i="1"/>
  <c r="A560" i="1"/>
  <c r="A519" i="1"/>
  <c r="A163" i="1"/>
  <c r="A74" i="1"/>
  <c r="A166" i="1"/>
  <c r="A260" i="1"/>
  <c r="A353" i="1"/>
  <c r="A437" i="1"/>
  <c r="A522" i="1"/>
  <c r="A607" i="1"/>
  <c r="A676" i="1"/>
  <c r="A735" i="1"/>
  <c r="A786" i="1"/>
  <c r="A833" i="1"/>
  <c r="A212" i="1"/>
  <c r="A306" i="1"/>
  <c r="A394" i="1"/>
  <c r="A478" i="1"/>
  <c r="A563" i="1"/>
  <c r="A642" i="1"/>
  <c r="A707" i="1"/>
  <c r="A759" i="1"/>
  <c r="A808" i="1"/>
  <c r="A855" i="1"/>
  <c r="A900" i="1"/>
  <c r="A940" i="1"/>
  <c r="A980" i="1"/>
  <c r="A1012" i="1"/>
  <c r="A1026" i="1"/>
  <c r="A1038" i="1"/>
  <c r="A1048" i="1"/>
  <c r="A1058" i="1"/>
  <c r="A1066" i="1"/>
  <c r="A963" i="1"/>
  <c r="A998" i="1"/>
  <c r="A165" i="1"/>
  <c r="A259" i="1"/>
  <c r="A352" i="1"/>
  <c r="A436" i="1"/>
  <c r="A521" i="1"/>
  <c r="A606" i="1"/>
  <c r="A675" i="1"/>
  <c r="A27" i="1"/>
  <c r="A734" i="1"/>
  <c r="A73" i="1"/>
  <c r="A785" i="1"/>
  <c r="A118" i="1"/>
  <c r="A832" i="1"/>
  <c r="A211" i="1"/>
  <c r="A880" i="1"/>
  <c r="A305" i="1"/>
  <c r="A962" i="1"/>
  <c r="A393" i="1"/>
  <c r="A997" i="1"/>
  <c r="A477" i="1"/>
  <c r="A1025" i="1"/>
  <c r="A562" i="1"/>
  <c r="A1047" i="1"/>
  <c r="A641" i="1"/>
  <c r="A1065" i="1"/>
  <c r="A706" i="1"/>
  <c r="A758" i="1"/>
  <c r="A1057" i="1"/>
  <c r="A807" i="1"/>
  <c r="A1037" i="1"/>
  <c r="A854" i="1"/>
  <c r="A1011" i="1"/>
  <c r="A979" i="1"/>
  <c r="A939" i="1"/>
  <c r="A921" i="1"/>
  <c r="A899" i="1"/>
  <c r="A1104" i="1"/>
  <c r="A119" i="1"/>
  <c r="A881" i="1"/>
  <c r="A920" i="1"/>
  <c r="A29" i="1"/>
  <c r="A121" i="1"/>
  <c r="A214" i="1"/>
  <c r="A308" i="1"/>
  <c r="A857" i="1"/>
  <c r="A902" i="1"/>
  <c r="A942" i="1"/>
  <c r="A709" i="1"/>
  <c r="A761" i="1"/>
  <c r="A810" i="1"/>
  <c r="A565" i="1"/>
  <c r="A644" i="1"/>
  <c r="A396" i="1"/>
  <c r="A480" i="1"/>
  <c r="A883" i="1"/>
  <c r="A923" i="1"/>
  <c r="A737" i="1"/>
  <c r="A788" i="1"/>
  <c r="A835" i="1"/>
  <c r="A439" i="1"/>
  <c r="A524" i="1"/>
  <c r="A609" i="1"/>
  <c r="A678" i="1"/>
  <c r="A76" i="1"/>
  <c r="A168" i="1"/>
  <c r="A262" i="1"/>
  <c r="A355" i="1"/>
  <c r="A28" i="1"/>
  <c r="A120" i="1"/>
  <c r="A213" i="1"/>
  <c r="A307" i="1"/>
  <c r="A395" i="1"/>
  <c r="A479" i="1"/>
  <c r="A564" i="1"/>
  <c r="A643" i="1"/>
  <c r="A708" i="1"/>
  <c r="A760" i="1"/>
  <c r="A75" i="1"/>
  <c r="A167" i="1"/>
  <c r="A261" i="1"/>
  <c r="A354" i="1"/>
  <c r="A438" i="1"/>
  <c r="A523" i="1"/>
  <c r="A608" i="1"/>
  <c r="A677" i="1"/>
  <c r="A736" i="1"/>
  <c r="A787" i="1"/>
  <c r="A834" i="1"/>
  <c r="A882" i="1"/>
  <c r="A922" i="1"/>
  <c r="A941" i="1"/>
  <c r="A901" i="1"/>
  <c r="A856" i="1"/>
  <c r="A809" i="1"/>
  <c r="A31" i="1"/>
  <c r="A123" i="1"/>
  <c r="A216" i="1"/>
  <c r="A310" i="1"/>
  <c r="A398" i="1"/>
  <c r="A482" i="1"/>
  <c r="A170" i="1"/>
  <c r="A264" i="1"/>
  <c r="A357" i="1"/>
  <c r="A441" i="1"/>
  <c r="A567" i="1"/>
  <c r="A646" i="1"/>
  <c r="A78" i="1"/>
  <c r="A526" i="1"/>
  <c r="A611" i="1"/>
  <c r="A711" i="1"/>
  <c r="A30" i="1"/>
  <c r="A122" i="1"/>
  <c r="A763" i="1"/>
  <c r="A812" i="1"/>
  <c r="A215" i="1"/>
  <c r="A859" i="1"/>
  <c r="A309" i="1"/>
  <c r="A566" i="1"/>
  <c r="A680" i="1"/>
  <c r="A904" i="1"/>
  <c r="A944" i="1"/>
  <c r="A982" i="1"/>
  <c r="A397" i="1"/>
  <c r="A739" i="1"/>
  <c r="A790" i="1"/>
  <c r="A837" i="1"/>
  <c r="A481" i="1"/>
  <c r="A645" i="1"/>
  <c r="A885" i="1"/>
  <c r="A77" i="1"/>
  <c r="A710" i="1"/>
  <c r="A1014" i="1"/>
  <c r="A1028" i="1"/>
  <c r="A1068" i="1"/>
  <c r="A169" i="1"/>
  <c r="A762" i="1"/>
  <c r="A263" i="1"/>
  <c r="A811" i="1"/>
  <c r="A965" i="1"/>
  <c r="A1040" i="1"/>
  <c r="A356" i="1"/>
  <c r="A440" i="1"/>
  <c r="A858" i="1"/>
  <c r="A925" i="1"/>
  <c r="A1000" i="1"/>
  <c r="A1050" i="1"/>
  <c r="A1060" i="1"/>
  <c r="A1076" i="1"/>
  <c r="A525" i="1"/>
  <c r="A903" i="1"/>
  <c r="A610" i="1"/>
  <c r="A943" i="1"/>
  <c r="A679" i="1"/>
  <c r="A981" i="1"/>
  <c r="A789" i="1"/>
  <c r="A738" i="1"/>
  <c r="A1013" i="1"/>
  <c r="A836" i="1"/>
  <c r="A1027" i="1"/>
  <c r="A884" i="1"/>
  <c r="A1039" i="1"/>
  <c r="A924" i="1"/>
  <c r="A1049" i="1"/>
  <c r="A964" i="1"/>
  <c r="A1059" i="1"/>
  <c r="A999" i="1"/>
  <c r="A1067" i="1"/>
  <c r="A1075" i="1"/>
  <c r="A125" i="1"/>
  <c r="A218" i="1"/>
  <c r="A312" i="1"/>
  <c r="A400" i="1"/>
  <c r="A484" i="1"/>
  <c r="A569" i="1"/>
  <c r="A648" i="1"/>
  <c r="A765" i="1"/>
  <c r="A33" i="1"/>
  <c r="A713" i="1"/>
  <c r="A814" i="1"/>
  <c r="A861" i="1"/>
  <c r="A906" i="1"/>
  <c r="A946" i="1"/>
  <c r="A984" i="1"/>
  <c r="A32" i="1"/>
  <c r="A124" i="1"/>
  <c r="A945" i="1"/>
  <c r="A905" i="1"/>
  <c r="A217" i="1"/>
  <c r="A311" i="1"/>
  <c r="A860" i="1"/>
  <c r="A399" i="1"/>
  <c r="A813" i="1"/>
  <c r="A483" i="1"/>
  <c r="A764" i="1"/>
  <c r="A568" i="1"/>
  <c r="A712" i="1"/>
  <c r="A647" i="1"/>
  <c r="A1030" i="1"/>
  <c r="A1042" i="1"/>
  <c r="A839" i="1"/>
  <c r="A887" i="1"/>
  <c r="A927" i="1"/>
  <c r="A967" i="1"/>
  <c r="A1002" i="1"/>
  <c r="A1016" i="1"/>
  <c r="A613" i="1"/>
  <c r="A682" i="1"/>
  <c r="A741" i="1"/>
  <c r="A792" i="1"/>
  <c r="A266" i="1"/>
  <c r="A172" i="1"/>
  <c r="A359" i="1"/>
  <c r="A443" i="1"/>
  <c r="A528" i="1"/>
  <c r="A1052" i="1"/>
  <c r="A80" i="1"/>
  <c r="A983" i="1"/>
  <c r="A740" i="1"/>
  <c r="A681" i="1"/>
  <c r="A1041" i="1"/>
  <c r="A1029" i="1"/>
  <c r="A1015" i="1"/>
  <c r="A612" i="1"/>
  <c r="A527" i="1"/>
  <c r="A1001" i="1"/>
  <c r="A442" i="1"/>
  <c r="A966" i="1"/>
  <c r="A358" i="1"/>
  <c r="A926" i="1"/>
  <c r="A265" i="1"/>
  <c r="A886" i="1"/>
  <c r="A171" i="1"/>
  <c r="A838" i="1"/>
  <c r="A79" i="1"/>
  <c r="A791" i="1"/>
  <c r="A815" i="1"/>
  <c r="A862" i="1"/>
  <c r="A907" i="1"/>
  <c r="A947" i="1"/>
  <c r="A985" i="1"/>
  <c r="A1051" i="1"/>
  <c r="A82" i="1"/>
  <c r="A174" i="1"/>
  <c r="A127" i="1"/>
  <c r="A220" i="1"/>
  <c r="A268" i="1"/>
  <c r="A314" i="1"/>
  <c r="A402" i="1"/>
  <c r="A445" i="1"/>
  <c r="A486" i="1"/>
  <c r="A530" i="1"/>
  <c r="A615" i="1"/>
  <c r="A684" i="1"/>
  <c r="A35" i="1"/>
  <c r="A361" i="1"/>
  <c r="A571" i="1"/>
  <c r="A650" i="1"/>
  <c r="A715" i="1"/>
  <c r="A34" i="1"/>
  <c r="A81" i="1"/>
  <c r="A173" i="1"/>
  <c r="A219" i="1"/>
  <c r="A267" i="1"/>
  <c r="A126" i="1"/>
  <c r="A360" i="1"/>
  <c r="A313" i="1"/>
  <c r="A401" i="1"/>
  <c r="A444" i="1"/>
  <c r="A485" i="1"/>
  <c r="A529" i="1"/>
  <c r="A570" i="1"/>
  <c r="A614" i="1"/>
  <c r="A649" i="1"/>
  <c r="A714" i="1"/>
  <c r="A683" i="1"/>
  <c r="A84" i="1"/>
  <c r="A129" i="1"/>
  <c r="A222" i="1"/>
  <c r="A316" i="1"/>
  <c r="A404" i="1"/>
  <c r="A488" i="1"/>
  <c r="A37" i="1"/>
  <c r="A573" i="1"/>
  <c r="A532" i="1"/>
  <c r="A617" i="1"/>
  <c r="A176" i="1"/>
  <c r="A616" i="1"/>
  <c r="A531" i="1"/>
  <c r="A446" i="1"/>
  <c r="A362" i="1"/>
  <c r="A269" i="1"/>
  <c r="A315" i="1"/>
  <c r="A175" i="1"/>
  <c r="A83" i="1"/>
  <c r="A270" i="1"/>
  <c r="A363" i="1"/>
  <c r="A447" i="1"/>
  <c r="A36" i="1"/>
  <c r="A128" i="1"/>
  <c r="A221" i="1"/>
  <c r="A403" i="1"/>
  <c r="A487" i="1"/>
  <c r="A572" i="1"/>
  <c r="A272" i="1"/>
  <c r="A365" i="1"/>
  <c r="A449" i="1"/>
  <c r="A534" i="1"/>
  <c r="A224" i="1"/>
  <c r="A318" i="1"/>
  <c r="A406" i="1"/>
  <c r="A490" i="1"/>
  <c r="A575" i="1"/>
  <c r="A619" i="1"/>
  <c r="A652" i="1"/>
  <c r="A686" i="1"/>
  <c r="A743" i="1"/>
  <c r="A794" i="1"/>
  <c r="A717" i="1"/>
  <c r="A767" i="1"/>
  <c r="A841" i="1"/>
  <c r="A817" i="1"/>
  <c r="A864" i="1"/>
  <c r="A909" i="1"/>
  <c r="A949" i="1"/>
  <c r="A987" i="1"/>
  <c r="A1004" i="1"/>
  <c r="A969" i="1"/>
  <c r="A1018" i="1"/>
  <c r="A1032" i="1"/>
  <c r="A889" i="1"/>
  <c r="A929" i="1"/>
  <c r="A1031" i="1"/>
  <c r="A86" i="1"/>
  <c r="A131" i="1"/>
  <c r="A178" i="1"/>
  <c r="A1017" i="1"/>
  <c r="A39" i="1"/>
  <c r="A1003" i="1"/>
  <c r="A364" i="1"/>
  <c r="A948" i="1"/>
  <c r="A448" i="1"/>
  <c r="A908" i="1"/>
  <c r="A533" i="1"/>
  <c r="A863" i="1"/>
  <c r="A618" i="1"/>
  <c r="A816" i="1"/>
  <c r="A685" i="1"/>
  <c r="A766" i="1"/>
  <c r="A716" i="1"/>
  <c r="A742" i="1"/>
  <c r="A651" i="1"/>
  <c r="A574" i="1"/>
  <c r="A489" i="1"/>
  <c r="A405" i="1"/>
  <c r="A223" i="1"/>
  <c r="A177" i="1"/>
  <c r="A130" i="1"/>
  <c r="A793" i="1"/>
  <c r="A840" i="1"/>
  <c r="A85" i="1"/>
  <c r="A38" i="1"/>
  <c r="A888" i="1"/>
  <c r="A928" i="1"/>
  <c r="A968" i="1"/>
  <c r="A271" i="1"/>
  <c r="A317" i="1"/>
  <c r="A986" i="1"/>
  <c r="A818" i="1"/>
  <c r="A577" i="1"/>
  <c r="A41" i="1"/>
  <c r="A133" i="1"/>
  <c r="A226" i="1"/>
  <c r="A320" i="1"/>
  <c r="A408" i="1"/>
  <c r="A492" i="1"/>
  <c r="A654" i="1"/>
  <c r="A719" i="1"/>
  <c r="A769" i="1"/>
  <c r="A819" i="1"/>
  <c r="A866" i="1"/>
  <c r="A1070" i="1"/>
  <c r="A951" i="1"/>
  <c r="A40" i="1"/>
  <c r="A950" i="1"/>
  <c r="A132" i="1"/>
  <c r="A225" i="1"/>
  <c r="A1069" i="1"/>
  <c r="A319" i="1"/>
  <c r="A865" i="1"/>
  <c r="A407" i="1"/>
  <c r="A491" i="1"/>
  <c r="A768" i="1"/>
  <c r="A576" i="1"/>
  <c r="A718" i="1"/>
  <c r="A653" i="1"/>
  <c r="A43" i="1"/>
  <c r="A88" i="1"/>
  <c r="A135" i="1"/>
  <c r="A180" i="1"/>
  <c r="A228" i="1"/>
  <c r="A274" i="1"/>
  <c r="A322" i="1"/>
  <c r="A367" i="1"/>
  <c r="A410" i="1"/>
  <c r="A451" i="1"/>
  <c r="A494" i="1"/>
  <c r="A536" i="1"/>
  <c r="A579" i="1"/>
  <c r="A42" i="1"/>
  <c r="A578" i="1"/>
  <c r="A87" i="1"/>
  <c r="A535" i="1"/>
  <c r="A134" i="1"/>
  <c r="A493" i="1"/>
  <c r="A179" i="1"/>
  <c r="A450" i="1"/>
  <c r="A227" i="1"/>
  <c r="A273" i="1"/>
  <c r="A409" i="1"/>
  <c r="A321" i="1"/>
  <c r="A366" i="1"/>
  <c r="A621" i="1"/>
  <c r="A656" i="1"/>
  <c r="A688" i="1"/>
  <c r="A721" i="1"/>
  <c r="A745" i="1"/>
  <c r="A771" i="1"/>
  <c r="A620" i="1"/>
  <c r="A770" i="1"/>
  <c r="A655" i="1"/>
  <c r="A744" i="1"/>
  <c r="A687" i="1"/>
  <c r="A720" i="1"/>
  <c r="A230" i="1"/>
  <c r="A324" i="1"/>
  <c r="A412" i="1"/>
  <c r="A496" i="1"/>
  <c r="A581" i="1"/>
  <c r="A658" i="1"/>
  <c r="A723" i="1"/>
  <c r="A773" i="1"/>
  <c r="A821" i="1"/>
  <c r="A868" i="1"/>
  <c r="A911" i="1"/>
  <c r="A953" i="1"/>
  <c r="A1020" i="1"/>
  <c r="A1044" i="1"/>
  <c r="A1062" i="1"/>
  <c r="A369" i="1"/>
  <c r="A453" i="1"/>
  <c r="A538" i="1"/>
  <c r="A623" i="1"/>
  <c r="A690" i="1"/>
  <c r="A747" i="1"/>
  <c r="A276" i="1"/>
  <c r="A989" i="1"/>
  <c r="A820" i="1"/>
  <c r="A746" i="1"/>
  <c r="A772" i="1"/>
  <c r="A722" i="1"/>
  <c r="A796" i="1"/>
  <c r="A843" i="1"/>
  <c r="A891" i="1"/>
  <c r="A689" i="1"/>
  <c r="A931" i="1"/>
  <c r="A971" i="1"/>
  <c r="A622" i="1"/>
  <c r="A657" i="1"/>
  <c r="A537" i="1"/>
  <c r="A580" i="1"/>
  <c r="A495" i="1"/>
  <c r="A452" i="1"/>
  <c r="A368" i="1"/>
  <c r="A275" i="1"/>
  <c r="A411" i="1"/>
  <c r="A323" i="1"/>
  <c r="A229" i="1"/>
  <c r="A795" i="1"/>
  <c r="A842" i="1"/>
  <c r="A867" i="1"/>
  <c r="A890" i="1"/>
  <c r="A910" i="1"/>
  <c r="A1006" i="1"/>
  <c r="A1034" i="1"/>
  <c r="A1082" i="1"/>
  <c r="A930" i="1"/>
  <c r="A952" i="1"/>
  <c r="A1054" i="1"/>
  <c r="A1072" i="1"/>
  <c r="A1078" i="1"/>
  <c r="A970" i="1"/>
  <c r="A988" i="1"/>
  <c r="A1005" i="1"/>
  <c r="A1019" i="1"/>
  <c r="A1043" i="1"/>
  <c r="A1033" i="1"/>
  <c r="A1061" i="1"/>
  <c r="A1053" i="1"/>
  <c r="A1071" i="1"/>
  <c r="A1081" i="1"/>
  <c r="A1077" i="1"/>
  <c r="A45" i="1"/>
  <c r="A90" i="1"/>
  <c r="A137" i="1"/>
  <c r="A182" i="1"/>
  <c r="A44" i="1"/>
  <c r="A89" i="1"/>
  <c r="A136" i="1"/>
  <c r="A181" i="1"/>
  <c r="A92" i="1"/>
  <c r="A184" i="1"/>
  <c r="A278" i="1"/>
  <c r="A371" i="1"/>
  <c r="A455" i="1"/>
  <c r="A540" i="1"/>
  <c r="A625" i="1"/>
  <c r="A692" i="1"/>
  <c r="A749" i="1"/>
  <c r="A798" i="1"/>
  <c r="A845" i="1"/>
  <c r="A893" i="1"/>
  <c r="A933" i="1"/>
  <c r="A973" i="1"/>
  <c r="A1008" i="1"/>
  <c r="A1036" i="1"/>
  <c r="A1056" i="1"/>
  <c r="A1074" i="1"/>
  <c r="A1084" i="1"/>
  <c r="A1088" i="1"/>
  <c r="A1092" i="1"/>
  <c r="A1096" i="1"/>
  <c r="A1100" i="1"/>
  <c r="A1102" i="1"/>
  <c r="A725" i="1"/>
  <c r="A47" i="1"/>
  <c r="A139" i="1"/>
  <c r="A232" i="1"/>
  <c r="A326" i="1"/>
  <c r="A414" i="1"/>
  <c r="A498" i="1"/>
  <c r="A583" i="1"/>
  <c r="A660" i="1"/>
  <c r="A775" i="1"/>
  <c r="A823" i="1"/>
  <c r="A870" i="1"/>
  <c r="A913" i="1"/>
  <c r="A955" i="1"/>
  <c r="A991" i="1"/>
  <c r="A1022" i="1"/>
  <c r="A46" i="1"/>
  <c r="A91" i="1"/>
  <c r="A138" i="1"/>
  <c r="A1046" i="1"/>
  <c r="A183" i="1"/>
  <c r="A231" i="1"/>
  <c r="A277" i="1"/>
  <c r="A325" i="1"/>
  <c r="A370" i="1"/>
  <c r="A413" i="1"/>
  <c r="A454" i="1"/>
  <c r="A497" i="1"/>
  <c r="A539" i="1"/>
  <c r="A582" i="1"/>
  <c r="A624" i="1"/>
  <c r="A659" i="1"/>
  <c r="A1064" i="1"/>
  <c r="A1080" i="1"/>
  <c r="A1086" i="1"/>
  <c r="A1090" i="1"/>
  <c r="A1094" i="1"/>
  <c r="A1098" i="1"/>
  <c r="A691" i="1"/>
  <c r="A724" i="1"/>
  <c r="A748" i="1"/>
  <c r="A774" i="1"/>
  <c r="A797" i="1"/>
  <c r="A822" i="1"/>
  <c r="A844" i="1"/>
  <c r="A869" i="1"/>
  <c r="A892" i="1"/>
  <c r="A912" i="1"/>
  <c r="A932" i="1"/>
  <c r="A954" i="1"/>
  <c r="A972" i="1"/>
  <c r="A990" i="1"/>
  <c r="A1007" i="1"/>
  <c r="A1021" i="1"/>
  <c r="A1035" i="1"/>
  <c r="A1045" i="1"/>
  <c r="A1055" i="1"/>
  <c r="A1063" i="1"/>
  <c r="A1073" i="1"/>
  <c r="A1079" i="1"/>
  <c r="A1103" i="1"/>
  <c r="A1083" i="1"/>
  <c r="A1085" i="1"/>
  <c r="A1087" i="1"/>
  <c r="A1089" i="1"/>
  <c r="A1091" i="1"/>
  <c r="A1095" i="1"/>
  <c r="A1099" i="1"/>
  <c r="A1101" i="1"/>
  <c r="A1097" i="1"/>
  <c r="A1093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565" i="4"/>
  <c r="A566" i="4"/>
  <c r="K566" i="4" s="1"/>
  <c r="A567" i="4"/>
  <c r="A568" i="4"/>
  <c r="K568" i="4" s="1"/>
  <c r="A569" i="4"/>
  <c r="K569" i="4" s="1"/>
  <c r="A570" i="4"/>
  <c r="A571" i="4"/>
  <c r="A557" i="4"/>
  <c r="K557" i="4" s="1"/>
  <c r="A558" i="4"/>
  <c r="A559" i="4"/>
  <c r="A560" i="4"/>
  <c r="A561" i="4"/>
  <c r="K561" i="4" s="1"/>
  <c r="A2" i="4"/>
  <c r="K2" i="4" s="1"/>
  <c r="A3" i="4"/>
  <c r="A4" i="4"/>
  <c r="A5" i="4"/>
  <c r="K5" i="4" s="1"/>
  <c r="A6" i="4"/>
  <c r="K6" i="4" s="1"/>
  <c r="A7" i="4"/>
  <c r="A8" i="4"/>
  <c r="A9" i="4"/>
  <c r="K9" i="4" s="1"/>
  <c r="A10" i="4"/>
  <c r="A11" i="4"/>
  <c r="A12" i="4"/>
  <c r="A572" i="4"/>
  <c r="K572" i="4" s="1"/>
  <c r="A573" i="4"/>
  <c r="K573" i="4" s="1"/>
  <c r="A574" i="4"/>
  <c r="A575" i="4"/>
  <c r="A576" i="4"/>
  <c r="K576" i="4" s="1"/>
  <c r="A577" i="4"/>
  <c r="K577" i="4" s="1"/>
  <c r="A578" i="4"/>
  <c r="A579" i="4"/>
  <c r="A580" i="4"/>
  <c r="K580" i="4" s="1"/>
  <c r="A581" i="4"/>
  <c r="A582" i="4"/>
  <c r="A583" i="4"/>
  <c r="A584" i="4"/>
  <c r="K584" i="4" s="1"/>
  <c r="A585" i="4"/>
  <c r="A586" i="4"/>
  <c r="A587" i="4"/>
  <c r="A588" i="4"/>
  <c r="K588" i="4" s="1"/>
  <c r="A589" i="4"/>
  <c r="K589" i="4" s="1"/>
  <c r="A590" i="4"/>
  <c r="A591" i="4"/>
  <c r="A592" i="4"/>
  <c r="K592" i="4" s="1"/>
  <c r="A593" i="4"/>
  <c r="A594" i="4"/>
  <c r="A595" i="4"/>
  <c r="A13" i="4"/>
  <c r="K13" i="4" s="1"/>
  <c r="A14" i="4"/>
  <c r="A15" i="4"/>
  <c r="A16" i="4"/>
  <c r="A17" i="4"/>
  <c r="K17" i="4" s="1"/>
  <c r="A18" i="4"/>
  <c r="K18" i="4" s="1"/>
  <c r="A19" i="4"/>
  <c r="A20" i="4"/>
  <c r="A21" i="4"/>
  <c r="K21" i="4" s="1"/>
  <c r="A22" i="4"/>
  <c r="A23" i="4"/>
  <c r="A24" i="4"/>
  <c r="A25" i="4"/>
  <c r="K25" i="4" s="1"/>
  <c r="A26" i="4"/>
  <c r="A27" i="4"/>
  <c r="A28" i="4"/>
  <c r="A29" i="4"/>
  <c r="K29" i="4" s="1"/>
  <c r="A30" i="4"/>
  <c r="K30" i="4" s="1"/>
  <c r="A31" i="4"/>
  <c r="A32" i="4"/>
  <c r="A33" i="4"/>
  <c r="K33" i="4" s="1"/>
  <c r="A34" i="4"/>
  <c r="K34" i="4" s="1"/>
  <c r="A35" i="4"/>
  <c r="A36" i="4"/>
  <c r="A37" i="4"/>
  <c r="K37" i="4" s="1"/>
  <c r="A38" i="4"/>
  <c r="A39" i="4"/>
  <c r="A40" i="4"/>
  <c r="A41" i="4"/>
  <c r="K41" i="4" s="1"/>
  <c r="A42" i="4"/>
  <c r="K42" i="4" s="1"/>
  <c r="A43" i="4"/>
  <c r="A596" i="4"/>
  <c r="A597" i="4"/>
  <c r="K597" i="4" s="1"/>
  <c r="A44" i="4"/>
  <c r="K44" i="4" s="1"/>
  <c r="A45" i="4"/>
  <c r="A46" i="4"/>
  <c r="A47" i="4"/>
  <c r="K47" i="4" s="1"/>
  <c r="A48" i="4"/>
  <c r="K48" i="4" s="1"/>
  <c r="A49" i="4"/>
  <c r="A50" i="4"/>
  <c r="A51" i="4"/>
  <c r="K51" i="4" s="1"/>
  <c r="A52" i="4"/>
  <c r="A53" i="4"/>
  <c r="A54" i="4"/>
  <c r="A55" i="4"/>
  <c r="K55" i="4" s="1"/>
  <c r="A56" i="4"/>
  <c r="A57" i="4"/>
  <c r="A598" i="4"/>
  <c r="A599" i="4"/>
  <c r="K599" i="4" s="1"/>
  <c r="A600" i="4"/>
  <c r="K600" i="4" s="1"/>
  <c r="A601" i="4"/>
  <c r="A602" i="4"/>
  <c r="A603" i="4"/>
  <c r="K603" i="4" s="1"/>
  <c r="A604" i="4"/>
  <c r="K604" i="4" s="1"/>
  <c r="A605" i="4"/>
  <c r="A606" i="4"/>
  <c r="A607" i="4"/>
  <c r="K607" i="4" s="1"/>
  <c r="A608" i="4"/>
  <c r="A609" i="4"/>
  <c r="A610" i="4"/>
  <c r="A611" i="4"/>
  <c r="K611" i="4" s="1"/>
  <c r="A612" i="4"/>
  <c r="K612" i="4" s="1"/>
  <c r="A613" i="4"/>
  <c r="A614" i="4"/>
  <c r="A615" i="4"/>
  <c r="K615" i="4" s="1"/>
  <c r="A616" i="4"/>
  <c r="K616" i="4" s="1"/>
  <c r="A617" i="4"/>
  <c r="A618" i="4"/>
  <c r="A619" i="4"/>
  <c r="K619" i="4" s="1"/>
  <c r="A620" i="4"/>
  <c r="K620" i="4" s="1"/>
  <c r="A621" i="4"/>
  <c r="A622" i="4"/>
  <c r="A623" i="4"/>
  <c r="K623" i="4" s="1"/>
  <c r="A624" i="4"/>
  <c r="A625" i="4"/>
  <c r="A626" i="4"/>
  <c r="A627" i="4"/>
  <c r="K627" i="4" s="1"/>
  <c r="A58" i="4"/>
  <c r="A59" i="4"/>
  <c r="A60" i="4"/>
  <c r="A61" i="4"/>
  <c r="K61" i="4" s="1"/>
  <c r="A62" i="4"/>
  <c r="K62" i="4" s="1"/>
  <c r="A63" i="4"/>
  <c r="A64" i="4"/>
  <c r="A65" i="4"/>
  <c r="K65" i="4" s="1"/>
  <c r="A66" i="4"/>
  <c r="K66" i="4" s="1"/>
  <c r="A67" i="4"/>
  <c r="A68" i="4"/>
  <c r="A69" i="4"/>
  <c r="K69" i="4" s="1"/>
  <c r="A70" i="4"/>
  <c r="A71" i="4"/>
  <c r="A72" i="4"/>
  <c r="A73" i="4"/>
  <c r="K73" i="4" s="1"/>
  <c r="A74" i="4"/>
  <c r="K74" i="4" s="1"/>
  <c r="A75" i="4"/>
  <c r="A76" i="4"/>
  <c r="A77" i="4"/>
  <c r="K77" i="4" s="1"/>
  <c r="A78" i="4"/>
  <c r="K78" i="4" s="1"/>
  <c r="A79" i="4"/>
  <c r="A80" i="4"/>
  <c r="A81" i="4"/>
  <c r="K81" i="4" s="1"/>
  <c r="A82" i="4"/>
  <c r="K82" i="4" s="1"/>
  <c r="A83" i="4"/>
  <c r="A84" i="4"/>
  <c r="A85" i="4"/>
  <c r="K85" i="4" s="1"/>
  <c r="A86" i="4"/>
  <c r="A87" i="4"/>
  <c r="A88" i="4"/>
  <c r="A628" i="4"/>
  <c r="K628" i="4" s="1"/>
  <c r="A629" i="4"/>
  <c r="A630" i="4"/>
  <c r="A631" i="4"/>
  <c r="A632" i="4"/>
  <c r="K632" i="4" s="1"/>
  <c r="A633" i="4"/>
  <c r="K633" i="4" s="1"/>
  <c r="A634" i="4"/>
  <c r="A635" i="4"/>
  <c r="A89" i="4"/>
  <c r="K89" i="4" s="1"/>
  <c r="A90" i="4"/>
  <c r="K90" i="4" s="1"/>
  <c r="A91" i="4"/>
  <c r="A92" i="4"/>
  <c r="A93" i="4"/>
  <c r="K93" i="4" s="1"/>
  <c r="A94" i="4"/>
  <c r="A95" i="4"/>
  <c r="A96" i="4"/>
  <c r="A97" i="4"/>
  <c r="K97" i="4" s="1"/>
  <c r="A98" i="4"/>
  <c r="K98" i="4" s="1"/>
  <c r="A99" i="4"/>
  <c r="A100" i="4"/>
  <c r="A101" i="4"/>
  <c r="K101" i="4" s="1"/>
  <c r="A102" i="4"/>
  <c r="K102" i="4" s="1"/>
  <c r="A636" i="4"/>
  <c r="A637" i="4"/>
  <c r="A638" i="4"/>
  <c r="K638" i="4" s="1"/>
  <c r="A639" i="4"/>
  <c r="K639" i="4" s="1"/>
  <c r="A640" i="4"/>
  <c r="A641" i="4"/>
  <c r="A642" i="4"/>
  <c r="K642" i="4" s="1"/>
  <c r="A643" i="4"/>
  <c r="A644" i="4"/>
  <c r="A645" i="4"/>
  <c r="A646" i="4"/>
  <c r="K646" i="4" s="1"/>
  <c r="A647" i="4"/>
  <c r="A648" i="4"/>
  <c r="A649" i="4"/>
  <c r="A650" i="4"/>
  <c r="K650" i="4" s="1"/>
  <c r="A651" i="4"/>
  <c r="K651" i="4" s="1"/>
  <c r="A652" i="4"/>
  <c r="A653" i="4"/>
  <c r="A654" i="4"/>
  <c r="K654" i="4" s="1"/>
  <c r="A655" i="4"/>
  <c r="K655" i="4" s="1"/>
  <c r="A656" i="4"/>
  <c r="A657" i="4"/>
  <c r="A658" i="4"/>
  <c r="K658" i="4" s="1"/>
  <c r="A659" i="4"/>
  <c r="A660" i="4"/>
  <c r="A661" i="4"/>
  <c r="A662" i="4"/>
  <c r="K662" i="4" s="1"/>
  <c r="A663" i="4"/>
  <c r="K663" i="4" s="1"/>
  <c r="A664" i="4"/>
  <c r="A665" i="4"/>
  <c r="A666" i="4"/>
  <c r="K666" i="4" s="1"/>
  <c r="A667" i="4"/>
  <c r="K667" i="4" s="1"/>
  <c r="A103" i="4"/>
  <c r="A104" i="4"/>
  <c r="A105" i="4"/>
  <c r="K105" i="4" s="1"/>
  <c r="A106" i="4"/>
  <c r="K106" i="4" s="1"/>
  <c r="A107" i="4"/>
  <c r="A108" i="4"/>
  <c r="A109" i="4"/>
  <c r="K109" i="4" s="1"/>
  <c r="A110" i="4"/>
  <c r="A111" i="4"/>
  <c r="A112" i="4"/>
  <c r="A113" i="4"/>
  <c r="K113" i="4" s="1"/>
  <c r="A114" i="4"/>
  <c r="A115" i="4"/>
  <c r="A116" i="4"/>
  <c r="A117" i="4"/>
  <c r="K117" i="4" s="1"/>
  <c r="A118" i="4"/>
  <c r="K118" i="4" s="1"/>
  <c r="A119" i="4"/>
  <c r="A120" i="4"/>
  <c r="A121" i="4"/>
  <c r="K121" i="4" s="1"/>
  <c r="A122" i="4"/>
  <c r="K122" i="4" s="1"/>
  <c r="A123" i="4"/>
  <c r="A124" i="4"/>
  <c r="A125" i="4"/>
  <c r="K125" i="4" s="1"/>
  <c r="A126" i="4"/>
  <c r="A127" i="4"/>
  <c r="A128" i="4"/>
  <c r="A129" i="4"/>
  <c r="K129" i="4" s="1"/>
  <c r="A130" i="4"/>
  <c r="K130" i="4" s="1"/>
  <c r="A131" i="4"/>
  <c r="A132" i="4"/>
  <c r="A133" i="4"/>
  <c r="K133" i="4" s="1"/>
  <c r="A134" i="4"/>
  <c r="K134" i="4" s="1"/>
  <c r="A668" i="4"/>
  <c r="A669" i="4"/>
  <c r="A670" i="4"/>
  <c r="K670" i="4" s="1"/>
  <c r="A671" i="4"/>
  <c r="K671" i="4" s="1"/>
  <c r="A672" i="4"/>
  <c r="A673" i="4"/>
  <c r="A674" i="4"/>
  <c r="K674" i="4" s="1"/>
  <c r="A675" i="4"/>
  <c r="A676" i="4"/>
  <c r="A677" i="4"/>
  <c r="A678" i="4"/>
  <c r="K678" i="4" s="1"/>
  <c r="A679" i="4"/>
  <c r="A680" i="4"/>
  <c r="A681" i="4"/>
  <c r="A682" i="4"/>
  <c r="K682" i="4" s="1"/>
  <c r="A683" i="4"/>
  <c r="K683" i="4" s="1"/>
  <c r="A684" i="4"/>
  <c r="A685" i="4"/>
  <c r="A686" i="4"/>
  <c r="K686" i="4" s="1"/>
  <c r="A687" i="4"/>
  <c r="K687" i="4" s="1"/>
  <c r="A688" i="4"/>
  <c r="A689" i="4"/>
  <c r="A690" i="4"/>
  <c r="K690" i="4" s="1"/>
  <c r="A691" i="4"/>
  <c r="A692" i="4"/>
  <c r="A693" i="4"/>
  <c r="A694" i="4"/>
  <c r="K694" i="4" s="1"/>
  <c r="A695" i="4"/>
  <c r="K695" i="4" s="1"/>
  <c r="A696" i="4"/>
  <c r="A135" i="4"/>
  <c r="A136" i="4"/>
  <c r="K136" i="4" s="1"/>
  <c r="A137" i="4"/>
  <c r="K137" i="4" s="1"/>
  <c r="A138" i="4"/>
  <c r="A139" i="4"/>
  <c r="A140" i="4"/>
  <c r="K140" i="4" s="1"/>
  <c r="A141" i="4"/>
  <c r="K141" i="4" s="1"/>
  <c r="A142" i="4"/>
  <c r="A143" i="4"/>
  <c r="A144" i="4"/>
  <c r="K144" i="4" s="1"/>
  <c r="A145" i="4"/>
  <c r="A146" i="4"/>
  <c r="A147" i="4"/>
  <c r="A148" i="4"/>
  <c r="K148" i="4" s="1"/>
  <c r="A149" i="4"/>
  <c r="A150" i="4"/>
  <c r="A151" i="4"/>
  <c r="A697" i="4"/>
  <c r="K697" i="4" s="1"/>
  <c r="A698" i="4"/>
  <c r="K698" i="4" s="1"/>
  <c r="A699" i="4"/>
  <c r="A700" i="4"/>
  <c r="A701" i="4"/>
  <c r="K701" i="4" s="1"/>
  <c r="A702" i="4"/>
  <c r="K702" i="4" s="1"/>
  <c r="A703" i="4"/>
  <c r="A704" i="4"/>
  <c r="A705" i="4"/>
  <c r="K705" i="4" s="1"/>
  <c r="A706" i="4"/>
  <c r="A152" i="4"/>
  <c r="A153" i="4"/>
  <c r="A154" i="4"/>
  <c r="K154" i="4" s="1"/>
  <c r="A155" i="4"/>
  <c r="K155" i="4" s="1"/>
  <c r="A156" i="4"/>
  <c r="A707" i="4"/>
  <c r="A708" i="4"/>
  <c r="K708" i="4" s="1"/>
  <c r="A709" i="4"/>
  <c r="K709" i="4" s="1"/>
  <c r="A710" i="4"/>
  <c r="A711" i="4"/>
  <c r="A712" i="4"/>
  <c r="K712" i="4" s="1"/>
  <c r="A713" i="4"/>
  <c r="K713" i="4" s="1"/>
  <c r="A714" i="4"/>
  <c r="A715" i="4"/>
  <c r="A716" i="4"/>
  <c r="K716" i="4" s="1"/>
  <c r="A717" i="4"/>
  <c r="A718" i="4"/>
  <c r="A719" i="4"/>
  <c r="A720" i="4"/>
  <c r="K720" i="4" s="1"/>
  <c r="A721" i="4"/>
  <c r="A157" i="4"/>
  <c r="A158" i="4"/>
  <c r="A159" i="4"/>
  <c r="K159" i="4" s="1"/>
  <c r="A160" i="4"/>
  <c r="K160" i="4" s="1"/>
  <c r="A161" i="4"/>
  <c r="A162" i="4"/>
  <c r="A163" i="4"/>
  <c r="K163" i="4" s="1"/>
  <c r="A164" i="4"/>
  <c r="K164" i="4" s="1"/>
  <c r="A165" i="4"/>
  <c r="A166" i="4"/>
  <c r="A167" i="4"/>
  <c r="K167" i="4" s="1"/>
  <c r="A168" i="4"/>
  <c r="A169" i="4"/>
  <c r="A170" i="4"/>
  <c r="A722" i="4"/>
  <c r="K722" i="4" s="1"/>
  <c r="A723" i="4"/>
  <c r="K723" i="4" s="1"/>
  <c r="A724" i="4"/>
  <c r="A725" i="4"/>
  <c r="A726" i="4"/>
  <c r="K726" i="4" s="1"/>
  <c r="A727" i="4"/>
  <c r="K727" i="4" s="1"/>
  <c r="A728" i="4"/>
  <c r="A729" i="4"/>
  <c r="A730" i="4"/>
  <c r="K730" i="4" s="1"/>
  <c r="A731" i="4"/>
  <c r="K731" i="4" s="1"/>
  <c r="A732" i="4"/>
  <c r="A733" i="4"/>
  <c r="A734" i="4"/>
  <c r="K734" i="4" s="1"/>
  <c r="A735" i="4"/>
  <c r="A736" i="4"/>
  <c r="A171" i="4"/>
  <c r="A172" i="4"/>
  <c r="K172" i="4" s="1"/>
  <c r="A173" i="4"/>
  <c r="A174" i="4"/>
  <c r="A175" i="4"/>
  <c r="A176" i="4"/>
  <c r="K176" i="4" s="1"/>
  <c r="A177" i="4"/>
  <c r="A178" i="4"/>
  <c r="A179" i="4"/>
  <c r="A180" i="4"/>
  <c r="K180" i="4" s="1"/>
  <c r="A181" i="4"/>
  <c r="K181" i="4" s="1"/>
  <c r="A182" i="4"/>
  <c r="A556" i="4"/>
  <c r="A183" i="4"/>
  <c r="K183" i="4" s="1"/>
  <c r="A184" i="4"/>
  <c r="A737" i="4"/>
  <c r="A738" i="4"/>
  <c r="A739" i="4"/>
  <c r="K739" i="4" s="1"/>
  <c r="A740" i="4"/>
  <c r="A741" i="4"/>
  <c r="A742" i="4"/>
  <c r="A743" i="4"/>
  <c r="K743" i="4" s="1"/>
  <c r="A744" i="4"/>
  <c r="A745" i="4"/>
  <c r="A746" i="4"/>
  <c r="A747" i="4"/>
  <c r="K747" i="4" s="1"/>
  <c r="A748" i="4"/>
  <c r="A749" i="4"/>
  <c r="A750" i="4"/>
  <c r="A751" i="4"/>
  <c r="K751" i="4" s="1"/>
  <c r="A752" i="4"/>
  <c r="A753" i="4"/>
  <c r="A539" i="4"/>
  <c r="A540" i="4"/>
  <c r="K540" i="4" s="1"/>
  <c r="A541" i="4"/>
  <c r="A542" i="4"/>
  <c r="A543" i="4"/>
  <c r="A544" i="4"/>
  <c r="K544" i="4" s="1"/>
  <c r="A545" i="4"/>
  <c r="A546" i="4"/>
  <c r="A547" i="4"/>
  <c r="A548" i="4"/>
  <c r="K548" i="4" s="1"/>
  <c r="A549" i="4"/>
  <c r="A550" i="4"/>
  <c r="A551" i="4"/>
  <c r="A552" i="4"/>
  <c r="K552" i="4" s="1"/>
  <c r="A553" i="4"/>
  <c r="A554" i="4"/>
  <c r="A555" i="4"/>
  <c r="A185" i="4"/>
  <c r="K185" i="4" s="1"/>
  <c r="A186" i="4"/>
  <c r="A187" i="4"/>
  <c r="A188" i="4"/>
  <c r="A189" i="4"/>
  <c r="K189" i="4" s="1"/>
  <c r="A190" i="4"/>
  <c r="A191" i="4"/>
  <c r="A192" i="4"/>
  <c r="A193" i="4"/>
  <c r="K193" i="4" s="1"/>
  <c r="A194" i="4"/>
  <c r="A195" i="4"/>
  <c r="A196" i="4"/>
  <c r="A197" i="4"/>
  <c r="K197" i="4" s="1"/>
  <c r="A754" i="4"/>
  <c r="A755" i="4"/>
  <c r="A756" i="4"/>
  <c r="A757" i="4"/>
  <c r="K757" i="4" s="1"/>
  <c r="A758" i="4"/>
  <c r="A759" i="4"/>
  <c r="A760" i="4"/>
  <c r="A761" i="4"/>
  <c r="K761" i="4" s="1"/>
  <c r="A762" i="4"/>
  <c r="A763" i="4"/>
  <c r="A764" i="4"/>
  <c r="A765" i="4"/>
  <c r="K765" i="4" s="1"/>
  <c r="A766" i="4"/>
  <c r="A767" i="4"/>
  <c r="A768" i="4"/>
  <c r="A769" i="4"/>
  <c r="K769" i="4" s="1"/>
  <c r="A770" i="4"/>
  <c r="A198" i="4"/>
  <c r="A199" i="4"/>
  <c r="A200" i="4"/>
  <c r="K200" i="4" s="1"/>
  <c r="A201" i="4"/>
  <c r="A202" i="4"/>
  <c r="A203" i="4"/>
  <c r="A204" i="4"/>
  <c r="K204" i="4" s="1"/>
  <c r="A205" i="4"/>
  <c r="A206" i="4"/>
  <c r="A207" i="4"/>
  <c r="A208" i="4"/>
  <c r="K208" i="4" s="1"/>
  <c r="A209" i="4"/>
  <c r="A210" i="4"/>
  <c r="A211" i="4"/>
  <c r="A212" i="4"/>
  <c r="K212" i="4" s="1"/>
  <c r="A771" i="4"/>
  <c r="A772" i="4"/>
  <c r="A773" i="4"/>
  <c r="A774" i="4"/>
  <c r="K774" i="4" s="1"/>
  <c r="A775" i="4"/>
  <c r="A776" i="4"/>
  <c r="A777" i="4"/>
  <c r="A778" i="4"/>
  <c r="K778" i="4" s="1"/>
  <c r="A779" i="4"/>
  <c r="A780" i="4"/>
  <c r="A781" i="4"/>
  <c r="A782" i="4"/>
  <c r="K782" i="4" s="1"/>
  <c r="A783" i="4"/>
  <c r="A784" i="4"/>
  <c r="A213" i="4"/>
  <c r="A214" i="4"/>
  <c r="K214" i="4" s="1"/>
  <c r="A215" i="4"/>
  <c r="A216" i="4"/>
  <c r="A217" i="4"/>
  <c r="A218" i="4"/>
  <c r="K218" i="4" s="1"/>
  <c r="A219" i="4"/>
  <c r="A220" i="4"/>
  <c r="A221" i="4"/>
  <c r="A222" i="4"/>
  <c r="K222" i="4" s="1"/>
  <c r="A223" i="4"/>
  <c r="A224" i="4"/>
  <c r="A225" i="4"/>
  <c r="A785" i="4"/>
  <c r="K785" i="4" s="1"/>
  <c r="A786" i="4"/>
  <c r="A787" i="4"/>
  <c r="A788" i="4"/>
  <c r="A789" i="4"/>
  <c r="K789" i="4" s="1"/>
  <c r="A790" i="4"/>
  <c r="A791" i="4"/>
  <c r="A792" i="4"/>
  <c r="A793" i="4"/>
  <c r="K793" i="4" s="1"/>
  <c r="A794" i="4"/>
  <c r="A795" i="4"/>
  <c r="A796" i="4"/>
  <c r="A797" i="4"/>
  <c r="K797" i="4" s="1"/>
  <c r="A798" i="4"/>
  <c r="A799" i="4"/>
  <c r="A800" i="4"/>
  <c r="A801" i="4"/>
  <c r="K801" i="4" s="1"/>
  <c r="A802" i="4"/>
  <c r="A803" i="4"/>
  <c r="A804" i="4"/>
  <c r="A805" i="4"/>
  <c r="K805" i="4" s="1"/>
  <c r="A806" i="4"/>
  <c r="A807" i="4"/>
  <c r="A808" i="4"/>
  <c r="A809" i="4"/>
  <c r="K809" i="4" s="1"/>
  <c r="A810" i="4"/>
  <c r="A811" i="4"/>
  <c r="A812" i="4"/>
  <c r="A813" i="4"/>
  <c r="K813" i="4" s="1"/>
  <c r="A814" i="4"/>
  <c r="A815" i="4"/>
  <c r="A816" i="4"/>
  <c r="A226" i="4"/>
  <c r="K226" i="4" s="1"/>
  <c r="A227" i="4"/>
  <c r="A228" i="4"/>
  <c r="A229" i="4"/>
  <c r="A230" i="4"/>
  <c r="K230" i="4" s="1"/>
  <c r="A231" i="4"/>
  <c r="A232" i="4"/>
  <c r="A233" i="4"/>
  <c r="A234" i="4"/>
  <c r="K234" i="4" s="1"/>
  <c r="A235" i="4"/>
  <c r="A236" i="4"/>
  <c r="A237" i="4"/>
  <c r="A238" i="4"/>
  <c r="K238" i="4" s="1"/>
  <c r="A239" i="4"/>
  <c r="A240" i="4"/>
  <c r="A241" i="4"/>
  <c r="A242" i="4"/>
  <c r="K242" i="4" s="1"/>
  <c r="A243" i="4"/>
  <c r="A244" i="4"/>
  <c r="A245" i="4"/>
  <c r="A246" i="4"/>
  <c r="K246" i="4" s="1"/>
  <c r="A247" i="4"/>
  <c r="A248" i="4"/>
  <c r="A249" i="4"/>
  <c r="A250" i="4"/>
  <c r="K250" i="4" s="1"/>
  <c r="A251" i="4"/>
  <c r="A252" i="4"/>
  <c r="A253" i="4"/>
  <c r="A254" i="4"/>
  <c r="K254" i="4" s="1"/>
  <c r="A255" i="4"/>
  <c r="A256" i="4"/>
  <c r="A257" i="4"/>
  <c r="A258" i="4"/>
  <c r="K258" i="4" s="1"/>
  <c r="A259" i="4"/>
  <c r="A817" i="4"/>
  <c r="A260" i="4"/>
  <c r="A818" i="4"/>
  <c r="K818" i="4" s="1"/>
  <c r="A819" i="4"/>
  <c r="A820" i="4"/>
  <c r="A261" i="4"/>
  <c r="A821" i="4"/>
  <c r="K821" i="4" s="1"/>
  <c r="A822" i="4"/>
  <c r="A823" i="4"/>
  <c r="A824" i="4"/>
  <c r="A825" i="4"/>
  <c r="K825" i="4" s="1"/>
  <c r="A826" i="4"/>
  <c r="A827" i="4"/>
  <c r="A828" i="4"/>
  <c r="A829" i="4"/>
  <c r="K829" i="4" s="1"/>
  <c r="A830" i="4"/>
  <c r="A831" i="4"/>
  <c r="A832" i="4"/>
  <c r="A833" i="4"/>
  <c r="K833" i="4" s="1"/>
  <c r="A834" i="4"/>
  <c r="A835" i="4"/>
  <c r="A836" i="4"/>
  <c r="A837" i="4"/>
  <c r="K837" i="4" s="1"/>
  <c r="A838" i="4"/>
  <c r="A839" i="4"/>
  <c r="A840" i="4"/>
  <c r="A841" i="4"/>
  <c r="K841" i="4" s="1"/>
  <c r="A842" i="4"/>
  <c r="A843" i="4"/>
  <c r="A844" i="4"/>
  <c r="A845" i="4"/>
  <c r="K845" i="4" s="1"/>
  <c r="A846" i="4"/>
  <c r="A847" i="4"/>
  <c r="A262" i="4"/>
  <c r="A263" i="4"/>
  <c r="K263" i="4" s="1"/>
  <c r="A264" i="4"/>
  <c r="A265" i="4"/>
  <c r="A266" i="4"/>
  <c r="A267" i="4"/>
  <c r="K267" i="4" s="1"/>
  <c r="A268" i="4"/>
  <c r="A269" i="4"/>
  <c r="A270" i="4"/>
  <c r="A271" i="4"/>
  <c r="K271" i="4" s="1"/>
  <c r="A272" i="4"/>
  <c r="A273" i="4"/>
  <c r="A274" i="4"/>
  <c r="A275" i="4"/>
  <c r="K275" i="4" s="1"/>
  <c r="A276" i="4"/>
  <c r="A277" i="4"/>
  <c r="A278" i="4"/>
  <c r="A279" i="4"/>
  <c r="K279" i="4" s="1"/>
  <c r="A280" i="4"/>
  <c r="A281" i="4"/>
  <c r="A282" i="4"/>
  <c r="A283" i="4"/>
  <c r="K283" i="4" s="1"/>
  <c r="A284" i="4"/>
  <c r="A285" i="4"/>
  <c r="A286" i="4"/>
  <c r="A287" i="4"/>
  <c r="K287" i="4" s="1"/>
  <c r="A288" i="4"/>
  <c r="A848" i="4"/>
  <c r="A849" i="4"/>
  <c r="A850" i="4"/>
  <c r="K850" i="4" s="1"/>
  <c r="A851" i="4"/>
  <c r="A852" i="4"/>
  <c r="A853" i="4"/>
  <c r="A854" i="4"/>
  <c r="K854" i="4" s="1"/>
  <c r="A855" i="4"/>
  <c r="A856" i="4"/>
  <c r="A857" i="4"/>
  <c r="A858" i="4"/>
  <c r="K858" i="4" s="1"/>
  <c r="A859" i="4"/>
  <c r="A860" i="4"/>
  <c r="A861" i="4"/>
  <c r="A862" i="4"/>
  <c r="K862" i="4" s="1"/>
  <c r="A863" i="4"/>
  <c r="A289" i="4"/>
  <c r="A290" i="4"/>
  <c r="A864" i="4"/>
  <c r="K864" i="4" s="1"/>
  <c r="A865" i="4"/>
  <c r="A291" i="4"/>
  <c r="A866" i="4"/>
  <c r="A292" i="4"/>
  <c r="K292" i="4" s="1"/>
  <c r="A293" i="4"/>
  <c r="A867" i="4"/>
  <c r="A868" i="4"/>
  <c r="A869" i="4"/>
  <c r="K869" i="4" s="1"/>
  <c r="A870" i="4"/>
  <c r="A294" i="4"/>
  <c r="A871" i="4"/>
  <c r="A872" i="4"/>
  <c r="K872" i="4" s="1"/>
  <c r="A873" i="4"/>
  <c r="A295" i="4"/>
  <c r="A296" i="4"/>
  <c r="A874" i="4"/>
  <c r="K874" i="4" s="1"/>
  <c r="A297" i="4"/>
  <c r="A298" i="4"/>
  <c r="A875" i="4"/>
  <c r="A876" i="4"/>
  <c r="K876" i="4" s="1"/>
  <c r="A877" i="4"/>
  <c r="A299" i="4"/>
  <c r="A300" i="4"/>
  <c r="A301" i="4"/>
  <c r="K301" i="4" s="1"/>
  <c r="A302" i="4"/>
  <c r="A878" i="4"/>
  <c r="A879" i="4"/>
  <c r="A303" i="4"/>
  <c r="K303" i="4" s="1"/>
  <c r="A304" i="4"/>
  <c r="A305" i="4"/>
  <c r="A880" i="4"/>
  <c r="A881" i="4"/>
  <c r="K881" i="4" s="1"/>
  <c r="A882" i="4"/>
  <c r="A883" i="4"/>
  <c r="A884" i="4"/>
  <c r="A306" i="4"/>
  <c r="K306" i="4" s="1"/>
  <c r="A307" i="4"/>
  <c r="A308" i="4"/>
  <c r="A309" i="4"/>
  <c r="A310" i="4"/>
  <c r="K310" i="4" s="1"/>
  <c r="A311" i="4"/>
  <c r="A312" i="4"/>
  <c r="A313" i="4"/>
  <c r="A314" i="4"/>
  <c r="K314" i="4" s="1"/>
  <c r="A315" i="4"/>
  <c r="A316" i="4"/>
  <c r="A317" i="4"/>
  <c r="A318" i="4"/>
  <c r="K318" i="4" s="1"/>
  <c r="A319" i="4"/>
  <c r="A320" i="4"/>
  <c r="A321" i="4"/>
  <c r="A322" i="4"/>
  <c r="K322" i="4" s="1"/>
  <c r="A323" i="4"/>
  <c r="A324" i="4"/>
  <c r="A325" i="4"/>
  <c r="A885" i="4"/>
  <c r="K885" i="4" s="1"/>
  <c r="A886" i="4"/>
  <c r="A887" i="4"/>
  <c r="A888" i="4"/>
  <c r="A889" i="4"/>
  <c r="K889" i="4" s="1"/>
  <c r="A890" i="4"/>
  <c r="A891" i="4"/>
  <c r="A892" i="4"/>
  <c r="A893" i="4"/>
  <c r="K893" i="4" s="1"/>
  <c r="A894" i="4"/>
  <c r="A895" i="4"/>
  <c r="A896" i="4"/>
  <c r="A897" i="4"/>
  <c r="K897" i="4" s="1"/>
  <c r="A898" i="4"/>
  <c r="A899" i="4"/>
  <c r="A326" i="4"/>
  <c r="A327" i="4"/>
  <c r="K327" i="4" s="1"/>
  <c r="A328" i="4"/>
  <c r="A329" i="4"/>
  <c r="A330" i="4"/>
  <c r="A331" i="4"/>
  <c r="K331" i="4" s="1"/>
  <c r="A332" i="4"/>
  <c r="A333" i="4"/>
  <c r="A334" i="4"/>
  <c r="A335" i="4"/>
  <c r="K335" i="4" s="1"/>
  <c r="A336" i="4"/>
  <c r="A337" i="4"/>
  <c r="A338" i="4"/>
  <c r="A339" i="4"/>
  <c r="K339" i="4" s="1"/>
  <c r="A900" i="4"/>
  <c r="A901" i="4"/>
  <c r="A902" i="4"/>
  <c r="A903" i="4"/>
  <c r="K903" i="4" s="1"/>
  <c r="A904" i="4"/>
  <c r="A905" i="4"/>
  <c r="A906" i="4"/>
  <c r="A907" i="4"/>
  <c r="K907" i="4" s="1"/>
  <c r="A908" i="4"/>
  <c r="A909" i="4"/>
  <c r="A910" i="4"/>
  <c r="A911" i="4"/>
  <c r="K911" i="4" s="1"/>
  <c r="A912" i="4"/>
  <c r="A913" i="4"/>
  <c r="A914" i="4"/>
  <c r="A915" i="4"/>
  <c r="K915" i="4" s="1"/>
  <c r="A916" i="4"/>
  <c r="A917" i="4"/>
  <c r="A918" i="4"/>
  <c r="A340" i="4"/>
  <c r="K340" i="4" s="1"/>
  <c r="A341" i="4"/>
  <c r="A342" i="4"/>
  <c r="A343" i="4"/>
  <c r="A344" i="4"/>
  <c r="K344" i="4" s="1"/>
  <c r="A345" i="4"/>
  <c r="A346" i="4"/>
  <c r="A347" i="4"/>
  <c r="A348" i="4"/>
  <c r="K348" i="4" s="1"/>
  <c r="A349" i="4"/>
  <c r="A350" i="4"/>
  <c r="A351" i="4"/>
  <c r="A352" i="4"/>
  <c r="K352" i="4" s="1"/>
  <c r="A353" i="4"/>
  <c r="A354" i="4"/>
  <c r="A355" i="4"/>
  <c r="A356" i="4"/>
  <c r="K356" i="4" s="1"/>
  <c r="A357" i="4"/>
  <c r="A358" i="4"/>
  <c r="A919" i="4"/>
  <c r="A920" i="4"/>
  <c r="K920" i="4" s="1"/>
  <c r="A921" i="4"/>
  <c r="A922" i="4"/>
  <c r="A923" i="4"/>
  <c r="A359" i="4"/>
  <c r="K359" i="4" s="1"/>
  <c r="A924" i="4"/>
  <c r="A925" i="4"/>
  <c r="A926" i="4"/>
  <c r="A927" i="4"/>
  <c r="K927" i="4" s="1"/>
  <c r="A928" i="4"/>
  <c r="A929" i="4"/>
  <c r="A930" i="4"/>
  <c r="A931" i="4"/>
  <c r="K931" i="4" s="1"/>
  <c r="A932" i="4"/>
  <c r="A933" i="4"/>
  <c r="A934" i="4"/>
  <c r="A935" i="4"/>
  <c r="K935" i="4" s="1"/>
  <c r="A936" i="4"/>
  <c r="A937" i="4"/>
  <c r="A938" i="4"/>
  <c r="A939" i="4"/>
  <c r="K939" i="4" s="1"/>
  <c r="A940" i="4"/>
  <c r="A360" i="4"/>
  <c r="A361" i="4"/>
  <c r="A362" i="4"/>
  <c r="K362" i="4" s="1"/>
  <c r="A363" i="4"/>
  <c r="A364" i="4"/>
  <c r="A365" i="4"/>
  <c r="A366" i="4"/>
  <c r="K366" i="4" s="1"/>
  <c r="A367" i="4"/>
  <c r="A368" i="4"/>
  <c r="A369" i="4"/>
  <c r="A370" i="4"/>
  <c r="K370" i="4" s="1"/>
  <c r="A371" i="4"/>
  <c r="A372" i="4"/>
  <c r="A373" i="4"/>
  <c r="A374" i="4"/>
  <c r="K374" i="4" s="1"/>
  <c r="A375" i="4"/>
  <c r="A376" i="4"/>
  <c r="A941" i="4"/>
  <c r="A942" i="4"/>
  <c r="K942" i="4" s="1"/>
  <c r="A943" i="4"/>
  <c r="A944" i="4"/>
  <c r="A945" i="4"/>
  <c r="A946" i="4"/>
  <c r="K946" i="4" s="1"/>
  <c r="A947" i="4"/>
  <c r="A948" i="4"/>
  <c r="A949" i="4"/>
  <c r="A950" i="4"/>
  <c r="K950" i="4" s="1"/>
  <c r="A951" i="4"/>
  <c r="A377" i="4"/>
  <c r="A378" i="4"/>
  <c r="A379" i="4"/>
  <c r="K379" i="4" s="1"/>
  <c r="A380" i="4"/>
  <c r="A381" i="4"/>
  <c r="A382" i="4"/>
  <c r="A383" i="4"/>
  <c r="K383" i="4" s="1"/>
  <c r="A384" i="4"/>
  <c r="A952" i="4"/>
  <c r="A953" i="4"/>
  <c r="A954" i="4"/>
  <c r="K954" i="4" s="1"/>
  <c r="A385" i="4"/>
  <c r="A386" i="4"/>
  <c r="A387" i="4"/>
  <c r="A388" i="4"/>
  <c r="K388" i="4" s="1"/>
  <c r="A389" i="4"/>
  <c r="A390" i="4"/>
  <c r="A955" i="4"/>
  <c r="A956" i="4"/>
  <c r="K956" i="4" s="1"/>
  <c r="A957" i="4"/>
  <c r="A958" i="4"/>
  <c r="A959" i="4"/>
  <c r="A960" i="4"/>
  <c r="K960" i="4" s="1"/>
  <c r="A961" i="4"/>
  <c r="A962" i="4"/>
  <c r="A963" i="4"/>
  <c r="A964" i="4"/>
  <c r="K964" i="4" s="1"/>
  <c r="A965" i="4"/>
  <c r="A966" i="4"/>
  <c r="A967" i="4"/>
  <c r="A968" i="4"/>
  <c r="K968" i="4" s="1"/>
  <c r="A969" i="4"/>
  <c r="A970" i="4"/>
  <c r="A971" i="4"/>
  <c r="A972" i="4"/>
  <c r="K972" i="4" s="1"/>
  <c r="A973" i="4"/>
  <c r="A974" i="4"/>
  <c r="A975" i="4"/>
  <c r="A976" i="4"/>
  <c r="K976" i="4" s="1"/>
  <c r="A977" i="4"/>
  <c r="A978" i="4"/>
  <c r="A979" i="4"/>
  <c r="A980" i="4"/>
  <c r="K980" i="4" s="1"/>
  <c r="A981" i="4"/>
  <c r="A982" i="4"/>
  <c r="A391" i="4"/>
  <c r="A983" i="4"/>
  <c r="K983" i="4" s="1"/>
  <c r="A984" i="4"/>
  <c r="A985" i="4"/>
  <c r="A392" i="4"/>
  <c r="A986" i="4"/>
  <c r="K986" i="4" s="1"/>
  <c r="A393" i="4"/>
  <c r="A394" i="4"/>
  <c r="A395" i="4"/>
  <c r="A396" i="4"/>
  <c r="K396" i="4" s="1"/>
  <c r="A397" i="4"/>
  <c r="A398" i="4"/>
  <c r="A399" i="4"/>
  <c r="A400" i="4"/>
  <c r="K400" i="4" s="1"/>
  <c r="A401" i="4"/>
  <c r="A402" i="4"/>
  <c r="A403" i="4"/>
  <c r="A404" i="4"/>
  <c r="K404" i="4" s="1"/>
  <c r="A405" i="4"/>
  <c r="A406" i="4"/>
  <c r="A407" i="4"/>
  <c r="A408" i="4"/>
  <c r="K408" i="4" s="1"/>
  <c r="A409" i="4"/>
  <c r="A410" i="4"/>
  <c r="A411" i="4"/>
  <c r="A412" i="4"/>
  <c r="K412" i="4" s="1"/>
  <c r="A413" i="4"/>
  <c r="A414" i="4"/>
  <c r="A415" i="4"/>
  <c r="A416" i="4"/>
  <c r="K416" i="4" s="1"/>
  <c r="A417" i="4"/>
  <c r="A418" i="4"/>
  <c r="A419" i="4"/>
  <c r="A420" i="4"/>
  <c r="K420" i="4" s="1"/>
  <c r="A421" i="4"/>
  <c r="A422" i="4"/>
  <c r="A423" i="4"/>
  <c r="A987" i="4"/>
  <c r="K987" i="4" s="1"/>
  <c r="A988" i="4"/>
  <c r="A989" i="4"/>
  <c r="A990" i="4"/>
  <c r="A991" i="4"/>
  <c r="K991" i="4" s="1"/>
  <c r="A992" i="4"/>
  <c r="A993" i="4"/>
  <c r="A994" i="4"/>
  <c r="A995" i="4"/>
  <c r="K995" i="4" s="1"/>
  <c r="A996" i="4"/>
  <c r="A997" i="4"/>
  <c r="A998" i="4"/>
  <c r="A999" i="4"/>
  <c r="K999" i="4" s="1"/>
  <c r="A1000" i="4"/>
  <c r="A424" i="4"/>
  <c r="A425" i="4"/>
  <c r="A426" i="4"/>
  <c r="K426" i="4" s="1"/>
  <c r="A427" i="4"/>
  <c r="A428" i="4"/>
  <c r="A429" i="4"/>
  <c r="A430" i="4"/>
  <c r="K430" i="4" s="1"/>
  <c r="A431" i="4"/>
  <c r="A432" i="4"/>
  <c r="A433" i="4"/>
  <c r="A434" i="4"/>
  <c r="K434" i="4" s="1"/>
  <c r="A435" i="4"/>
  <c r="A436" i="4"/>
  <c r="A1001" i="4"/>
  <c r="A1002" i="4"/>
  <c r="K1002" i="4" s="1"/>
  <c r="A1003" i="4"/>
  <c r="A1004" i="4"/>
  <c r="A1005" i="4"/>
  <c r="A1006" i="4"/>
  <c r="K1006" i="4" s="1"/>
  <c r="A1007" i="4"/>
  <c r="A1008" i="4"/>
  <c r="A1009" i="4"/>
  <c r="A1010" i="4"/>
  <c r="K1010" i="4" s="1"/>
  <c r="A1011" i="4"/>
  <c r="A1012" i="4"/>
  <c r="A1013" i="4"/>
  <c r="A437" i="4"/>
  <c r="K437" i="4" s="1"/>
  <c r="A438" i="4"/>
  <c r="A439" i="4"/>
  <c r="A440" i="4"/>
  <c r="A441" i="4"/>
  <c r="K441" i="4" s="1"/>
  <c r="A442" i="4"/>
  <c r="A443" i="4"/>
  <c r="A444" i="4"/>
  <c r="A445" i="4"/>
  <c r="K445" i="4" s="1"/>
  <c r="A562" i="4"/>
  <c r="A563" i="4"/>
  <c r="A446" i="4"/>
  <c r="A447" i="4"/>
  <c r="K447" i="4" s="1"/>
  <c r="A1014" i="4"/>
  <c r="A1015" i="4"/>
  <c r="A1016" i="4"/>
  <c r="A1017" i="4"/>
  <c r="K1017" i="4" s="1"/>
  <c r="A1018" i="4"/>
  <c r="A1019" i="4"/>
  <c r="A448" i="4"/>
  <c r="A449" i="4"/>
  <c r="K449" i="4" s="1"/>
  <c r="A450" i="4"/>
  <c r="A451" i="4"/>
  <c r="A452" i="4"/>
  <c r="A453" i="4"/>
  <c r="K453" i="4" s="1"/>
  <c r="A1020" i="4"/>
  <c r="A1021" i="4"/>
  <c r="A1022" i="4"/>
  <c r="A1023" i="4"/>
  <c r="K1023" i="4" s="1"/>
  <c r="A1024" i="4"/>
  <c r="A1025" i="4"/>
  <c r="A1026" i="4"/>
  <c r="A1027" i="4"/>
  <c r="K1027" i="4" s="1"/>
  <c r="A1028" i="4"/>
  <c r="A1029" i="4"/>
  <c r="A1030" i="4"/>
  <c r="A1031" i="4"/>
  <c r="K1031" i="4" s="1"/>
  <c r="A1032" i="4"/>
  <c r="A1033" i="4"/>
  <c r="A1034" i="4"/>
  <c r="A1035" i="4"/>
  <c r="K1035" i="4" s="1"/>
  <c r="A1036" i="4"/>
  <c r="A1037" i="4"/>
  <c r="A1038" i="4"/>
  <c r="A1039" i="4"/>
  <c r="K1039" i="4" s="1"/>
  <c r="A1040" i="4"/>
  <c r="A1041" i="4"/>
  <c r="A1042" i="4"/>
  <c r="A454" i="4"/>
  <c r="K454" i="4" s="1"/>
  <c r="A455" i="4"/>
  <c r="A456" i="4"/>
  <c r="A457" i="4"/>
  <c r="A1043" i="4"/>
  <c r="K1043" i="4" s="1"/>
  <c r="A1044" i="4"/>
  <c r="A1045" i="4"/>
  <c r="A458" i="4"/>
  <c r="A1046" i="4"/>
  <c r="K1046" i="4" s="1"/>
  <c r="A1047" i="4"/>
  <c r="A459" i="4"/>
  <c r="A460" i="4"/>
  <c r="A461" i="4"/>
  <c r="K461" i="4" s="1"/>
  <c r="A462" i="4"/>
  <c r="A463" i="4"/>
  <c r="A464" i="4"/>
  <c r="A465" i="4"/>
  <c r="K465" i="4" s="1"/>
  <c r="A466" i="4"/>
  <c r="A467" i="4"/>
  <c r="A468" i="4"/>
  <c r="A469" i="4"/>
  <c r="K469" i="4" s="1"/>
  <c r="A470" i="4"/>
  <c r="A471" i="4"/>
  <c r="A472" i="4"/>
  <c r="A473" i="4"/>
  <c r="K473" i="4" s="1"/>
  <c r="A474" i="4"/>
  <c r="A1048" i="4"/>
  <c r="A1049" i="4"/>
  <c r="A1050" i="4"/>
  <c r="K1050" i="4" s="1"/>
  <c r="A475" i="4"/>
  <c r="A476" i="4"/>
  <c r="A1051" i="4"/>
  <c r="A1052" i="4"/>
  <c r="K1052" i="4" s="1"/>
  <c r="A1053" i="4"/>
  <c r="A477" i="4"/>
  <c r="A478" i="4"/>
  <c r="A479" i="4"/>
  <c r="K479" i="4" s="1"/>
  <c r="A480" i="4"/>
  <c r="A481" i="4"/>
  <c r="A482" i="4"/>
  <c r="A483" i="4"/>
  <c r="K483" i="4" s="1"/>
  <c r="A484" i="4"/>
  <c r="A485" i="4"/>
  <c r="A486" i="4"/>
  <c r="A487" i="4"/>
  <c r="K487" i="4" s="1"/>
  <c r="A1054" i="4"/>
  <c r="A1055" i="4"/>
  <c r="A1056" i="4"/>
  <c r="A1057" i="4"/>
  <c r="K1057" i="4" s="1"/>
  <c r="A488" i="4"/>
  <c r="A489" i="4"/>
  <c r="A490" i="4"/>
  <c r="A491" i="4"/>
  <c r="K491" i="4" s="1"/>
  <c r="A1058" i="4"/>
  <c r="A1059" i="4"/>
  <c r="A1060" i="4"/>
  <c r="A1061" i="4"/>
  <c r="K1061" i="4" s="1"/>
  <c r="A1062" i="4"/>
  <c r="A1063" i="4"/>
  <c r="A1064" i="4"/>
  <c r="A1065" i="4"/>
  <c r="K1065" i="4" s="1"/>
  <c r="A1066" i="4"/>
  <c r="A1067" i="4"/>
  <c r="A1068" i="4"/>
  <c r="A1069" i="4"/>
  <c r="K1069" i="4" s="1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492" i="4"/>
  <c r="A493" i="4"/>
  <c r="A494" i="4"/>
  <c r="A1098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1099" i="4"/>
  <c r="A1100" i="4"/>
  <c r="A1101" i="4"/>
  <c r="A1102" i="4"/>
  <c r="A1103" i="4"/>
  <c r="A1104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1105" i="4"/>
  <c r="A529" i="4"/>
  <c r="A530" i="4"/>
  <c r="A531" i="4"/>
  <c r="A532" i="4"/>
  <c r="A533" i="4"/>
  <c r="A534" i="4"/>
  <c r="A535" i="4"/>
  <c r="A536" i="4"/>
  <c r="A537" i="4"/>
  <c r="A538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K565" i="4"/>
  <c r="K567" i="4"/>
  <c r="K570" i="4"/>
  <c r="K571" i="4"/>
  <c r="K558" i="4"/>
  <c r="K559" i="4"/>
  <c r="K560" i="4"/>
  <c r="K3" i="4"/>
  <c r="K4" i="4"/>
  <c r="K7" i="4"/>
  <c r="K8" i="4"/>
  <c r="K10" i="4"/>
  <c r="K11" i="4"/>
  <c r="K12" i="4"/>
  <c r="K574" i="4"/>
  <c r="K575" i="4"/>
  <c r="K578" i="4"/>
  <c r="K579" i="4"/>
  <c r="K581" i="4"/>
  <c r="K582" i="4"/>
  <c r="K583" i="4"/>
  <c r="K585" i="4"/>
  <c r="K586" i="4"/>
  <c r="K587" i="4"/>
  <c r="K590" i="4"/>
  <c r="K591" i="4"/>
  <c r="K593" i="4"/>
  <c r="K594" i="4"/>
  <c r="K595" i="4"/>
  <c r="K14" i="4"/>
  <c r="K15" i="4"/>
  <c r="K16" i="4"/>
  <c r="K19" i="4"/>
  <c r="K20" i="4"/>
  <c r="K22" i="4"/>
  <c r="K23" i="4"/>
  <c r="K24" i="4"/>
  <c r="K26" i="4"/>
  <c r="K27" i="4"/>
  <c r="K28" i="4"/>
  <c r="K31" i="4"/>
  <c r="K32" i="4"/>
  <c r="K35" i="4"/>
  <c r="K36" i="4"/>
  <c r="K38" i="4"/>
  <c r="K39" i="4"/>
  <c r="K40" i="4"/>
  <c r="K43" i="4"/>
  <c r="K596" i="4"/>
  <c r="K45" i="4"/>
  <c r="K46" i="4"/>
  <c r="K49" i="4"/>
  <c r="K50" i="4"/>
  <c r="K52" i="4"/>
  <c r="K53" i="4"/>
  <c r="K54" i="4"/>
  <c r="K56" i="4"/>
  <c r="K57" i="4"/>
  <c r="K598" i="4"/>
  <c r="K601" i="4"/>
  <c r="K602" i="4"/>
  <c r="K605" i="4"/>
  <c r="K606" i="4"/>
  <c r="K608" i="4"/>
  <c r="K609" i="4"/>
  <c r="K610" i="4"/>
  <c r="K613" i="4"/>
  <c r="K614" i="4"/>
  <c r="K617" i="4"/>
  <c r="K618" i="4"/>
  <c r="K621" i="4"/>
  <c r="K622" i="4"/>
  <c r="K624" i="4"/>
  <c r="K625" i="4"/>
  <c r="K626" i="4"/>
  <c r="K58" i="4"/>
  <c r="K59" i="4"/>
  <c r="K60" i="4"/>
  <c r="K63" i="4"/>
  <c r="K64" i="4"/>
  <c r="K67" i="4"/>
  <c r="K68" i="4"/>
  <c r="K70" i="4"/>
  <c r="K71" i="4"/>
  <c r="K72" i="4"/>
  <c r="K75" i="4"/>
  <c r="K76" i="4"/>
  <c r="K79" i="4"/>
  <c r="K80" i="4"/>
  <c r="K83" i="4"/>
  <c r="K84" i="4"/>
  <c r="K86" i="4"/>
  <c r="K87" i="4"/>
  <c r="K88" i="4"/>
  <c r="K629" i="4"/>
  <c r="K630" i="4"/>
  <c r="K631" i="4"/>
  <c r="K634" i="4"/>
  <c r="K635" i="4"/>
  <c r="K91" i="4"/>
  <c r="K92" i="4"/>
  <c r="K94" i="4"/>
  <c r="K95" i="4"/>
  <c r="K96" i="4"/>
  <c r="K99" i="4"/>
  <c r="K100" i="4"/>
  <c r="K636" i="4"/>
  <c r="K637" i="4"/>
  <c r="K640" i="4"/>
  <c r="K641" i="4"/>
  <c r="K643" i="4"/>
  <c r="K644" i="4"/>
  <c r="K645" i="4"/>
  <c r="K647" i="4"/>
  <c r="K648" i="4"/>
  <c r="K649" i="4"/>
  <c r="K652" i="4"/>
  <c r="K653" i="4"/>
  <c r="K656" i="4"/>
  <c r="K657" i="4"/>
  <c r="K659" i="4"/>
  <c r="K660" i="4"/>
  <c r="K661" i="4"/>
  <c r="K664" i="4"/>
  <c r="K665" i="4"/>
  <c r="K103" i="4"/>
  <c r="K104" i="4"/>
  <c r="K107" i="4"/>
  <c r="K108" i="4"/>
  <c r="K110" i="4"/>
  <c r="K111" i="4"/>
  <c r="K112" i="4"/>
  <c r="K114" i="4"/>
  <c r="K115" i="4"/>
  <c r="K116" i="4"/>
  <c r="K119" i="4"/>
  <c r="K120" i="4"/>
  <c r="K123" i="4"/>
  <c r="K124" i="4"/>
  <c r="K126" i="4"/>
  <c r="K127" i="4"/>
  <c r="K128" i="4"/>
  <c r="K131" i="4"/>
  <c r="K132" i="4"/>
  <c r="K668" i="4"/>
  <c r="K669" i="4"/>
  <c r="K672" i="4"/>
  <c r="K673" i="4"/>
  <c r="K675" i="4"/>
  <c r="K676" i="4"/>
  <c r="K677" i="4"/>
  <c r="K679" i="4"/>
  <c r="K680" i="4"/>
  <c r="K681" i="4"/>
  <c r="K684" i="4"/>
  <c r="K685" i="4"/>
  <c r="K688" i="4"/>
  <c r="K689" i="4"/>
  <c r="K691" i="4"/>
  <c r="K692" i="4"/>
  <c r="K693" i="4"/>
  <c r="K696" i="4"/>
  <c r="K135" i="4"/>
  <c r="K138" i="4"/>
  <c r="K139" i="4"/>
  <c r="K142" i="4"/>
  <c r="K143" i="4"/>
  <c r="K145" i="4"/>
  <c r="K146" i="4"/>
  <c r="K147" i="4"/>
  <c r="K149" i="4"/>
  <c r="K150" i="4"/>
  <c r="K151" i="4"/>
  <c r="K699" i="4"/>
  <c r="K700" i="4"/>
  <c r="K703" i="4"/>
  <c r="K704" i="4"/>
  <c r="K706" i="4"/>
  <c r="K152" i="4"/>
  <c r="K153" i="4"/>
  <c r="K156" i="4"/>
  <c r="K707" i="4"/>
  <c r="K710" i="4"/>
  <c r="K711" i="4"/>
  <c r="K714" i="4"/>
  <c r="K715" i="4"/>
  <c r="K717" i="4"/>
  <c r="K718" i="4"/>
  <c r="K719" i="4"/>
  <c r="K721" i="4"/>
  <c r="K157" i="4"/>
  <c r="K158" i="4"/>
  <c r="K161" i="4"/>
  <c r="K162" i="4"/>
  <c r="K165" i="4"/>
  <c r="K166" i="4"/>
  <c r="K168" i="4"/>
  <c r="K169" i="4"/>
  <c r="K170" i="4"/>
  <c r="K724" i="4"/>
  <c r="K725" i="4"/>
  <c r="K728" i="4"/>
  <c r="K729" i="4"/>
  <c r="K732" i="4"/>
  <c r="K733" i="4"/>
  <c r="K735" i="4"/>
  <c r="K736" i="4"/>
  <c r="K171" i="4"/>
  <c r="K173" i="4"/>
  <c r="K174" i="4"/>
  <c r="K175" i="4"/>
  <c r="K177" i="4"/>
  <c r="K178" i="4"/>
  <c r="K179" i="4"/>
  <c r="K182" i="4"/>
  <c r="K556" i="4"/>
  <c r="K184" i="4"/>
  <c r="K737" i="4"/>
  <c r="K738" i="4"/>
  <c r="K740" i="4"/>
  <c r="K741" i="4"/>
  <c r="K742" i="4"/>
  <c r="K744" i="4"/>
  <c r="K745" i="4"/>
  <c r="K746" i="4"/>
  <c r="K748" i="4"/>
  <c r="K749" i="4"/>
  <c r="K750" i="4"/>
  <c r="K752" i="4"/>
  <c r="K753" i="4"/>
  <c r="K539" i="4"/>
  <c r="K541" i="4"/>
  <c r="K542" i="4"/>
  <c r="K543" i="4"/>
  <c r="K545" i="4"/>
  <c r="K546" i="4"/>
  <c r="K547" i="4"/>
  <c r="K549" i="4"/>
  <c r="K550" i="4"/>
  <c r="K551" i="4"/>
  <c r="K553" i="4"/>
  <c r="K554" i="4"/>
  <c r="K555" i="4"/>
  <c r="K186" i="4"/>
  <c r="K187" i="4"/>
  <c r="K188" i="4"/>
  <c r="K190" i="4"/>
  <c r="K191" i="4"/>
  <c r="K192" i="4"/>
  <c r="K194" i="4"/>
  <c r="K195" i="4"/>
  <c r="K196" i="4"/>
  <c r="K754" i="4"/>
  <c r="K755" i="4"/>
  <c r="K756" i="4"/>
  <c r="K758" i="4"/>
  <c r="K759" i="4"/>
  <c r="K760" i="4"/>
  <c r="K762" i="4"/>
  <c r="K763" i="4"/>
  <c r="K764" i="4"/>
  <c r="K766" i="4"/>
  <c r="K767" i="4"/>
  <c r="K768" i="4"/>
  <c r="K770" i="4"/>
  <c r="K198" i="4"/>
  <c r="K199" i="4"/>
  <c r="K201" i="4"/>
  <c r="K202" i="4"/>
  <c r="K203" i="4"/>
  <c r="K205" i="4"/>
  <c r="K206" i="4"/>
  <c r="K207" i="4"/>
  <c r="K209" i="4"/>
  <c r="K210" i="4"/>
  <c r="K211" i="4"/>
  <c r="K771" i="4"/>
  <c r="K772" i="4"/>
  <c r="K773" i="4"/>
  <c r="K775" i="4"/>
  <c r="K776" i="4"/>
  <c r="K777" i="4"/>
  <c r="K779" i="4"/>
  <c r="K780" i="4"/>
  <c r="K781" i="4"/>
  <c r="K783" i="4"/>
  <c r="K784" i="4"/>
  <c r="K213" i="4"/>
  <c r="K215" i="4"/>
  <c r="K216" i="4"/>
  <c r="K217" i="4"/>
  <c r="K219" i="4"/>
  <c r="K220" i="4"/>
  <c r="K221" i="4"/>
  <c r="K223" i="4"/>
  <c r="K224" i="4"/>
  <c r="K225" i="4"/>
  <c r="K786" i="4"/>
  <c r="K787" i="4"/>
  <c r="K788" i="4"/>
  <c r="K790" i="4"/>
  <c r="K791" i="4"/>
  <c r="K792" i="4"/>
  <c r="K794" i="4"/>
  <c r="K795" i="4"/>
  <c r="K796" i="4"/>
  <c r="K798" i="4"/>
  <c r="K799" i="4"/>
  <c r="K800" i="4"/>
  <c r="K802" i="4"/>
  <c r="K803" i="4"/>
  <c r="K804" i="4"/>
  <c r="K806" i="4"/>
  <c r="K807" i="4"/>
  <c r="K808" i="4"/>
  <c r="K810" i="4"/>
  <c r="K811" i="4"/>
  <c r="K812" i="4"/>
  <c r="K814" i="4"/>
  <c r="K815" i="4"/>
  <c r="K816" i="4"/>
  <c r="K227" i="4"/>
  <c r="K228" i="4"/>
  <c r="K229" i="4"/>
  <c r="K231" i="4"/>
  <c r="K232" i="4"/>
  <c r="K233" i="4"/>
  <c r="K235" i="4"/>
  <c r="K236" i="4"/>
  <c r="K237" i="4"/>
  <c r="K239" i="4"/>
  <c r="K240" i="4"/>
  <c r="K241" i="4"/>
  <c r="K243" i="4"/>
  <c r="K244" i="4"/>
  <c r="K245" i="4"/>
  <c r="K247" i="4"/>
  <c r="K248" i="4"/>
  <c r="K249" i="4"/>
  <c r="K251" i="4"/>
  <c r="K252" i="4"/>
  <c r="K253" i="4"/>
  <c r="K255" i="4"/>
  <c r="K256" i="4"/>
  <c r="K257" i="4"/>
  <c r="K259" i="4"/>
  <c r="K817" i="4"/>
  <c r="K260" i="4"/>
  <c r="K819" i="4"/>
  <c r="K820" i="4"/>
  <c r="K261" i="4"/>
  <c r="K822" i="4"/>
  <c r="K823" i="4"/>
  <c r="K824" i="4"/>
  <c r="K826" i="4"/>
  <c r="K827" i="4"/>
  <c r="K828" i="4"/>
  <c r="K830" i="4"/>
  <c r="K831" i="4"/>
  <c r="K832" i="4"/>
  <c r="K834" i="4"/>
  <c r="K835" i="4"/>
  <c r="K836" i="4"/>
  <c r="K838" i="4"/>
  <c r="K839" i="4"/>
  <c r="K840" i="4"/>
  <c r="K842" i="4"/>
  <c r="K843" i="4"/>
  <c r="K844" i="4"/>
  <c r="K846" i="4"/>
  <c r="K847" i="4"/>
  <c r="K262" i="4"/>
  <c r="K264" i="4"/>
  <c r="K265" i="4"/>
  <c r="K266" i="4"/>
  <c r="K268" i="4"/>
  <c r="K269" i="4"/>
  <c r="K270" i="4"/>
  <c r="K272" i="4"/>
  <c r="K273" i="4"/>
  <c r="K274" i="4"/>
  <c r="K276" i="4"/>
  <c r="K277" i="4"/>
  <c r="K278" i="4"/>
  <c r="K280" i="4"/>
  <c r="K281" i="4"/>
  <c r="K282" i="4"/>
  <c r="K284" i="4"/>
  <c r="K285" i="4"/>
  <c r="K286" i="4"/>
  <c r="K288" i="4"/>
  <c r="K848" i="4"/>
  <c r="K849" i="4"/>
  <c r="K851" i="4"/>
  <c r="K852" i="4"/>
  <c r="K853" i="4"/>
  <c r="K855" i="4"/>
  <c r="K856" i="4"/>
  <c r="K857" i="4"/>
  <c r="K859" i="4"/>
  <c r="K860" i="4"/>
  <c r="K861" i="4"/>
  <c r="K863" i="4"/>
  <c r="K289" i="4"/>
  <c r="K290" i="4"/>
  <c r="K865" i="4"/>
  <c r="K291" i="4"/>
  <c r="K866" i="4"/>
  <c r="K293" i="4"/>
  <c r="K867" i="4"/>
  <c r="K868" i="4"/>
  <c r="K870" i="4"/>
  <c r="K294" i="4"/>
  <c r="K871" i="4"/>
  <c r="K873" i="4"/>
  <c r="K295" i="4"/>
  <c r="K296" i="4"/>
  <c r="K297" i="4"/>
  <c r="K298" i="4"/>
  <c r="K875" i="4"/>
  <c r="K877" i="4"/>
  <c r="K299" i="4"/>
  <c r="K300" i="4"/>
  <c r="K302" i="4"/>
  <c r="K878" i="4"/>
  <c r="K879" i="4"/>
  <c r="K304" i="4"/>
  <c r="K305" i="4"/>
  <c r="K880" i="4"/>
  <c r="K882" i="4"/>
  <c r="K883" i="4"/>
  <c r="K884" i="4"/>
  <c r="K307" i="4"/>
  <c r="K308" i="4"/>
  <c r="K309" i="4"/>
  <c r="K311" i="4"/>
  <c r="K312" i="4"/>
  <c r="K313" i="4"/>
  <c r="K315" i="4"/>
  <c r="K316" i="4"/>
  <c r="K317" i="4"/>
  <c r="K319" i="4"/>
  <c r="K320" i="4"/>
  <c r="K321" i="4"/>
  <c r="K323" i="4"/>
  <c r="K324" i="4"/>
  <c r="K325" i="4"/>
  <c r="K886" i="4"/>
  <c r="K887" i="4"/>
  <c r="K888" i="4"/>
  <c r="K890" i="4"/>
  <c r="K891" i="4"/>
  <c r="K892" i="4"/>
  <c r="K894" i="4"/>
  <c r="K895" i="4"/>
  <c r="K896" i="4"/>
  <c r="K898" i="4"/>
  <c r="K899" i="4"/>
  <c r="K326" i="4"/>
  <c r="K328" i="4"/>
  <c r="K329" i="4"/>
  <c r="K330" i="4"/>
  <c r="K332" i="4"/>
  <c r="K333" i="4"/>
  <c r="K334" i="4"/>
  <c r="K336" i="4"/>
  <c r="K337" i="4"/>
  <c r="K338" i="4"/>
  <c r="K900" i="4"/>
  <c r="K901" i="4"/>
  <c r="K902" i="4"/>
  <c r="K904" i="4"/>
  <c r="K905" i="4"/>
  <c r="K906" i="4"/>
  <c r="K908" i="4"/>
  <c r="K909" i="4"/>
  <c r="K910" i="4"/>
  <c r="K912" i="4"/>
  <c r="K913" i="4"/>
  <c r="K914" i="4"/>
  <c r="K916" i="4"/>
  <c r="K917" i="4"/>
  <c r="K918" i="4"/>
  <c r="K341" i="4"/>
  <c r="K342" i="4"/>
  <c r="K343" i="4"/>
  <c r="K345" i="4"/>
  <c r="K346" i="4"/>
  <c r="K347" i="4"/>
  <c r="K349" i="4"/>
  <c r="K350" i="4"/>
  <c r="K351" i="4"/>
  <c r="K353" i="4"/>
  <c r="K354" i="4"/>
  <c r="K355" i="4"/>
  <c r="K357" i="4"/>
  <c r="K358" i="4"/>
  <c r="K919" i="4"/>
  <c r="K921" i="4"/>
  <c r="K922" i="4"/>
  <c r="K923" i="4"/>
  <c r="K924" i="4"/>
  <c r="K925" i="4"/>
  <c r="K926" i="4"/>
  <c r="K928" i="4"/>
  <c r="K929" i="4"/>
  <c r="K930" i="4"/>
  <c r="K932" i="4"/>
  <c r="K933" i="4"/>
  <c r="K934" i="4"/>
  <c r="K936" i="4"/>
  <c r="K937" i="4"/>
  <c r="K938" i="4"/>
  <c r="K940" i="4"/>
  <c r="K360" i="4"/>
  <c r="K361" i="4"/>
  <c r="K363" i="4"/>
  <c r="K364" i="4"/>
  <c r="K365" i="4"/>
  <c r="K367" i="4"/>
  <c r="K368" i="4"/>
  <c r="K369" i="4"/>
  <c r="K371" i="4"/>
  <c r="K372" i="4"/>
  <c r="K373" i="4"/>
  <c r="K375" i="4"/>
  <c r="K376" i="4"/>
  <c r="K941" i="4"/>
  <c r="K943" i="4"/>
  <c r="K944" i="4"/>
  <c r="K945" i="4"/>
  <c r="K947" i="4"/>
  <c r="K948" i="4"/>
  <c r="K949" i="4"/>
  <c r="K951" i="4"/>
  <c r="K377" i="4"/>
  <c r="K378" i="4"/>
  <c r="K380" i="4"/>
  <c r="K381" i="4"/>
  <c r="K382" i="4"/>
  <c r="K384" i="4"/>
  <c r="K952" i="4"/>
  <c r="K953" i="4"/>
  <c r="K385" i="4"/>
  <c r="K386" i="4"/>
  <c r="K387" i="4"/>
  <c r="K389" i="4"/>
  <c r="K390" i="4"/>
  <c r="K955" i="4"/>
  <c r="K957" i="4"/>
  <c r="K958" i="4"/>
  <c r="K959" i="4"/>
  <c r="K961" i="4"/>
  <c r="K962" i="4"/>
  <c r="K963" i="4"/>
  <c r="K965" i="4"/>
  <c r="K966" i="4"/>
  <c r="K967" i="4"/>
  <c r="K969" i="4"/>
  <c r="K970" i="4"/>
  <c r="K971" i="4"/>
  <c r="K973" i="4"/>
  <c r="K974" i="4"/>
  <c r="K975" i="4"/>
  <c r="K977" i="4"/>
  <c r="K978" i="4"/>
  <c r="K979" i="4"/>
  <c r="K981" i="4"/>
  <c r="K982" i="4"/>
  <c r="K391" i="4"/>
  <c r="K984" i="4"/>
  <c r="K985" i="4"/>
  <c r="K392" i="4"/>
  <c r="K393" i="4"/>
  <c r="K394" i="4"/>
  <c r="K395" i="4"/>
  <c r="K397" i="4"/>
  <c r="K398" i="4"/>
  <c r="K399" i="4"/>
  <c r="K401" i="4"/>
  <c r="K402" i="4"/>
  <c r="K403" i="4"/>
  <c r="K405" i="4"/>
  <c r="K406" i="4"/>
  <c r="K407" i="4"/>
  <c r="K409" i="4"/>
  <c r="K410" i="4"/>
  <c r="K411" i="4"/>
  <c r="K413" i="4"/>
  <c r="K414" i="4"/>
  <c r="K415" i="4"/>
  <c r="K417" i="4"/>
  <c r="K418" i="4"/>
  <c r="K419" i="4"/>
  <c r="K421" i="4"/>
  <c r="K422" i="4"/>
  <c r="K423" i="4"/>
  <c r="K988" i="4"/>
  <c r="K989" i="4"/>
  <c r="K990" i="4"/>
  <c r="K992" i="4"/>
  <c r="K993" i="4"/>
  <c r="K994" i="4"/>
  <c r="K996" i="4"/>
  <c r="K997" i="4"/>
  <c r="K998" i="4"/>
  <c r="K1000" i="4"/>
  <c r="K424" i="4"/>
  <c r="K425" i="4"/>
  <c r="K427" i="4"/>
  <c r="K428" i="4"/>
  <c r="K429" i="4"/>
  <c r="K431" i="4"/>
  <c r="K432" i="4"/>
  <c r="K433" i="4"/>
  <c r="K435" i="4"/>
  <c r="K436" i="4"/>
  <c r="K1001" i="4"/>
  <c r="K1003" i="4"/>
  <c r="K1004" i="4"/>
  <c r="K1005" i="4"/>
  <c r="K1007" i="4"/>
  <c r="K1008" i="4"/>
  <c r="K1009" i="4"/>
  <c r="K1011" i="4"/>
  <c r="K1012" i="4"/>
  <c r="K1013" i="4"/>
  <c r="K438" i="4"/>
  <c r="K439" i="4"/>
  <c r="K440" i="4"/>
  <c r="K442" i="4"/>
  <c r="K443" i="4"/>
  <c r="K444" i="4"/>
  <c r="K562" i="4"/>
  <c r="K563" i="4"/>
  <c r="K446" i="4"/>
  <c r="K1014" i="4"/>
  <c r="K1015" i="4"/>
  <c r="K1016" i="4"/>
  <c r="K1018" i="4"/>
  <c r="K1019" i="4"/>
  <c r="K448" i="4"/>
  <c r="K450" i="4"/>
  <c r="K451" i="4"/>
  <c r="K452" i="4"/>
  <c r="K1020" i="4"/>
  <c r="K1021" i="4"/>
  <c r="K1022" i="4"/>
  <c r="K1024" i="4"/>
  <c r="K1025" i="4"/>
  <c r="K1026" i="4"/>
  <c r="K1028" i="4"/>
  <c r="K1029" i="4"/>
  <c r="K1030" i="4"/>
  <c r="K1032" i="4"/>
  <c r="K1033" i="4"/>
  <c r="K1034" i="4"/>
  <c r="K1036" i="4"/>
  <c r="K1037" i="4"/>
  <c r="K1038" i="4"/>
  <c r="K1040" i="4"/>
  <c r="K1041" i="4"/>
  <c r="K1042" i="4"/>
  <c r="K455" i="4"/>
  <c r="K456" i="4"/>
  <c r="K457" i="4"/>
  <c r="K1044" i="4"/>
  <c r="K1045" i="4"/>
  <c r="K458" i="4"/>
  <c r="K1047" i="4"/>
  <c r="K459" i="4"/>
  <c r="K460" i="4"/>
  <c r="K462" i="4"/>
  <c r="K463" i="4"/>
  <c r="K464" i="4"/>
  <c r="K466" i="4"/>
  <c r="K467" i="4"/>
  <c r="K468" i="4"/>
  <c r="K470" i="4"/>
  <c r="K471" i="4"/>
  <c r="K472" i="4"/>
  <c r="K474" i="4"/>
  <c r="K1048" i="4"/>
  <c r="K1049" i="4"/>
  <c r="K475" i="4"/>
  <c r="K476" i="4"/>
  <c r="K1051" i="4"/>
  <c r="K1053" i="4"/>
  <c r="K477" i="4"/>
  <c r="K478" i="4"/>
  <c r="K480" i="4"/>
  <c r="K481" i="4"/>
  <c r="K482" i="4"/>
  <c r="K484" i="4"/>
  <c r="K485" i="4"/>
  <c r="K486" i="4"/>
  <c r="K1054" i="4"/>
  <c r="K1055" i="4"/>
  <c r="K1056" i="4"/>
  <c r="K488" i="4"/>
  <c r="K489" i="4"/>
  <c r="K490" i="4"/>
  <c r="K1058" i="4"/>
  <c r="K1059" i="4"/>
  <c r="K1060" i="4"/>
  <c r="K1062" i="4"/>
  <c r="K1063" i="4"/>
  <c r="K1064" i="4"/>
  <c r="K1066" i="4"/>
  <c r="K1067" i="4"/>
  <c r="K1068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492" i="4"/>
  <c r="K493" i="4"/>
  <c r="K494" i="4"/>
  <c r="K1098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1099" i="4"/>
  <c r="K1100" i="4"/>
  <c r="K1101" i="4"/>
  <c r="K1102" i="4"/>
  <c r="K1103" i="4"/>
  <c r="K1104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1105" i="4"/>
  <c r="K529" i="4"/>
  <c r="K530" i="4"/>
  <c r="K531" i="4"/>
  <c r="K532" i="4"/>
  <c r="K533" i="4"/>
  <c r="K534" i="4"/>
  <c r="K535" i="4"/>
  <c r="K536" i="4"/>
  <c r="K537" i="4"/>
  <c r="K538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A4" i="1" l="1"/>
  <c r="A564" i="4"/>
  <c r="K564" i="4" s="1"/>
  <c r="K21" i="2" l="1"/>
  <c r="K20" i="2"/>
  <c r="K19" i="2"/>
  <c r="K18" i="2"/>
  <c r="K17" i="2"/>
  <c r="K16" i="2"/>
  <c r="K15" i="2"/>
  <c r="K14" i="2"/>
  <c r="K13" i="2"/>
  <c r="K12" i="2"/>
  <c r="K11" i="2"/>
  <c r="K10" i="2"/>
  <c r="K9" i="2"/>
  <c r="K8" i="2" l="1"/>
  <c r="B2" i="5"/>
  <c r="K7" i="2" l="1"/>
  <c r="K6" i="2"/>
  <c r="K5" i="2"/>
  <c r="K4" i="2"/>
  <c r="K3" i="2"/>
  <c r="K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I233" i="1" l="1"/>
  <c r="I327" i="1"/>
  <c r="I279" i="1"/>
  <c r="I234" i="1"/>
  <c r="I280" i="1"/>
  <c r="I328" i="1"/>
  <c r="I93" i="1"/>
  <c r="I140" i="1"/>
  <c r="I185" i="1"/>
  <c r="I2" i="1"/>
  <c r="I48" i="1"/>
  <c r="I5" i="1"/>
  <c r="I51" i="1"/>
  <c r="I96" i="1"/>
  <c r="I143" i="1"/>
  <c r="I236" i="1"/>
  <c r="I188" i="1"/>
  <c r="I282" i="1"/>
  <c r="I372" i="1"/>
  <c r="I456" i="1"/>
  <c r="I541" i="1"/>
  <c r="I626" i="1"/>
  <c r="I693" i="1"/>
  <c r="I750" i="1"/>
  <c r="I776" i="1"/>
  <c r="I871" i="1"/>
  <c r="I726" i="1"/>
  <c r="I661" i="1"/>
  <c r="I584" i="1"/>
  <c r="I846" i="1"/>
  <c r="I499" i="1"/>
  <c r="I415" i="1"/>
  <c r="I824" i="1"/>
  <c r="I330" i="1"/>
  <c r="I799" i="1"/>
  <c r="I6" i="1"/>
  <c r="I237" i="1"/>
  <c r="I331" i="1"/>
  <c r="I416" i="1"/>
  <c r="I627" i="1"/>
  <c r="I694" i="1"/>
  <c r="I751" i="1"/>
  <c r="I500" i="1"/>
  <c r="I585" i="1"/>
  <c r="I662" i="1"/>
  <c r="I52" i="1"/>
  <c r="I97" i="1"/>
  <c r="I144" i="1"/>
  <c r="I373" i="1"/>
  <c r="I457" i="1"/>
  <c r="I542" i="1"/>
  <c r="I727" i="1"/>
  <c r="I777" i="1"/>
  <c r="I800" i="1"/>
  <c r="I847" i="1"/>
  <c r="I872" i="1"/>
  <c r="I285" i="1"/>
  <c r="I8" i="1"/>
  <c r="I992" i="1"/>
  <c r="I54" i="1"/>
  <c r="I974" i="1"/>
  <c r="I99" i="1"/>
  <c r="I239" i="1"/>
  <c r="I956" i="1"/>
  <c r="I333" i="1"/>
  <c r="I286" i="1"/>
  <c r="I418" i="1"/>
  <c r="I502" i="1"/>
  <c r="I587" i="1"/>
  <c r="I664" i="1"/>
  <c r="I729" i="1"/>
  <c r="I779" i="1"/>
  <c r="I826" i="1"/>
  <c r="I874" i="1"/>
  <c r="I914" i="1"/>
  <c r="I894" i="1"/>
  <c r="I849" i="1"/>
  <c r="I802" i="1"/>
  <c r="I753" i="1"/>
  <c r="I629" i="1"/>
  <c r="I544" i="1"/>
  <c r="I459" i="1"/>
  <c r="I375" i="1"/>
  <c r="I696" i="1"/>
  <c r="I697" i="1"/>
  <c r="I191" i="1"/>
  <c r="I146" i="1"/>
  <c r="I895" i="1"/>
  <c r="I957" i="1"/>
  <c r="I975" i="1"/>
  <c r="I993" i="1"/>
  <c r="I665" i="1"/>
  <c r="I730" i="1"/>
  <c r="I754" i="1"/>
  <c r="I780" i="1"/>
  <c r="I803" i="1"/>
  <c r="I850" i="1"/>
  <c r="I934" i="1"/>
  <c r="I192" i="1"/>
  <c r="I935" i="1"/>
  <c r="I1023" i="1"/>
  <c r="I1009" i="1"/>
  <c r="I995" i="1"/>
  <c r="I977" i="1"/>
  <c r="I242" i="1"/>
  <c r="I336" i="1"/>
  <c r="I421" i="1"/>
  <c r="I505" i="1"/>
  <c r="I590" i="1"/>
  <c r="I667" i="1"/>
  <c r="I732" i="1"/>
  <c r="I782" i="1"/>
  <c r="I829" i="1"/>
  <c r="I877" i="1"/>
  <c r="I917" i="1"/>
  <c r="I959" i="1"/>
  <c r="I937" i="1"/>
  <c r="I897" i="1"/>
  <c r="I852" i="1"/>
  <c r="I805" i="1"/>
  <c r="I756" i="1"/>
  <c r="I10" i="1"/>
  <c r="I56" i="1"/>
  <c r="I699" i="1"/>
  <c r="I101" i="1"/>
  <c r="I631" i="1"/>
  <c r="I546" i="1"/>
  <c r="I148" i="1"/>
  <c r="I461" i="1"/>
  <c r="I194" i="1"/>
  <c r="I377" i="1"/>
  <c r="I288" i="1"/>
  <c r="I59" i="1"/>
  <c r="I13" i="1"/>
  <c r="I151" i="1"/>
  <c r="I104" i="1"/>
  <c r="I245" i="1"/>
  <c r="I197" i="1"/>
  <c r="I338" i="1"/>
  <c r="I291" i="1"/>
  <c r="I379" i="1"/>
  <c r="I423" i="1"/>
  <c r="I463" i="1"/>
  <c r="I507" i="1"/>
  <c r="I548" i="1"/>
  <c r="I633" i="1"/>
  <c r="I592" i="1"/>
  <c r="I701" i="1"/>
  <c r="I669" i="1"/>
  <c r="I634" i="1"/>
  <c r="I702" i="1"/>
  <c r="I339" i="1"/>
  <c r="I508" i="1"/>
  <c r="I593" i="1"/>
  <c r="I595" i="1"/>
  <c r="I510" i="1"/>
  <c r="I425" i="1"/>
  <c r="I341" i="1"/>
  <c r="I551" i="1"/>
  <c r="I248" i="1"/>
  <c r="I466" i="1"/>
  <c r="I154" i="1"/>
  <c r="I62" i="1"/>
  <c r="I382" i="1"/>
  <c r="I294" i="1"/>
  <c r="I200" i="1"/>
  <c r="I107" i="1"/>
  <c r="I16" i="1"/>
  <c r="I18" i="1"/>
  <c r="I202" i="1"/>
  <c r="I296" i="1"/>
  <c r="I384" i="1"/>
  <c r="I468" i="1"/>
  <c r="I64" i="1"/>
  <c r="I553" i="1"/>
  <c r="I109" i="1"/>
  <c r="I512" i="1"/>
  <c r="I427" i="1"/>
  <c r="I597" i="1"/>
  <c r="I343" i="1"/>
  <c r="I156" i="1"/>
  <c r="I636" i="1"/>
  <c r="I20" i="1"/>
  <c r="I111" i="1"/>
  <c r="I204" i="1"/>
  <c r="I298" i="1"/>
  <c r="I386" i="1"/>
  <c r="I470" i="1"/>
  <c r="I555" i="1"/>
  <c r="I638" i="1"/>
  <c r="I345" i="1"/>
  <c r="I429" i="1"/>
  <c r="I514" i="1"/>
  <c r="I599" i="1"/>
  <c r="I672" i="1"/>
  <c r="I602" i="1"/>
  <c r="I558" i="1"/>
  <c r="I473" i="1"/>
  <c r="I517" i="1"/>
  <c r="I432" i="1"/>
  <c r="I348" i="1"/>
  <c r="I389" i="1"/>
  <c r="I255" i="1"/>
  <c r="I161" i="1"/>
  <c r="I301" i="1"/>
  <c r="I69" i="1"/>
  <c r="I207" i="1"/>
  <c r="I114" i="1"/>
  <c r="I23" i="1"/>
  <c r="I604" i="1"/>
  <c r="I116" i="1"/>
  <c r="I71" i="1"/>
  <c r="I257" i="1"/>
  <c r="I25" i="1"/>
  <c r="I350" i="1"/>
  <c r="I209" i="1"/>
  <c r="I434" i="1"/>
  <c r="I303" i="1"/>
  <c r="I391" i="1"/>
  <c r="I475" i="1"/>
  <c r="I560" i="1"/>
  <c r="I519" i="1"/>
  <c r="I163" i="1"/>
  <c r="I165" i="1"/>
  <c r="I259" i="1"/>
  <c r="I352" i="1"/>
  <c r="I436" i="1"/>
  <c r="I521" i="1"/>
  <c r="I606" i="1"/>
  <c r="I675" i="1"/>
  <c r="I27" i="1"/>
  <c r="I734" i="1"/>
  <c r="I73" i="1"/>
  <c r="I785" i="1"/>
  <c r="I118" i="1"/>
  <c r="I832" i="1"/>
  <c r="I211" i="1"/>
  <c r="I880" i="1"/>
  <c r="I305" i="1"/>
  <c r="I962" i="1"/>
  <c r="I393" i="1"/>
  <c r="I997" i="1"/>
  <c r="I477" i="1"/>
  <c r="I1025" i="1"/>
  <c r="I562" i="1"/>
  <c r="I1047" i="1"/>
  <c r="I641" i="1"/>
  <c r="I1065" i="1"/>
  <c r="I706" i="1"/>
  <c r="I758" i="1"/>
  <c r="I1057" i="1"/>
  <c r="I807" i="1"/>
  <c r="I1037" i="1"/>
  <c r="I854" i="1"/>
  <c r="I1011" i="1"/>
  <c r="I979" i="1"/>
  <c r="I939" i="1"/>
  <c r="I899" i="1"/>
  <c r="I920" i="1"/>
  <c r="I28" i="1"/>
  <c r="I120" i="1"/>
  <c r="I213" i="1"/>
  <c r="I307" i="1"/>
  <c r="I395" i="1"/>
  <c r="I479" i="1"/>
  <c r="I564" i="1"/>
  <c r="I643" i="1"/>
  <c r="I708" i="1"/>
  <c r="I760" i="1"/>
  <c r="I75" i="1"/>
  <c r="I167" i="1"/>
  <c r="I261" i="1"/>
  <c r="I354" i="1"/>
  <c r="I438" i="1"/>
  <c r="I523" i="1"/>
  <c r="I608" i="1"/>
  <c r="I677" i="1"/>
  <c r="I736" i="1"/>
  <c r="I787" i="1"/>
  <c r="I834" i="1"/>
  <c r="I882" i="1"/>
  <c r="I922" i="1"/>
  <c r="I941" i="1"/>
  <c r="I901" i="1"/>
  <c r="I856" i="1"/>
  <c r="I809" i="1"/>
  <c r="I30" i="1"/>
  <c r="I122" i="1"/>
  <c r="I215" i="1"/>
  <c r="I309" i="1"/>
  <c r="I566" i="1"/>
  <c r="I397" i="1"/>
  <c r="I481" i="1"/>
  <c r="I645" i="1"/>
  <c r="I77" i="1"/>
  <c r="I710" i="1"/>
  <c r="I169" i="1"/>
  <c r="I762" i="1"/>
  <c r="I263" i="1"/>
  <c r="I811" i="1"/>
  <c r="I356" i="1"/>
  <c r="I440" i="1"/>
  <c r="I858" i="1"/>
  <c r="I525" i="1"/>
  <c r="I903" i="1"/>
  <c r="I610" i="1"/>
  <c r="I943" i="1"/>
  <c r="I679" i="1"/>
  <c r="I981" i="1"/>
  <c r="I789" i="1"/>
  <c r="I738" i="1"/>
  <c r="I1013" i="1"/>
  <c r="I836" i="1"/>
  <c r="I1027" i="1"/>
  <c r="I884" i="1"/>
  <c r="I1039" i="1"/>
  <c r="I924" i="1"/>
  <c r="I1049" i="1"/>
  <c r="I964" i="1"/>
  <c r="I1059" i="1"/>
  <c r="I999" i="1"/>
  <c r="I1067" i="1"/>
  <c r="I1075" i="1"/>
  <c r="I32" i="1"/>
  <c r="I124" i="1"/>
  <c r="I945" i="1"/>
  <c r="I905" i="1"/>
  <c r="I217" i="1"/>
  <c r="I311" i="1"/>
  <c r="I860" i="1"/>
  <c r="I399" i="1"/>
  <c r="I813" i="1"/>
  <c r="I483" i="1"/>
  <c r="I764" i="1"/>
  <c r="I568" i="1"/>
  <c r="I712" i="1"/>
  <c r="I647" i="1"/>
  <c r="I983" i="1"/>
  <c r="I740" i="1"/>
  <c r="I681" i="1"/>
  <c r="I1041" i="1"/>
  <c r="I1029" i="1"/>
  <c r="I1015" i="1"/>
  <c r="I612" i="1"/>
  <c r="I527" i="1"/>
  <c r="I1001" i="1"/>
  <c r="I442" i="1"/>
  <c r="I966" i="1"/>
  <c r="I358" i="1"/>
  <c r="I926" i="1"/>
  <c r="I265" i="1"/>
  <c r="I886" i="1"/>
  <c r="I171" i="1"/>
  <c r="I838" i="1"/>
  <c r="I79" i="1"/>
  <c r="I791" i="1"/>
  <c r="I1051" i="1"/>
  <c r="I34" i="1"/>
  <c r="I81" i="1"/>
  <c r="I173" i="1"/>
  <c r="I219" i="1"/>
  <c r="I267" i="1"/>
  <c r="I126" i="1"/>
  <c r="I360" i="1"/>
  <c r="I313" i="1"/>
  <c r="I401" i="1"/>
  <c r="I444" i="1"/>
  <c r="I485" i="1"/>
  <c r="I529" i="1"/>
  <c r="I570" i="1"/>
  <c r="I614" i="1"/>
  <c r="I649" i="1"/>
  <c r="I714" i="1"/>
  <c r="I683" i="1"/>
  <c r="I616" i="1"/>
  <c r="I531" i="1"/>
  <c r="I446" i="1"/>
  <c r="I362" i="1"/>
  <c r="I269" i="1"/>
  <c r="I315" i="1"/>
  <c r="I175" i="1"/>
  <c r="I83" i="1"/>
  <c r="I36" i="1"/>
  <c r="I128" i="1"/>
  <c r="I221" i="1"/>
  <c r="I403" i="1"/>
  <c r="I487" i="1"/>
  <c r="I572" i="1"/>
  <c r="I1031" i="1"/>
  <c r="I1017" i="1"/>
  <c r="I1003" i="1"/>
  <c r="I364" i="1"/>
  <c r="I948" i="1"/>
  <c r="I448" i="1"/>
  <c r="I908" i="1"/>
  <c r="I533" i="1"/>
  <c r="I863" i="1"/>
  <c r="I618" i="1"/>
  <c r="I816" i="1"/>
  <c r="I685" i="1"/>
  <c r="I766" i="1"/>
  <c r="I716" i="1"/>
  <c r="I742" i="1"/>
  <c r="I651" i="1"/>
  <c r="I574" i="1"/>
  <c r="I489" i="1"/>
  <c r="I405" i="1"/>
  <c r="I223" i="1"/>
  <c r="I177" i="1"/>
  <c r="I130" i="1"/>
  <c r="I793" i="1"/>
  <c r="I840" i="1"/>
  <c r="I85" i="1"/>
  <c r="I38" i="1"/>
  <c r="I888" i="1"/>
  <c r="I928" i="1"/>
  <c r="I968" i="1"/>
  <c r="I271" i="1"/>
  <c r="I317" i="1"/>
  <c r="I986" i="1"/>
  <c r="I818" i="1"/>
  <c r="I40" i="1"/>
  <c r="I950" i="1"/>
  <c r="I132" i="1"/>
  <c r="I225" i="1"/>
  <c r="I1069" i="1"/>
  <c r="I319" i="1"/>
  <c r="I865" i="1"/>
  <c r="I407" i="1"/>
  <c r="I491" i="1"/>
  <c r="I768" i="1"/>
  <c r="I576" i="1"/>
  <c r="I718" i="1"/>
  <c r="I653" i="1"/>
  <c r="I42" i="1"/>
  <c r="I578" i="1"/>
  <c r="I87" i="1"/>
  <c r="I535" i="1"/>
  <c r="I134" i="1"/>
  <c r="I493" i="1"/>
  <c r="I179" i="1"/>
  <c r="I450" i="1"/>
  <c r="I227" i="1"/>
  <c r="I321" i="1"/>
  <c r="I366" i="1"/>
  <c r="I620" i="1"/>
  <c r="I770" i="1"/>
  <c r="I655" i="1"/>
  <c r="I744" i="1"/>
  <c r="I687" i="1"/>
  <c r="I720" i="1"/>
  <c r="I820" i="1"/>
  <c r="I746" i="1"/>
  <c r="I772" i="1"/>
  <c r="I722" i="1"/>
  <c r="I689" i="1"/>
  <c r="I622" i="1"/>
  <c r="I657" i="1"/>
  <c r="I537" i="1"/>
  <c r="I580" i="1"/>
  <c r="I495" i="1"/>
  <c r="I452" i="1"/>
  <c r="I368" i="1"/>
  <c r="I275" i="1"/>
  <c r="I411" i="1"/>
  <c r="I323" i="1"/>
  <c r="I229" i="1"/>
  <c r="I795" i="1"/>
  <c r="I842" i="1"/>
  <c r="I867" i="1"/>
  <c r="I890" i="1"/>
  <c r="I910" i="1"/>
  <c r="I930" i="1"/>
  <c r="I952" i="1"/>
  <c r="I970" i="1"/>
  <c r="I988" i="1"/>
  <c r="I1005" i="1"/>
  <c r="I1019" i="1"/>
  <c r="I1043" i="1"/>
  <c r="I1033" i="1"/>
  <c r="I1061" i="1"/>
  <c r="I1053" i="1"/>
  <c r="I1071" i="1"/>
  <c r="I1081" i="1"/>
  <c r="I1077" i="1"/>
  <c r="I44" i="1"/>
  <c r="I89" i="1"/>
  <c r="I136" i="1"/>
  <c r="I181" i="1"/>
  <c r="I46" i="1"/>
  <c r="I91" i="1"/>
  <c r="I138" i="1"/>
  <c r="I183" i="1"/>
  <c r="I231" i="1"/>
  <c r="I277" i="1"/>
  <c r="I325" i="1"/>
  <c r="I370" i="1"/>
  <c r="I413" i="1"/>
  <c r="I454" i="1"/>
  <c r="I497" i="1"/>
  <c r="I539" i="1"/>
  <c r="I582" i="1"/>
  <c r="I624" i="1"/>
  <c r="I659" i="1"/>
  <c r="I691" i="1"/>
  <c r="I724" i="1"/>
  <c r="I748" i="1"/>
  <c r="I774" i="1"/>
  <c r="I797" i="1"/>
  <c r="I822" i="1"/>
  <c r="I844" i="1"/>
  <c r="I869" i="1"/>
  <c r="I892" i="1"/>
  <c r="I912" i="1"/>
  <c r="I932" i="1"/>
  <c r="I954" i="1"/>
  <c r="I972" i="1"/>
  <c r="I990" i="1"/>
  <c r="I1007" i="1"/>
  <c r="I1021" i="1"/>
  <c r="I1035" i="1"/>
  <c r="I1045" i="1"/>
  <c r="I1055" i="1"/>
  <c r="I1063" i="1"/>
  <c r="I1073" i="1"/>
  <c r="I1079" i="1"/>
  <c r="I1083" i="1"/>
  <c r="I1085" i="1"/>
  <c r="I1087" i="1"/>
  <c r="I1089" i="1"/>
  <c r="I1091" i="1"/>
  <c r="I1095" i="1"/>
  <c r="I1099" i="1"/>
  <c r="I1101" i="1"/>
  <c r="I1097" i="1"/>
  <c r="I1093" i="1"/>
  <c r="I21" i="1"/>
  <c r="I66" i="1"/>
  <c r="I112" i="1"/>
  <c r="I158" i="1"/>
  <c r="I205" i="1"/>
  <c r="I252" i="1"/>
  <c r="I299" i="1"/>
  <c r="I346" i="1"/>
  <c r="I387" i="1"/>
  <c r="I430" i="1"/>
  <c r="I471" i="1"/>
  <c r="I515" i="1"/>
  <c r="I556" i="1"/>
  <c r="I600" i="1"/>
  <c r="I639" i="1"/>
  <c r="I673" i="1"/>
  <c r="I704" i="1"/>
  <c r="I250" i="1"/>
  <c r="I3" i="1"/>
  <c r="I49" i="1"/>
  <c r="I94" i="1"/>
  <c r="I141" i="1"/>
  <c r="I186" i="1"/>
  <c r="I273" i="1"/>
  <c r="I409" i="1"/>
  <c r="I4" i="1"/>
  <c r="I50" i="1"/>
  <c r="I95" i="1"/>
  <c r="I142" i="1"/>
  <c r="I187" i="1"/>
  <c r="I235" i="1"/>
  <c r="I281" i="1"/>
  <c r="I329" i="1"/>
  <c r="I7" i="1"/>
  <c r="I53" i="1"/>
  <c r="I238" i="1"/>
  <c r="I825" i="1"/>
  <c r="I332" i="1"/>
  <c r="I417" i="1"/>
  <c r="I501" i="1"/>
  <c r="I728" i="1"/>
  <c r="I801" i="1"/>
  <c r="I873" i="1"/>
  <c r="I98" i="1"/>
  <c r="I145" i="1"/>
  <c r="I189" i="1"/>
  <c r="I283" i="1"/>
  <c r="I374" i="1"/>
  <c r="I458" i="1"/>
  <c r="I586" i="1"/>
  <c r="I663" i="1"/>
  <c r="I848" i="1"/>
  <c r="I543" i="1"/>
  <c r="I628" i="1"/>
  <c r="I695" i="1"/>
  <c r="I752" i="1"/>
  <c r="I778" i="1"/>
  <c r="I190" i="1"/>
  <c r="I284" i="1"/>
  <c r="I9" i="1"/>
  <c r="I994" i="1"/>
  <c r="I334" i="1"/>
  <c r="I419" i="1"/>
  <c r="I588" i="1"/>
  <c r="I666" i="1"/>
  <c r="I731" i="1"/>
  <c r="I781" i="1"/>
  <c r="I827" i="1"/>
  <c r="I875" i="1"/>
  <c r="I915" i="1"/>
  <c r="I503" i="1"/>
  <c r="I55" i="1"/>
  <c r="I100" i="1"/>
  <c r="I147" i="1"/>
  <c r="I193" i="1"/>
  <c r="I287" i="1"/>
  <c r="I376" i="1"/>
  <c r="I460" i="1"/>
  <c r="I545" i="1"/>
  <c r="I630" i="1"/>
  <c r="I240" i="1"/>
  <c r="I755" i="1"/>
  <c r="I804" i="1"/>
  <c r="I851" i="1"/>
  <c r="I896" i="1"/>
  <c r="I958" i="1"/>
  <c r="I976" i="1"/>
  <c r="I698" i="1"/>
  <c r="I241" i="1"/>
  <c r="I335" i="1"/>
  <c r="I420" i="1"/>
  <c r="I504" i="1"/>
  <c r="I589" i="1"/>
  <c r="I828" i="1"/>
  <c r="I876" i="1"/>
  <c r="I916" i="1"/>
  <c r="I936" i="1"/>
  <c r="I11" i="1"/>
  <c r="I57" i="1"/>
  <c r="I102" i="1"/>
  <c r="I149" i="1"/>
  <c r="I195" i="1"/>
  <c r="I243" i="1"/>
  <c r="I337" i="1"/>
  <c r="I422" i="1"/>
  <c r="I506" i="1"/>
  <c r="I591" i="1"/>
  <c r="I289" i="1"/>
  <c r="I378" i="1"/>
  <c r="I462" i="1"/>
  <c r="I547" i="1"/>
  <c r="I632" i="1"/>
  <c r="I668" i="1"/>
  <c r="I733" i="1"/>
  <c r="I700" i="1"/>
  <c r="I757" i="1"/>
  <c r="I783" i="1"/>
  <c r="I830" i="1"/>
  <c r="I853" i="1"/>
  <c r="I898" i="1"/>
  <c r="I806" i="1"/>
  <c r="I878" i="1"/>
  <c r="I918" i="1"/>
  <c r="I938" i="1"/>
  <c r="I960" i="1"/>
  <c r="I978" i="1"/>
  <c r="I996" i="1"/>
  <c r="I1010" i="1"/>
  <c r="I1024" i="1"/>
  <c r="I12" i="1"/>
  <c r="I58" i="1"/>
  <c r="I103" i="1"/>
  <c r="I150" i="1"/>
  <c r="I244" i="1"/>
  <c r="I784" i="1"/>
  <c r="I831" i="1"/>
  <c r="I879" i="1"/>
  <c r="I919" i="1"/>
  <c r="I961" i="1"/>
  <c r="I196" i="1"/>
  <c r="I290" i="1"/>
  <c r="I246" i="1"/>
  <c r="I152" i="1"/>
  <c r="I340" i="1"/>
  <c r="I424" i="1"/>
  <c r="I509" i="1"/>
  <c r="I594" i="1"/>
  <c r="I670" i="1"/>
  <c r="I60" i="1"/>
  <c r="I549" i="1"/>
  <c r="I464" i="1"/>
  <c r="I635" i="1"/>
  <c r="I703" i="1"/>
  <c r="I292" i="1"/>
  <c r="I380" i="1"/>
  <c r="I14" i="1"/>
  <c r="I105" i="1"/>
  <c r="I198" i="1"/>
  <c r="I15" i="1"/>
  <c r="I61" i="1"/>
  <c r="I106" i="1"/>
  <c r="I199" i="1"/>
  <c r="I293" i="1"/>
  <c r="I153" i="1"/>
  <c r="I247" i="1"/>
  <c r="I381" i="1"/>
  <c r="I465" i="1"/>
  <c r="I550" i="1"/>
  <c r="I671" i="1"/>
  <c r="I63" i="1"/>
  <c r="I155" i="1"/>
  <c r="I249" i="1"/>
  <c r="I342" i="1"/>
  <c r="I426" i="1"/>
  <c r="I511" i="1"/>
  <c r="I596" i="1"/>
  <c r="I17" i="1"/>
  <c r="I108" i="1"/>
  <c r="I201" i="1"/>
  <c r="I295" i="1"/>
  <c r="I383" i="1"/>
  <c r="I467" i="1"/>
  <c r="I552" i="1"/>
  <c r="I157" i="1"/>
  <c r="I203" i="1"/>
  <c r="I251" i="1"/>
  <c r="I297" i="1"/>
  <c r="I344" i="1"/>
  <c r="I385" i="1"/>
  <c r="I428" i="1"/>
  <c r="I469" i="1"/>
  <c r="I513" i="1"/>
  <c r="I19" i="1"/>
  <c r="I65" i="1"/>
  <c r="I554" i="1"/>
  <c r="I598" i="1"/>
  <c r="I110" i="1"/>
  <c r="I637" i="1"/>
  <c r="I253" i="1"/>
  <c r="I347" i="1"/>
  <c r="I67" i="1"/>
  <c r="I159" i="1"/>
  <c r="I431" i="1"/>
  <c r="I516" i="1"/>
  <c r="I601" i="1"/>
  <c r="I674" i="1"/>
  <c r="I472" i="1"/>
  <c r="I557" i="1"/>
  <c r="I640" i="1"/>
  <c r="I705" i="1"/>
  <c r="I113" i="1"/>
  <c r="I206" i="1"/>
  <c r="I300" i="1"/>
  <c r="I388" i="1"/>
  <c r="I22" i="1"/>
  <c r="I68" i="1"/>
  <c r="I160" i="1"/>
  <c r="I254" i="1"/>
  <c r="I24" i="1"/>
  <c r="I115" i="1"/>
  <c r="I208" i="1"/>
  <c r="I302" i="1"/>
  <c r="I390" i="1"/>
  <c r="I474" i="1"/>
  <c r="I559" i="1"/>
  <c r="I70" i="1"/>
  <c r="I162" i="1"/>
  <c r="I256" i="1"/>
  <c r="I349" i="1"/>
  <c r="I433" i="1"/>
  <c r="I603" i="1"/>
  <c r="I518" i="1"/>
  <c r="I164" i="1"/>
  <c r="I435" i="1"/>
  <c r="I520" i="1"/>
  <c r="I605" i="1"/>
  <c r="I258" i="1"/>
  <c r="I351" i="1"/>
  <c r="I72" i="1"/>
  <c r="I210" i="1"/>
  <c r="I304" i="1"/>
  <c r="I392" i="1"/>
  <c r="I117" i="1"/>
  <c r="I26" i="1"/>
  <c r="I476" i="1"/>
  <c r="I561" i="1"/>
  <c r="I74" i="1"/>
  <c r="I166" i="1"/>
  <c r="I260" i="1"/>
  <c r="I353" i="1"/>
  <c r="I437" i="1"/>
  <c r="I522" i="1"/>
  <c r="I607" i="1"/>
  <c r="I676" i="1"/>
  <c r="I735" i="1"/>
  <c r="I786" i="1"/>
  <c r="I833" i="1"/>
  <c r="I212" i="1"/>
  <c r="I306" i="1"/>
  <c r="I394" i="1"/>
  <c r="I478" i="1"/>
  <c r="I563" i="1"/>
  <c r="I642" i="1"/>
  <c r="I707" i="1"/>
  <c r="I759" i="1"/>
  <c r="I808" i="1"/>
  <c r="I855" i="1"/>
  <c r="I900" i="1"/>
  <c r="I940" i="1"/>
  <c r="I980" i="1"/>
  <c r="I1012" i="1"/>
  <c r="I1026" i="1"/>
  <c r="I1038" i="1"/>
  <c r="I1048" i="1"/>
  <c r="I1058" i="1"/>
  <c r="I1066" i="1"/>
  <c r="I963" i="1"/>
  <c r="I998" i="1"/>
  <c r="I921" i="1"/>
  <c r="I1104" i="1"/>
  <c r="I119" i="1"/>
  <c r="I881" i="1"/>
  <c r="I29" i="1"/>
  <c r="I121" i="1"/>
  <c r="I214" i="1"/>
  <c r="I308" i="1"/>
  <c r="I857" i="1"/>
  <c r="I902" i="1"/>
  <c r="I942" i="1"/>
  <c r="I709" i="1"/>
  <c r="I761" i="1"/>
  <c r="I810" i="1"/>
  <c r="I565" i="1"/>
  <c r="I644" i="1"/>
  <c r="I396" i="1"/>
  <c r="I480" i="1"/>
  <c r="I883" i="1"/>
  <c r="I923" i="1"/>
  <c r="I737" i="1"/>
  <c r="I788" i="1"/>
  <c r="I835" i="1"/>
  <c r="I439" i="1"/>
  <c r="I524" i="1"/>
  <c r="I609" i="1"/>
  <c r="I678" i="1"/>
  <c r="I76" i="1"/>
  <c r="I168" i="1"/>
  <c r="I262" i="1"/>
  <c r="I355" i="1"/>
  <c r="I31" i="1"/>
  <c r="I123" i="1"/>
  <c r="I216" i="1"/>
  <c r="I310" i="1"/>
  <c r="I398" i="1"/>
  <c r="I482" i="1"/>
  <c r="I170" i="1"/>
  <c r="I264" i="1"/>
  <c r="I357" i="1"/>
  <c r="I441" i="1"/>
  <c r="I567" i="1"/>
  <c r="I646" i="1"/>
  <c r="I78" i="1"/>
  <c r="I526" i="1"/>
  <c r="I611" i="1"/>
  <c r="I711" i="1"/>
  <c r="I763" i="1"/>
  <c r="I812" i="1"/>
  <c r="I859" i="1"/>
  <c r="I680" i="1"/>
  <c r="I904" i="1"/>
  <c r="I944" i="1"/>
  <c r="I982" i="1"/>
  <c r="I739" i="1"/>
  <c r="I790" i="1"/>
  <c r="I837" i="1"/>
  <c r="I885" i="1"/>
  <c r="I1014" i="1"/>
  <c r="I1028" i="1"/>
  <c r="I1068" i="1"/>
  <c r="I965" i="1"/>
  <c r="I1040" i="1"/>
  <c r="I925" i="1"/>
  <c r="I1000" i="1"/>
  <c r="I1050" i="1"/>
  <c r="I1060" i="1"/>
  <c r="I1076" i="1"/>
  <c r="I125" i="1"/>
  <c r="I218" i="1"/>
  <c r="I312" i="1"/>
  <c r="I400" i="1"/>
  <c r="I484" i="1"/>
  <c r="I569" i="1"/>
  <c r="I648" i="1"/>
  <c r="I765" i="1"/>
  <c r="I33" i="1"/>
  <c r="I713" i="1"/>
  <c r="I814" i="1"/>
  <c r="I861" i="1"/>
  <c r="I906" i="1"/>
  <c r="I946" i="1"/>
  <c r="I984" i="1"/>
  <c r="I1030" i="1"/>
  <c r="I1042" i="1"/>
  <c r="I839" i="1"/>
  <c r="I887" i="1"/>
  <c r="I927" i="1"/>
  <c r="I967" i="1"/>
  <c r="I1002" i="1"/>
  <c r="I1016" i="1"/>
  <c r="I613" i="1"/>
  <c r="I682" i="1"/>
  <c r="I741" i="1"/>
  <c r="I792" i="1"/>
  <c r="I266" i="1"/>
  <c r="I172" i="1"/>
  <c r="I359" i="1"/>
  <c r="I443" i="1"/>
  <c r="I528" i="1"/>
  <c r="I1052" i="1"/>
  <c r="I80" i="1"/>
  <c r="I815" i="1"/>
  <c r="I862" i="1"/>
  <c r="I907" i="1"/>
  <c r="I947" i="1"/>
  <c r="I985" i="1"/>
  <c r="I82" i="1"/>
  <c r="I174" i="1"/>
  <c r="I127" i="1"/>
  <c r="I220" i="1"/>
  <c r="I268" i="1"/>
  <c r="I314" i="1"/>
  <c r="I402" i="1"/>
  <c r="I445" i="1"/>
  <c r="I486" i="1"/>
  <c r="I530" i="1"/>
  <c r="I615" i="1"/>
  <c r="I684" i="1"/>
  <c r="I35" i="1"/>
  <c r="I361" i="1"/>
  <c r="I571" i="1"/>
  <c r="I650" i="1"/>
  <c r="I715" i="1"/>
  <c r="I84" i="1"/>
  <c r="I129" i="1"/>
  <c r="I222" i="1"/>
  <c r="I316" i="1"/>
  <c r="I404" i="1"/>
  <c r="I488" i="1"/>
  <c r="I37" i="1"/>
  <c r="I573" i="1"/>
  <c r="I532" i="1"/>
  <c r="I617" i="1"/>
  <c r="I176" i="1"/>
  <c r="I270" i="1"/>
  <c r="I363" i="1"/>
  <c r="I447" i="1"/>
  <c r="I272" i="1"/>
  <c r="I365" i="1"/>
  <c r="I449" i="1"/>
  <c r="I534" i="1"/>
  <c r="I224" i="1"/>
  <c r="I318" i="1"/>
  <c r="I406" i="1"/>
  <c r="I490" i="1"/>
  <c r="I575" i="1"/>
  <c r="I619" i="1"/>
  <c r="I652" i="1"/>
  <c r="I686" i="1"/>
  <c r="I743" i="1"/>
  <c r="I794" i="1"/>
  <c r="I717" i="1"/>
  <c r="I767" i="1"/>
  <c r="I841" i="1"/>
  <c r="I817" i="1"/>
  <c r="I864" i="1"/>
  <c r="I909" i="1"/>
  <c r="I949" i="1"/>
  <c r="I987" i="1"/>
  <c r="I1004" i="1"/>
  <c r="I969" i="1"/>
  <c r="I1018" i="1"/>
  <c r="I1032" i="1"/>
  <c r="I889" i="1"/>
  <c r="I929" i="1"/>
  <c r="I86" i="1"/>
  <c r="I131" i="1"/>
  <c r="I178" i="1"/>
  <c r="I39" i="1"/>
  <c r="I577" i="1"/>
  <c r="I41" i="1"/>
  <c r="I133" i="1"/>
  <c r="I226" i="1"/>
  <c r="I320" i="1"/>
  <c r="I408" i="1"/>
  <c r="I492" i="1"/>
  <c r="I654" i="1"/>
  <c r="I719" i="1"/>
  <c r="I769" i="1"/>
  <c r="I819" i="1"/>
  <c r="I866" i="1"/>
  <c r="I1070" i="1"/>
  <c r="I951" i="1"/>
  <c r="I43" i="1"/>
  <c r="I88" i="1"/>
  <c r="I135" i="1"/>
  <c r="I180" i="1"/>
  <c r="I228" i="1"/>
  <c r="I274" i="1"/>
  <c r="I322" i="1"/>
  <c r="I367" i="1"/>
  <c r="I410" i="1"/>
  <c r="I451" i="1"/>
  <c r="I494" i="1"/>
  <c r="I536" i="1"/>
  <c r="I579" i="1"/>
  <c r="I621" i="1"/>
  <c r="I656" i="1"/>
  <c r="I688" i="1"/>
  <c r="I721" i="1"/>
  <c r="I745" i="1"/>
  <c r="I771" i="1"/>
  <c r="I230" i="1"/>
  <c r="I324" i="1"/>
  <c r="I412" i="1"/>
  <c r="I496" i="1"/>
  <c r="I581" i="1"/>
  <c r="I658" i="1"/>
  <c r="I723" i="1"/>
  <c r="I773" i="1"/>
  <c r="I821" i="1"/>
  <c r="I868" i="1"/>
  <c r="I911" i="1"/>
  <c r="I953" i="1"/>
  <c r="I1020" i="1"/>
  <c r="I1044" i="1"/>
  <c r="I1062" i="1"/>
  <c r="I369" i="1"/>
  <c r="I453" i="1"/>
  <c r="I538" i="1"/>
  <c r="I623" i="1"/>
  <c r="I690" i="1"/>
  <c r="I747" i="1"/>
  <c r="I276" i="1"/>
  <c r="I989" i="1"/>
  <c r="I796" i="1"/>
  <c r="I843" i="1"/>
  <c r="I891" i="1"/>
  <c r="I931" i="1"/>
  <c r="I971" i="1"/>
  <c r="I1006" i="1"/>
  <c r="I1034" i="1"/>
  <c r="I1082" i="1"/>
  <c r="I1054" i="1"/>
  <c r="I1072" i="1"/>
  <c r="I1078" i="1"/>
  <c r="I45" i="1"/>
  <c r="I90" i="1"/>
  <c r="I137" i="1"/>
  <c r="I182" i="1"/>
  <c r="I92" i="1"/>
  <c r="I184" i="1"/>
  <c r="I278" i="1"/>
  <c r="I371" i="1"/>
  <c r="I455" i="1"/>
  <c r="I540" i="1"/>
  <c r="I625" i="1"/>
  <c r="I692" i="1"/>
  <c r="I749" i="1"/>
  <c r="I798" i="1"/>
  <c r="I845" i="1"/>
  <c r="I893" i="1"/>
  <c r="I933" i="1"/>
  <c r="I973" i="1"/>
  <c r="I1008" i="1"/>
  <c r="I1036" i="1"/>
  <c r="I1056" i="1"/>
  <c r="I1074" i="1"/>
  <c r="I1084" i="1"/>
  <c r="I1088" i="1"/>
  <c r="I1092" i="1"/>
  <c r="I1096" i="1"/>
  <c r="I1100" i="1"/>
  <c r="I1102" i="1"/>
  <c r="I725" i="1"/>
  <c r="I47" i="1"/>
  <c r="I139" i="1"/>
  <c r="I232" i="1"/>
  <c r="I326" i="1"/>
  <c r="I414" i="1"/>
  <c r="I498" i="1"/>
  <c r="I583" i="1"/>
  <c r="I660" i="1"/>
  <c r="I775" i="1"/>
  <c r="I823" i="1"/>
  <c r="I870" i="1"/>
  <c r="I913" i="1"/>
  <c r="I955" i="1"/>
  <c r="I991" i="1"/>
  <c r="I1022" i="1"/>
  <c r="I1046" i="1"/>
  <c r="I1064" i="1"/>
  <c r="I1080" i="1"/>
  <c r="I1086" i="1"/>
  <c r="I1090" i="1"/>
  <c r="I1094" i="1"/>
  <c r="I1098" i="1"/>
  <c r="I1103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D6CC83-F81A-4791-AFC8-AFC88866D99C}" keepAlive="1" name="Consulta - funcBL2" description="Conexão com a consulta 'funcBL2' na pasta de trabalho." type="5" refreshedVersion="8" background="1" saveData="1">
    <dbPr connection="Provider=Microsoft.Mashup.OleDb.1;Data Source=$Workbook$;Location=funcBL2;Extended Properties=&quot;&quot;" command="SELECT * FROM [funcBL2]"/>
  </connection>
  <connection id="2" xr16:uid="{DA094A6F-433C-4533-B9A3-58A8A99754EE}" keepAlive="1" name="Consulta - funcBRS" description="Conexão com a consulta 'funcBRS' na pasta de trabalho." type="5" refreshedVersion="8" background="1" saveData="1">
    <dbPr connection="Provider=Microsoft.Mashup.OleDb.1;Data Source=$Workbook$;Location=funcBRS;Extended Properties=&quot;&quot;" command="SELECT * FROM [funcBRS]"/>
  </connection>
  <connection id="3" xr16:uid="{A4425404-2A2B-4F1B-B323-985975ACEB47}" keepAlive="1" name="Consulta - funcCDJ" description="Conexão com a consulta 'funcCDJ' na pasta de trabalho." type="5" refreshedVersion="8" background="1" saveData="1">
    <dbPr connection="Provider=Microsoft.Mashup.OleDb.1;Data Source=$Workbook$;Location=funcCDJ;Extended Properties=&quot;&quot;" command="SELECT * FROM [funcCDJ]"/>
  </connection>
  <connection id="4" xr16:uid="{BB245605-9B16-40EA-9511-B46A2768653B}" keepAlive="1" name="Consulta - funcMentor(1)" description="Conexão com a consulta 'funcMentor' na pasta de trabalho." type="5" refreshedVersion="8" background="1" saveData="1">
    <dbPr connection="Provider=Microsoft.Mashup.OleDb.1;Data Source=$Workbook$;Location=funcMentor;Extended Properties=&quot;&quot;" command="SELECT * FROM [funcMentor]"/>
  </connection>
</connections>
</file>

<file path=xl/sharedStrings.xml><?xml version="1.0" encoding="utf-8"?>
<sst xmlns="http://schemas.openxmlformats.org/spreadsheetml/2006/main" count="20172" uniqueCount="3331">
  <si>
    <t>Desenvolvido por Gabriel Araruna</t>
  </si>
  <si>
    <t>RecebimentoID</t>
  </si>
  <si>
    <t>Ordem</t>
  </si>
  <si>
    <t>Obra</t>
  </si>
  <si>
    <t>Data</t>
  </si>
  <si>
    <t>Caminhão</t>
  </si>
  <si>
    <t>Lacre</t>
  </si>
  <si>
    <t>Número</t>
  </si>
  <si>
    <t>Nota de Remessa</t>
  </si>
  <si>
    <t>Horário de Saída da Usina</t>
  </si>
  <si>
    <t>Início do Bombeamento</t>
  </si>
  <si>
    <t>Fim do Bombeamento</t>
  </si>
  <si>
    <t>Slump (mm)</t>
  </si>
  <si>
    <t>Data do Cadastro</t>
  </si>
  <si>
    <t>Insumo</t>
  </si>
  <si>
    <t>Quantidade</t>
  </si>
  <si>
    <t>Categoria</t>
  </si>
  <si>
    <t>Medição</t>
  </si>
  <si>
    <t>Usuário</t>
  </si>
  <si>
    <t>Empresa</t>
  </si>
  <si>
    <t>Custo</t>
  </si>
  <si>
    <t>(0184) Cidade Jardim</t>
  </si>
  <si>
    <t>OXS6763 / QDB8C29 / QDB8C29</t>
  </si>
  <si>
    <t>9325 / 9326 / 9330</t>
  </si>
  <si>
    <t>9605 / 9606 / 9611</t>
  </si>
  <si>
    <t>Concreto usinado 20 MPa autoadensável</t>
  </si>
  <si>
    <t>Habitação</t>
  </si>
  <si>
    <t>gabrielararuna</t>
  </si>
  <si>
    <t>POLIMIX</t>
  </si>
  <si>
    <t>OXV2621/AYT9577/RHQ4158</t>
  </si>
  <si>
    <t>14429 / 14430 / 14434</t>
  </si>
  <si>
    <t>10129/10130/10134</t>
  </si>
  <si>
    <t>DELTAMIX</t>
  </si>
  <si>
    <t>OXV2621 / AWY7467 / OJC4C96</t>
  </si>
  <si>
    <t>14491/14492/14821</t>
  </si>
  <si>
    <t>10191/10192/10194</t>
  </si>
  <si>
    <t>RHQ9A22</t>
  </si>
  <si>
    <t>RHR1C79</t>
  </si>
  <si>
    <t>OXS6763</t>
  </si>
  <si>
    <t>4141/3667</t>
  </si>
  <si>
    <t>9391/9392/9397</t>
  </si>
  <si>
    <t>9674/9675/9682</t>
  </si>
  <si>
    <t>4141/3587</t>
  </si>
  <si>
    <t>16947/16949</t>
  </si>
  <si>
    <t>9733/9735</t>
  </si>
  <si>
    <t>3667/3587</t>
  </si>
  <si>
    <t>16999/17000</t>
  </si>
  <si>
    <t>9787 /9786</t>
  </si>
  <si>
    <t>4069/4195</t>
  </si>
  <si>
    <t>8732/8733</t>
  </si>
  <si>
    <t>9835/9836</t>
  </si>
  <si>
    <t>RHQ4I58 / RHQ4I58</t>
  </si>
  <si>
    <t>14610/14610</t>
  </si>
  <si>
    <t>9902 / 9903</t>
  </si>
  <si>
    <t>RHR1C79/AYF9577</t>
  </si>
  <si>
    <t>14654/14655</t>
  </si>
  <si>
    <t>9946 / 9947</t>
  </si>
  <si>
    <t>OXS6763/RHQ4165</t>
  </si>
  <si>
    <t>14677/14678</t>
  </si>
  <si>
    <t>9965 / 9966</t>
  </si>
  <si>
    <t>RHQ9A22/AWY7467</t>
  </si>
  <si>
    <t>14695/14696</t>
  </si>
  <si>
    <t>9983 / 9984</t>
  </si>
  <si>
    <t>OXS6763/RHQ9A22</t>
  </si>
  <si>
    <t>10055/10024</t>
  </si>
  <si>
    <t>10023 / 10024</t>
  </si>
  <si>
    <t>10047/10048</t>
  </si>
  <si>
    <t>10044 / 10045</t>
  </si>
  <si>
    <t>10087/10088</t>
  </si>
  <si>
    <t>10084 / 10085</t>
  </si>
  <si>
    <t>RHQ4158/RHQ4165</t>
  </si>
  <si>
    <t>10099/100100</t>
  </si>
  <si>
    <t>10097 / 10098</t>
  </si>
  <si>
    <t>14418/14419</t>
  </si>
  <si>
    <t>10125 / 10126</t>
  </si>
  <si>
    <t>14460/14461</t>
  </si>
  <si>
    <t>10160 / 10161</t>
  </si>
  <si>
    <t>RHQ-9A22/AWY7467</t>
  </si>
  <si>
    <t>14822/14821/14826</t>
  </si>
  <si>
    <t>10194 / 10195 / 10199</t>
  </si>
  <si>
    <t>014498 / 014499</t>
  </si>
  <si>
    <t>10212 / 10213</t>
  </si>
  <si>
    <t>PSC2F45/OXV2G21</t>
  </si>
  <si>
    <t>014908 / 014909</t>
  </si>
  <si>
    <t>10223 / 10224</t>
  </si>
  <si>
    <t>QDB8C29/RHR1C79</t>
  </si>
  <si>
    <t>014935/014938</t>
  </si>
  <si>
    <t>10250 / 10253</t>
  </si>
  <si>
    <t>OJC4C96/QDB8C29</t>
  </si>
  <si>
    <t>014930/01491/014932</t>
  </si>
  <si>
    <t>10245/10246/10247</t>
  </si>
  <si>
    <t>RHQ4I58/OXS6763</t>
  </si>
  <si>
    <t>014952/014953</t>
  </si>
  <si>
    <t>20289/ 10290</t>
  </si>
  <si>
    <t>RHQ4I65/PSC2F45</t>
  </si>
  <si>
    <t>014996/014997</t>
  </si>
  <si>
    <t>10317 / 10318</t>
  </si>
  <si>
    <t>OJC4C96/RHR1C79/OXV-2621</t>
  </si>
  <si>
    <t>014993/014994/014996</t>
  </si>
  <si>
    <t>10313/10314/10316</t>
  </si>
  <si>
    <t>RHR1C79/ OXS-6763</t>
  </si>
  <si>
    <t>009613 / 009614</t>
  </si>
  <si>
    <t>10333 / 10334</t>
  </si>
  <si>
    <t>OXV2621/ QDB-8C29</t>
  </si>
  <si>
    <t>009626 / 009625 / 009624</t>
  </si>
  <si>
    <t>10344 / 10345 / 10346</t>
  </si>
  <si>
    <t>PSC2F45</t>
  </si>
  <si>
    <t>QDB8C29 / RHR1C79</t>
  </si>
  <si>
    <t>0120220 / 010221</t>
  </si>
  <si>
    <t>15326 / 15327</t>
  </si>
  <si>
    <t>RHQ9A22 / AWY7467</t>
  </si>
  <si>
    <t>010245 / 010246</t>
  </si>
  <si>
    <t>15352 / 15353</t>
  </si>
  <si>
    <t>PSC2F45 / RHQ9A22</t>
  </si>
  <si>
    <t>010255 / 010256</t>
  </si>
  <si>
    <t>15362 / 15363</t>
  </si>
  <si>
    <t>AWY7467 / RHQ9A22</t>
  </si>
  <si>
    <t>010390 / 019202</t>
  </si>
  <si>
    <t>15408 / 15409</t>
  </si>
  <si>
    <t>PSC2F45/OSC4C96</t>
  </si>
  <si>
    <t>009647 / 009651</t>
  </si>
  <si>
    <t>10367 / 10371</t>
  </si>
  <si>
    <t>OSC4C96/RHQ4I56/AYF9577</t>
  </si>
  <si>
    <t>009655 / 009654 / 009653</t>
  </si>
  <si>
    <t>10373 / 10374 / 10375</t>
  </si>
  <si>
    <t>AWY-7467/QDB8C29</t>
  </si>
  <si>
    <t>009678/009680</t>
  </si>
  <si>
    <t>10398 / 10400</t>
  </si>
  <si>
    <t>RHR1C79/PSC2F45</t>
  </si>
  <si>
    <t>0099677 / 009679 /  009681</t>
  </si>
  <si>
    <t>10397 / 10399 /  10401</t>
  </si>
  <si>
    <t>RQL4I58/RHQ9A22/AYT9577</t>
  </si>
  <si>
    <t>015824 / 015825</t>
  </si>
  <si>
    <t>10444 / 10445</t>
  </si>
  <si>
    <t>RHQ4I58/ OXS6763</t>
  </si>
  <si>
    <t>015845 / 015846</t>
  </si>
  <si>
    <t>10468 / 10469</t>
  </si>
  <si>
    <t>PSC-2F45/OSC4C96/RHQ9A22</t>
  </si>
  <si>
    <t>015848 /015849 / 015850</t>
  </si>
  <si>
    <t>10471 / 10472 / 10473</t>
  </si>
  <si>
    <t>OXV-2621/ OJC4C96</t>
  </si>
  <si>
    <t>015878 / 015881</t>
  </si>
  <si>
    <t>10501/ 10504</t>
  </si>
  <si>
    <t>OXS-6763/ AWY7467 / OXV2621</t>
  </si>
  <si>
    <t>015885 / 01588 / 015889</t>
  </si>
  <si>
    <t>10508 / 10511 / 10512</t>
  </si>
  <si>
    <t>OJC4C96/RHR1C79</t>
  </si>
  <si>
    <t>009704/009705</t>
  </si>
  <si>
    <t>10529 / 10530</t>
  </si>
  <si>
    <t>RHQ9A22 / AWY7467 /  OXS6763</t>
  </si>
  <si>
    <t>009747/009748</t>
  </si>
  <si>
    <t>10554 / 10555</t>
  </si>
  <si>
    <t>RHQ9A22 / RHR1C79</t>
  </si>
  <si>
    <t>009765/009766</t>
  </si>
  <si>
    <t>10585 / 10587</t>
  </si>
  <si>
    <t>009796/009797</t>
  </si>
  <si>
    <t>10623 / 10624</t>
  </si>
  <si>
    <t>RHQ9A22/AYF9577/AWY7467</t>
  </si>
  <si>
    <t>014129/014130</t>
  </si>
  <si>
    <t>10655 / 10656</t>
  </si>
  <si>
    <t>AYI-9577/OXS6763</t>
  </si>
  <si>
    <t>0142154 / 014155</t>
  </si>
  <si>
    <t>10682 / 10683</t>
  </si>
  <si>
    <t>AWY-7467 / AYI9577 / HRQ4965</t>
  </si>
  <si>
    <t>014194 / 014195</t>
  </si>
  <si>
    <t>10723 / 107724</t>
  </si>
  <si>
    <t>RHQ-4158 / OXV2621</t>
  </si>
  <si>
    <t>007744 / 007745 / 007746</t>
  </si>
  <si>
    <t>10778 / 10779 / 10780</t>
  </si>
  <si>
    <t>AWY-7467 / RHQ9A22</t>
  </si>
  <si>
    <t>007760 / 007761 / 007764</t>
  </si>
  <si>
    <t>10794 / 10795 / 10798</t>
  </si>
  <si>
    <t>OXS-6763/ OSC4C96</t>
  </si>
  <si>
    <t>007781 / OXS6763</t>
  </si>
  <si>
    <t>108817 / 10818</t>
  </si>
  <si>
    <t xml:space="preserve">RHQ9A22 / OJC4C96 / </t>
  </si>
  <si>
    <t>016706 / 016707</t>
  </si>
  <si>
    <t>10841 / 10842</t>
  </si>
  <si>
    <t>NHQ9A22 / OXS6763</t>
  </si>
  <si>
    <t>016730 / 016731</t>
  </si>
  <si>
    <t>10866 / 10868</t>
  </si>
  <si>
    <t>OXS6763 / OSC4C56 / OSC2F45</t>
  </si>
  <si>
    <t>016752 / 016753</t>
  </si>
  <si>
    <t>10889 / 10890</t>
  </si>
  <si>
    <t>PSC2F45 / RHR1C79</t>
  </si>
  <si>
    <t>016777 / 016779</t>
  </si>
  <si>
    <t>10915 / 10916</t>
  </si>
  <si>
    <t>AWY7467/RHR1C79</t>
  </si>
  <si>
    <t>010403 / 010404</t>
  </si>
  <si>
    <t>10943/ 10944</t>
  </si>
  <si>
    <t xml:space="preserve">AWY7467 / RHR1C79 </t>
  </si>
  <si>
    <t>010433 / 010434</t>
  </si>
  <si>
    <t>10973 / 10974</t>
  </si>
  <si>
    <t>010455 / 010456</t>
  </si>
  <si>
    <t>10999 / 11000</t>
  </si>
  <si>
    <t>AWY7467 / RHC9A22</t>
  </si>
  <si>
    <t>010480 / 010481</t>
  </si>
  <si>
    <t>11674 / 11675</t>
  </si>
  <si>
    <t>AWY7467 / QDB8C29</t>
  </si>
  <si>
    <t>014325 / 014317</t>
  </si>
  <si>
    <t>11719 / 11721</t>
  </si>
  <si>
    <t>OJDOB19 / AWY7467 / QBD8C79</t>
  </si>
  <si>
    <t>014345 / 014346 / 014347</t>
  </si>
  <si>
    <t>11739 / 11740 / 11741</t>
  </si>
  <si>
    <t>PSC2F45 / QDB8C29 / OXV2621</t>
  </si>
  <si>
    <t>014396 / 014397 / 014398</t>
  </si>
  <si>
    <t>11758 / 11759 / 11760</t>
  </si>
  <si>
    <t>OXV2621</t>
  </si>
  <si>
    <t>RHX4A65</t>
  </si>
  <si>
    <t>AWY7466 / PSC2F45 / RHQ9A22</t>
  </si>
  <si>
    <t>009707/ 009708/ 009709</t>
  </si>
  <si>
    <t>10531 / 10532 / 10533</t>
  </si>
  <si>
    <t>AWY7467 /PSC2F45</t>
  </si>
  <si>
    <t>009749 / 009750 / 009751</t>
  </si>
  <si>
    <t>10557 / 10558 / 10559</t>
  </si>
  <si>
    <t>RHQ9A22 / OXS6763 / OJC4C96</t>
  </si>
  <si>
    <t>009767 / 009768 / 009769</t>
  </si>
  <si>
    <t>10588 / 10589 / 10590</t>
  </si>
  <si>
    <t>AWY7467 / RHR1C79 / OXV2621</t>
  </si>
  <si>
    <t>009799 / 009800 / 014102</t>
  </si>
  <si>
    <t>10626 / 10627 / 10629</t>
  </si>
  <si>
    <t>OVX2621 / OXS6763</t>
  </si>
  <si>
    <t>014378 / 014400</t>
  </si>
  <si>
    <t>11791 / 11793</t>
  </si>
  <si>
    <t>AWY7466 / OSC2F45 / OXS6763</t>
  </si>
  <si>
    <t>009536 / 009538 / 009539</t>
  </si>
  <si>
    <t>11829 / 11831 / 11832</t>
  </si>
  <si>
    <t>OXS6763 / QDB8629</t>
  </si>
  <si>
    <t>009573 / 009574</t>
  </si>
  <si>
    <t>11865 / 11866</t>
  </si>
  <si>
    <t>RHR1C79 / QDB8C29</t>
  </si>
  <si>
    <t>009597 / 009572</t>
  </si>
  <si>
    <t>11893 / 11897</t>
  </si>
  <si>
    <t>PSC2F45 / AWY7467 / RHQ9A22</t>
  </si>
  <si>
    <t>010828 / 010829 / 010830</t>
  </si>
  <si>
    <t>11925 / 11926 / 11927</t>
  </si>
  <si>
    <t>010846 / 010847</t>
  </si>
  <si>
    <t>11944 / 11945</t>
  </si>
  <si>
    <t>OXV2621 / RHR1C79</t>
  </si>
  <si>
    <t>010859 / 010860</t>
  </si>
  <si>
    <t>11957 / 11958</t>
  </si>
  <si>
    <t xml:space="preserve">RHQ9A22 / AWY7467 </t>
  </si>
  <si>
    <t>0010869 / 010870</t>
  </si>
  <si>
    <t>11967 / 11968</t>
  </si>
  <si>
    <t>QDB8C29 / OJC4C96 / QDB8C29</t>
  </si>
  <si>
    <t>010876 / 010877 / 010879</t>
  </si>
  <si>
    <t>11973 / 11975 / 11977</t>
  </si>
  <si>
    <t>OJC4C96 / QDB8C29</t>
  </si>
  <si>
    <t>010900 / 012201</t>
  </si>
  <si>
    <t>11998 / 11999</t>
  </si>
  <si>
    <t>PSC2F45 / AWY7467</t>
  </si>
  <si>
    <t>012226 / 012227</t>
  </si>
  <si>
    <t>12024 /12025</t>
  </si>
  <si>
    <t>PSC2F45 / OJC4C96</t>
  </si>
  <si>
    <t>012256 /012257</t>
  </si>
  <si>
    <t>12054 /12055</t>
  </si>
  <si>
    <t>PSC2F45 /OJC4C96</t>
  </si>
  <si>
    <t>012284 / 012285</t>
  </si>
  <si>
    <t>12082 / 12083</t>
  </si>
  <si>
    <t>OXS6763 / QDB8C29</t>
  </si>
  <si>
    <t>009000 / 008947</t>
  </si>
  <si>
    <t>12111 / 12112</t>
  </si>
  <si>
    <t>0XS6763 / AWY7467</t>
  </si>
  <si>
    <t>008962 / 008963</t>
  </si>
  <si>
    <t>12127 / 12128</t>
  </si>
  <si>
    <t>008944 / 008945</t>
  </si>
  <si>
    <t>12161 / 12162</t>
  </si>
  <si>
    <t>008928 / 008929</t>
  </si>
  <si>
    <t>12176 / 12177</t>
  </si>
  <si>
    <t>OXV2621 / PSC2F45 / RHQ9A22</t>
  </si>
  <si>
    <t>008936 / 008901 / 008902</t>
  </si>
  <si>
    <t>12184 / 12185 / 12186</t>
  </si>
  <si>
    <t>OSC4C96 / OXS6763</t>
  </si>
  <si>
    <t>008916 / 008917</t>
  </si>
  <si>
    <t>12199 / 12201</t>
  </si>
  <si>
    <t>008913 / 008914</t>
  </si>
  <si>
    <t>12197 / 12198</t>
  </si>
  <si>
    <t>013829 / 013830</t>
  </si>
  <si>
    <t>12231 / 12232</t>
  </si>
  <si>
    <t>AWY7467 / OXV2621</t>
  </si>
  <si>
    <t>013833 / 013835</t>
  </si>
  <si>
    <t>12233 / 12237</t>
  </si>
  <si>
    <t>013866 / 013867</t>
  </si>
  <si>
    <t>12268 / 12269</t>
  </si>
  <si>
    <t>OJC4C96 / QDB8C29 / RHQ9A22</t>
  </si>
  <si>
    <t>013898 /013899 / 013887</t>
  </si>
  <si>
    <t>12282 / 12283 / 12271</t>
  </si>
  <si>
    <t>QDB8C29 / PSC2F45</t>
  </si>
  <si>
    <t>013895 / 013896</t>
  </si>
  <si>
    <t>12279 / 12280</t>
  </si>
  <si>
    <t>OXV2621 / RHQ9A22</t>
  </si>
  <si>
    <t>013879 / 013880</t>
  </si>
  <si>
    <t>12295 / 12296</t>
  </si>
  <si>
    <t>OXS6763 / RHR1C79</t>
  </si>
  <si>
    <t>013881 / 013882</t>
  </si>
  <si>
    <t>12297 / 12298</t>
  </si>
  <si>
    <t>RHQ9A22 / PSC2F45</t>
  </si>
  <si>
    <t>007210 / 007211</t>
  </si>
  <si>
    <t>12312 / 13313</t>
  </si>
  <si>
    <t>OXV2621 / AWY7467 / OXS6763</t>
  </si>
  <si>
    <t>014522 / 014524 / 014526</t>
  </si>
  <si>
    <t>16451 / 16453 / 16455</t>
  </si>
  <si>
    <t>14539 / 14540</t>
  </si>
  <si>
    <t>16468 / 16469</t>
  </si>
  <si>
    <t>RHX4A65 / QDB8C29 / PSC2F45</t>
  </si>
  <si>
    <t>014541 / 014542 / 014543</t>
  </si>
  <si>
    <t>16470 / 16471  16472</t>
  </si>
  <si>
    <t>OXV2621 / PSC2F45</t>
  </si>
  <si>
    <t>009915 / 009916</t>
  </si>
  <si>
    <t>16544 / 16545</t>
  </si>
  <si>
    <t>QDB8C29 / OXS6763 / AWY7467</t>
  </si>
  <si>
    <t>009917 / 009918  009919</t>
  </si>
  <si>
    <t>16546 / 16547 / 16548</t>
  </si>
  <si>
    <t>PSC2F45 / RHX4A65</t>
  </si>
  <si>
    <t>009975 / 009976</t>
  </si>
  <si>
    <t>16604 / 16605</t>
  </si>
  <si>
    <t>18:15 / 18:30</t>
  </si>
  <si>
    <t>73,5 / 70</t>
  </si>
  <si>
    <t>AWY7467 / RHR1C79 / PSC2F45</t>
  </si>
  <si>
    <t>009977 / 009978 / 009979</t>
  </si>
  <si>
    <t>16606 / 16607 / 16608</t>
  </si>
  <si>
    <t>18:40 / 19:10 / 20:00</t>
  </si>
  <si>
    <t>75 / 72 / 73</t>
  </si>
  <si>
    <t>RHQ9A22 / RHX4A65</t>
  </si>
  <si>
    <t>009990 / 009991</t>
  </si>
  <si>
    <t>16619 / 16620</t>
  </si>
  <si>
    <t>14:35 / 14:50</t>
  </si>
  <si>
    <t>74 / 72,5</t>
  </si>
  <si>
    <t>008358 / 015064</t>
  </si>
  <si>
    <t>16684 / 16686</t>
  </si>
  <si>
    <t>18:50 / 19:22</t>
  </si>
  <si>
    <t>71 / 74,5</t>
  </si>
  <si>
    <t>AWY7467 / OXS6763 / RHQ1C79</t>
  </si>
  <si>
    <t>008369 / 015065 / 015067</t>
  </si>
  <si>
    <t>16685 / 16687 / 16689</t>
  </si>
  <si>
    <t>19:00 / 20:40 / 21:20</t>
  </si>
  <si>
    <t>72 / 71 / 75</t>
  </si>
  <si>
    <t>RHX4A65 / RHX4A65 / PSC2F45</t>
  </si>
  <si>
    <t>008378 / 008379 / 008380</t>
  </si>
  <si>
    <t>16704 / 16705 / 16706</t>
  </si>
  <si>
    <t>15:15 / 16:55 / 17:10</t>
  </si>
  <si>
    <t>72 / 73,5 / 68</t>
  </si>
  <si>
    <t>OXS6763 / RHQ9A22 / PSC2F45</t>
  </si>
  <si>
    <t>015069 / 015070 / 015071</t>
  </si>
  <si>
    <t>16733 / 16734 / 16735</t>
  </si>
  <si>
    <t>19:40 / 19:50 / 20:10</t>
  </si>
  <si>
    <t>74 / 73 / 75</t>
  </si>
  <si>
    <t>QDB8C29 / RHX4A65</t>
  </si>
  <si>
    <t>015072 / 015073</t>
  </si>
  <si>
    <t>16737 / 1673</t>
  </si>
  <si>
    <t>20:20 / 20:45</t>
  </si>
  <si>
    <t>71 / 71</t>
  </si>
  <si>
    <t>015008 / 015009</t>
  </si>
  <si>
    <t>16770 / 16771</t>
  </si>
  <si>
    <t>19:30 / 19:50</t>
  </si>
  <si>
    <t>75 / 71</t>
  </si>
  <si>
    <t>PSC2F45 / AWY7467 / OXS6763</t>
  </si>
  <si>
    <t>015060 / 015062 / 015020</t>
  </si>
  <si>
    <t>16794 / 16796 / 16798</t>
  </si>
  <si>
    <t>17:50 / 18:25 / 19:10</t>
  </si>
  <si>
    <t>73,5 / 70 / 75</t>
  </si>
  <si>
    <t>010712 / 010713</t>
  </si>
  <si>
    <t>16842 / 16843</t>
  </si>
  <si>
    <t>18:20 / 18:35</t>
  </si>
  <si>
    <t>70,5 / 74,5</t>
  </si>
  <si>
    <t>AWY7467 / PSC2F45 / RHX4A65</t>
  </si>
  <si>
    <t>010736 / 010737 / 010739</t>
  </si>
  <si>
    <t>16866 / 16867 / 16869</t>
  </si>
  <si>
    <t>8:50 / 9:15 / 10:10</t>
  </si>
  <si>
    <t>73 / 74 / 72</t>
  </si>
  <si>
    <t>RHR1C79 / OXS6763</t>
  </si>
  <si>
    <t>007803 / 007804</t>
  </si>
  <si>
    <t>18159 / 18160</t>
  </si>
  <si>
    <t>18:00 / 19:10</t>
  </si>
  <si>
    <t>72,5 / 71,5</t>
  </si>
  <si>
    <t>RHX4A65 / RHR1C79</t>
  </si>
  <si>
    <t>007821 / 007823</t>
  </si>
  <si>
    <t>18177 / 18179</t>
  </si>
  <si>
    <t>14:10 / 14:45</t>
  </si>
  <si>
    <t>70 / 72,5</t>
  </si>
  <si>
    <t>OXS6763 / RHV4E74</t>
  </si>
  <si>
    <t>007862 / 007863</t>
  </si>
  <si>
    <t>18220 / 18221</t>
  </si>
  <si>
    <t>12:30 / 12:45</t>
  </si>
  <si>
    <t>74,5 / 73,5</t>
  </si>
  <si>
    <t>007890 / 007891</t>
  </si>
  <si>
    <t>18249 / 18250</t>
  </si>
  <si>
    <t>19:25 / 19:45</t>
  </si>
  <si>
    <t>73 / 72</t>
  </si>
  <si>
    <t>RHV4E74 / OXS6763 / QDB8C29</t>
  </si>
  <si>
    <t>007885 / 007886 / 007889</t>
  </si>
  <si>
    <t>18244 / 18245 / 18248</t>
  </si>
  <si>
    <t>18:20 / 18:30 / 19:10</t>
  </si>
  <si>
    <t>70 / 75 / 74</t>
  </si>
  <si>
    <t>OJC4C56 / QDB8C29</t>
  </si>
  <si>
    <t>017533 / 017534</t>
  </si>
  <si>
    <t>18293 / 18294</t>
  </si>
  <si>
    <t>17:00 / 17:15</t>
  </si>
  <si>
    <t>72,5 / 75</t>
  </si>
  <si>
    <t>RHQ9A22 / RHR1C79 / OXV2621</t>
  </si>
  <si>
    <t>017535 / 017536 / 017537</t>
  </si>
  <si>
    <t>18295 / 18296 / 18297</t>
  </si>
  <si>
    <t>17:30 / 19:10 / 20:00</t>
  </si>
  <si>
    <t>75 / 75,5 / 74</t>
  </si>
  <si>
    <t>AWY7466 / OXV2621</t>
  </si>
  <si>
    <t>017555 / 017556</t>
  </si>
  <si>
    <t>18316 / 18317</t>
  </si>
  <si>
    <t>15:00 / 15:25</t>
  </si>
  <si>
    <t>26 / 25</t>
  </si>
  <si>
    <t>017575 / 017576</t>
  </si>
  <si>
    <t>18336 / 18337</t>
  </si>
  <si>
    <t>16:55 / 17:15</t>
  </si>
  <si>
    <t>55 / 57</t>
  </si>
  <si>
    <t>OXV2621 / QDB8C29 / RHR1C79</t>
  </si>
  <si>
    <t>016613 / 016614 / 016615</t>
  </si>
  <si>
    <t>18373 / 18374 / 18375</t>
  </si>
  <si>
    <t>19:10 / 19:30 / 19:45</t>
  </si>
  <si>
    <t>69 / 59,5 / 60</t>
  </si>
  <si>
    <t>RHX4A65 / OXS6763 / RHR1C79</t>
  </si>
  <si>
    <t>016630 / 016631 / 016632</t>
  </si>
  <si>
    <t>18390 / 18391 / 18392</t>
  </si>
  <si>
    <t>14:00 / 14:15 / 14:35</t>
  </si>
  <si>
    <t>58 / 59 / 60</t>
  </si>
  <si>
    <t>OXS6763 / RHV4E74 / OXV2621</t>
  </si>
  <si>
    <t>016699 / 016700 / 016701</t>
  </si>
  <si>
    <t>18460 / 18461 / 18462</t>
  </si>
  <si>
    <t>16:55 / 17:10 / 17:30</t>
  </si>
  <si>
    <t>59 / 60 / 59</t>
  </si>
  <si>
    <t>AWY7466 / RHR1C79 / RHQ9A22</t>
  </si>
  <si>
    <t>012028 / 012026 / 012027</t>
  </si>
  <si>
    <t>18481 / 18483 / 18484</t>
  </si>
  <si>
    <t>16:50 / 18:25 / 18:50</t>
  </si>
  <si>
    <t>60 / 58 / 59,5</t>
  </si>
  <si>
    <t>RHQ9A22 / OJC4C96 / OXS6763</t>
  </si>
  <si>
    <t>012064 / 012065 / 012066</t>
  </si>
  <si>
    <t>18518 / 18519 / 18520</t>
  </si>
  <si>
    <t>19:40 / 19:55 / 20:06</t>
  </si>
  <si>
    <t>60 / 59 / 60</t>
  </si>
  <si>
    <t>RHX4A65 / AWY7466</t>
  </si>
  <si>
    <t>016616 / 016617</t>
  </si>
  <si>
    <t>18376 / 18377</t>
  </si>
  <si>
    <t>20:20 / 20:35</t>
  </si>
  <si>
    <t>60 / 59</t>
  </si>
  <si>
    <t>RHX4A65 / QDB8C29</t>
  </si>
  <si>
    <t>016696 / 016697</t>
  </si>
  <si>
    <t>18457 / 18458</t>
  </si>
  <si>
    <t>15:45 / 15:55</t>
  </si>
  <si>
    <t>57 / 58</t>
  </si>
  <si>
    <t>OJC4C96 / RHQ9A22</t>
  </si>
  <si>
    <t>012023 / 012025</t>
  </si>
  <si>
    <t>18480 / 18482</t>
  </si>
  <si>
    <t>14:46 / 17:30</t>
  </si>
  <si>
    <t>59 / 58</t>
  </si>
  <si>
    <t>OXV2621 / RHV4E74</t>
  </si>
  <si>
    <t>012067 / 012068</t>
  </si>
  <si>
    <t>18521 / 18523</t>
  </si>
  <si>
    <t>21:10 / 21:20</t>
  </si>
  <si>
    <t>60 / 58</t>
  </si>
  <si>
    <t>013610 / 013612</t>
  </si>
  <si>
    <t>18565 / 18567</t>
  </si>
  <si>
    <t>15:40 / 16:20</t>
  </si>
  <si>
    <t>60 / 56</t>
  </si>
  <si>
    <t>RHQ9A22 / QDB8C29 / OJC4C96</t>
  </si>
  <si>
    <t>013628 / 013629 / 013630</t>
  </si>
  <si>
    <t>18582 / 18583 / 18584</t>
  </si>
  <si>
    <t>16:10 / 16:20 / 16:35</t>
  </si>
  <si>
    <t>58 / 60 / 58</t>
  </si>
  <si>
    <t>AWY7466 / RHQ9A22</t>
  </si>
  <si>
    <t>013631 / 013632</t>
  </si>
  <si>
    <t>18585 / 18586</t>
  </si>
  <si>
    <t>17:30 / 17:45</t>
  </si>
  <si>
    <t>58 / 60</t>
  </si>
  <si>
    <t>RHQ9A22 / RHX4A65 / OXV2621</t>
  </si>
  <si>
    <t>013670 / 013672 / 013674</t>
  </si>
  <si>
    <t>18623 / 18625 / 18627</t>
  </si>
  <si>
    <t>09:45 / 10:20 / 11:00</t>
  </si>
  <si>
    <t>60 / 60 / 59</t>
  </si>
  <si>
    <t>OXS6763 / RHX4A65</t>
  </si>
  <si>
    <t>013678 / 013680</t>
  </si>
  <si>
    <t>18631 / 18633</t>
  </si>
  <si>
    <t>12:10 / 12:45</t>
  </si>
  <si>
    <t>RHX4A65 / RHV4E74</t>
  </si>
  <si>
    <t>013700 / 019258</t>
  </si>
  <si>
    <t>18666 / 18667</t>
  </si>
  <si>
    <t>14:40 / 14:55</t>
  </si>
  <si>
    <t>RHQ9A22 / AWY7466 / OXS6763</t>
  </si>
  <si>
    <t>019259 / 019260 / 019261</t>
  </si>
  <si>
    <t>18668 / 18669 / 18670</t>
  </si>
  <si>
    <t>15:30 / 15:45 / 16:00</t>
  </si>
  <si>
    <t>60 / 59 / 58</t>
  </si>
  <si>
    <t>OXV2621 / QDB8C29 / OXS6763</t>
  </si>
  <si>
    <t>19222 / 19223 / 19224</t>
  </si>
  <si>
    <t>0008 / 0009 / 0011</t>
  </si>
  <si>
    <t>08:26 / 08:45 / 08:59</t>
  </si>
  <si>
    <t>60 / 61 / 59</t>
  </si>
  <si>
    <t>BT5019 / BT4I82</t>
  </si>
  <si>
    <t>63834 / 63840</t>
  </si>
  <si>
    <t>4595 / 4596</t>
  </si>
  <si>
    <t>14:51 / 15:20</t>
  </si>
  <si>
    <t>75 / 72</t>
  </si>
  <si>
    <t>MEGAMIX</t>
  </si>
  <si>
    <t>19227 / 19228</t>
  </si>
  <si>
    <t>0014 / 0015</t>
  </si>
  <si>
    <t>10:05 / 10:17</t>
  </si>
  <si>
    <t>58 / 56</t>
  </si>
  <si>
    <t>007651 / 007650</t>
  </si>
  <si>
    <t>17826 / 17825</t>
  </si>
  <si>
    <t>18:10 / 18:30</t>
  </si>
  <si>
    <t>75 / 75</t>
  </si>
  <si>
    <t>RHX4A65 / QDB8C29 / RHQ9A22</t>
  </si>
  <si>
    <t>007682 / 007683 / 008284</t>
  </si>
  <si>
    <t>17857 / 17858 / 17859</t>
  </si>
  <si>
    <t>18:30 / 18:45 / 19:10</t>
  </si>
  <si>
    <t>70 / 74 / 73</t>
  </si>
  <si>
    <t>RHX4A65 / RHV4E74 / AWY7466</t>
  </si>
  <si>
    <t>018839 / 018840 / 018841</t>
  </si>
  <si>
    <t>17892 / 17893 / 17894</t>
  </si>
  <si>
    <t>17:18 / 17:35 / 17:45</t>
  </si>
  <si>
    <t>72 / 75 / 65,5</t>
  </si>
  <si>
    <t>RHR1C79 / OXV2621</t>
  </si>
  <si>
    <t>018842 / 018843</t>
  </si>
  <si>
    <t>17895 / 17896</t>
  </si>
  <si>
    <t>18:30 / 19:00</t>
  </si>
  <si>
    <t>72 / 71</t>
  </si>
  <si>
    <t>018883 / 018884</t>
  </si>
  <si>
    <t>17936 / 17937</t>
  </si>
  <si>
    <t>16:25 / 17:10</t>
  </si>
  <si>
    <t>73 / 72,5</t>
  </si>
  <si>
    <t>OJC4C96 / OXV2621</t>
  </si>
  <si>
    <t>013025 / 013026</t>
  </si>
  <si>
    <t>17979 / 17980</t>
  </si>
  <si>
    <t>09:45 / 10:30</t>
  </si>
  <si>
    <t>74,5 / 69</t>
  </si>
  <si>
    <t>RHQ9A22 / OJC4C96 / RHV4E74</t>
  </si>
  <si>
    <t>013016 / 013017 / 013019</t>
  </si>
  <si>
    <t>17970 / 17971 / 17973</t>
  </si>
  <si>
    <t>07:45 / 08:10 / 08:40</t>
  </si>
  <si>
    <t>74 / 73 / 68</t>
  </si>
  <si>
    <t>RHQ9A22 / OJC4C96</t>
  </si>
  <si>
    <t>013066 / 013067</t>
  </si>
  <si>
    <t>18020 / 18021</t>
  </si>
  <si>
    <t>18:50 / 19:15</t>
  </si>
  <si>
    <t>70 / 73</t>
  </si>
  <si>
    <t>007104 / 007105</t>
  </si>
  <si>
    <t>18059 / 18060</t>
  </si>
  <si>
    <t>19:28 / 19:48</t>
  </si>
  <si>
    <t>70,5 / 74</t>
  </si>
  <si>
    <t>QDB8C29 / AWY7466 / OXV2621</t>
  </si>
  <si>
    <t>007106 / 007107 / 007108</t>
  </si>
  <si>
    <t>18062 / 18063 / 18064</t>
  </si>
  <si>
    <t>20:30 / 20:44 / 20:55</t>
  </si>
  <si>
    <t>70 / 72 / 74</t>
  </si>
  <si>
    <t>007134 / 007136</t>
  </si>
  <si>
    <t>18090 / 18092</t>
  </si>
  <si>
    <t>19:45 / 20:15</t>
  </si>
  <si>
    <t>70 / 72</t>
  </si>
  <si>
    <t>RHQ9A22 / RHX4A65 / AWY7466</t>
  </si>
  <si>
    <t>007160 / 007162 / 007163</t>
  </si>
  <si>
    <t>18116 / 18118 / 18117</t>
  </si>
  <si>
    <t>16:20 / 16:56 / 18:40</t>
  </si>
  <si>
    <t>73 / 71 / 69</t>
  </si>
  <si>
    <t>RHR1C79 / OJC4C96 / OXV2621</t>
  </si>
  <si>
    <t>007817 / 007819 / 007820</t>
  </si>
  <si>
    <t>18173 / 18175 / 18176</t>
  </si>
  <si>
    <t>12:50 / 13:15 / 13:45</t>
  </si>
  <si>
    <t>73,5 / 72,5 / 69</t>
  </si>
  <si>
    <t>OXV2621 / RHX4A65 / OXS6763</t>
  </si>
  <si>
    <t>007864 / 07866 / 007869</t>
  </si>
  <si>
    <t>18222 / 18224 / 18227</t>
  </si>
  <si>
    <t>13:00 / 14:15 / 14:50</t>
  </si>
  <si>
    <t>72 / 75 / 72</t>
  </si>
  <si>
    <t>BT5019 / BT6753 / BT5E02</t>
  </si>
  <si>
    <t>54218 / 61373 / 61370</t>
  </si>
  <si>
    <t>58068 / 58069 / 58071</t>
  </si>
  <si>
    <t>15:03 / 15:18 / 15:34</t>
  </si>
  <si>
    <t>74 / 74 / 72</t>
  </si>
  <si>
    <t>BT0029 / OGW6753 / PTA1113</t>
  </si>
  <si>
    <t>63808 / 63809 / 63807</t>
  </si>
  <si>
    <t>4589 / 4590 / 4591</t>
  </si>
  <si>
    <t>12:45 / 13:10 / 13:50</t>
  </si>
  <si>
    <t>66 / 70 / 71,5</t>
  </si>
  <si>
    <t>BT5B97 / BT8A39 / BT5019</t>
  </si>
  <si>
    <t>63897 / 63889 / 63894</t>
  </si>
  <si>
    <t>57760 / 57765 / 57766</t>
  </si>
  <si>
    <t>12:08 / 13:18 / 13:46</t>
  </si>
  <si>
    <t>PTG4929 / PTT1E11</t>
  </si>
  <si>
    <t>63893 / 63899</t>
  </si>
  <si>
    <t>57768 / 57771</t>
  </si>
  <si>
    <t>14:05 / 14:31</t>
  </si>
  <si>
    <t>74 / 73</t>
  </si>
  <si>
    <t>RHV4E74 / AWY7466 / OJC4C96</t>
  </si>
  <si>
    <t>17703 / 17704 / 17705</t>
  </si>
  <si>
    <t>186 / 187 / 188</t>
  </si>
  <si>
    <t>18:58 / 19:20 / 19:35</t>
  </si>
  <si>
    <t>60 / 59 / 57</t>
  </si>
  <si>
    <t>17706 / 17707</t>
  </si>
  <si>
    <t>189 / 190</t>
  </si>
  <si>
    <t>20:35 / 20:55</t>
  </si>
  <si>
    <t>58 / 59</t>
  </si>
  <si>
    <t>BT4F30 / BT5914 / BT7153</t>
  </si>
  <si>
    <t>63863 / 63866 / 54236</t>
  </si>
  <si>
    <t>57886 / 57887 / 57888</t>
  </si>
  <si>
    <t>15:02 / 15:36 / 15:51</t>
  </si>
  <si>
    <t>69 / 75 / 73</t>
  </si>
  <si>
    <t>BT4I82 / BT1736</t>
  </si>
  <si>
    <t>54232 / 54238</t>
  </si>
  <si>
    <t>57889 / 57890</t>
  </si>
  <si>
    <t>16:19 / 16:35</t>
  </si>
  <si>
    <t>69 / 74</t>
  </si>
  <si>
    <t>BT4637 / BT4F23 / BT1E11</t>
  </si>
  <si>
    <t>54208 / 54264 / 54253</t>
  </si>
  <si>
    <t>57946 / 57947 / 57948</t>
  </si>
  <si>
    <t>18:46 / 19:00 / 19:11</t>
  </si>
  <si>
    <t>BT3927 / BT4637 / BT1736</t>
  </si>
  <si>
    <t>57274 / 54247 / 54242</t>
  </si>
  <si>
    <t>57989 / 57991 / 57993</t>
  </si>
  <si>
    <t>16:07 / 16:25 / 16:46</t>
  </si>
  <si>
    <t>18;05</t>
  </si>
  <si>
    <t>73,5 / 73,5 / 71,5</t>
  </si>
  <si>
    <t>BT7153 / BT5E02 / BT3260</t>
  </si>
  <si>
    <t>54299 / 54269 / 54268</t>
  </si>
  <si>
    <t>58041 / 58042 / 58043</t>
  </si>
  <si>
    <t>17:50 / 18:08 / 18:30</t>
  </si>
  <si>
    <t>72 / 75 / 73,5</t>
  </si>
  <si>
    <t>BT5A85 / BT3260 / BTT6753</t>
  </si>
  <si>
    <t>61322 / 61306 / 61395</t>
  </si>
  <si>
    <t>58183 / 58184 / 58186</t>
  </si>
  <si>
    <t>16:01 / 16:23 / 16:50</t>
  </si>
  <si>
    <t>72 / 73 / 72</t>
  </si>
  <si>
    <t>BT4929 / BT3260 / BT8A39</t>
  </si>
  <si>
    <t>61386 / 61388 / 61396</t>
  </si>
  <si>
    <t>58242 / 58244 / 58246</t>
  </si>
  <si>
    <t>15:09 / 15:32 / 16:03</t>
  </si>
  <si>
    <t>75 / 74 / 70</t>
  </si>
  <si>
    <t>BT1E11 / BT1C89</t>
  </si>
  <si>
    <t>61339 / 64496</t>
  </si>
  <si>
    <t>58375 / 58380</t>
  </si>
  <si>
    <t>14:48 / 15:37</t>
  </si>
  <si>
    <t>72 / 74</t>
  </si>
  <si>
    <t>BT5A85 / BT5E02</t>
  </si>
  <si>
    <t>54279 / 54291</t>
  </si>
  <si>
    <t>57985 / 57986</t>
  </si>
  <si>
    <t>15:02 / 15:20</t>
  </si>
  <si>
    <t>BT4F23 / BT4637</t>
  </si>
  <si>
    <t>54260 / 54273</t>
  </si>
  <si>
    <t>58038 / 58039</t>
  </si>
  <si>
    <t>16:43 / 17:08</t>
  </si>
  <si>
    <t>70,5 / 72,5</t>
  </si>
  <si>
    <t>BT1E11 / BT1736</t>
  </si>
  <si>
    <t>54271 / 54263</t>
  </si>
  <si>
    <t>58065 / 58066</t>
  </si>
  <si>
    <t>14:33 / 14:47</t>
  </si>
  <si>
    <t>74,5 / 72</t>
  </si>
  <si>
    <t>BT1E11 / BT5914</t>
  </si>
  <si>
    <t>61304 / 61393</t>
  </si>
  <si>
    <t>58133 / 58134</t>
  </si>
  <si>
    <t>17:18 / 17:53</t>
  </si>
  <si>
    <t>74,5 / 75</t>
  </si>
  <si>
    <t>BT4F30 / BT5018</t>
  </si>
  <si>
    <t>61326 / 61353</t>
  </si>
  <si>
    <t>58177 / 58180</t>
  </si>
  <si>
    <t>15:13 / 15:32</t>
  </si>
  <si>
    <t>74 / 75</t>
  </si>
  <si>
    <t>BT4I82 / BT4F23</t>
  </si>
  <si>
    <t>61385 / 61392</t>
  </si>
  <si>
    <t>58238 / 58239</t>
  </si>
  <si>
    <t>14:03 / 14:28</t>
  </si>
  <si>
    <t>72 / 73</t>
  </si>
  <si>
    <t>BT8A39 / BT5E02</t>
  </si>
  <si>
    <t>64495 / 64484</t>
  </si>
  <si>
    <t>58368 / 58372</t>
  </si>
  <si>
    <t>13:47 / 14:23</t>
  </si>
  <si>
    <t>BT4637 / BT1736</t>
  </si>
  <si>
    <t>64459 / 64430</t>
  </si>
  <si>
    <t>58423 / 58424</t>
  </si>
  <si>
    <t>17:14 / 17:34</t>
  </si>
  <si>
    <t>74 / 72</t>
  </si>
  <si>
    <t>BT4F23 / BT1C89</t>
  </si>
  <si>
    <t>64401 / 64466</t>
  </si>
  <si>
    <t>58421 / 58422</t>
  </si>
  <si>
    <t>16:41 / 16:57</t>
  </si>
  <si>
    <t>70 / 74</t>
  </si>
  <si>
    <t>BT7A94 / BT1113</t>
  </si>
  <si>
    <t>64472 / 64440</t>
  </si>
  <si>
    <t>58447 / 58448</t>
  </si>
  <si>
    <t>16:43 / 17:11</t>
  </si>
  <si>
    <t>72 / 75,5</t>
  </si>
  <si>
    <t>BT4I87 / BT1C89</t>
  </si>
  <si>
    <t>64412 / 64403</t>
  </si>
  <si>
    <t>58444 / 58446</t>
  </si>
  <si>
    <t>15:20 / 15:54</t>
  </si>
  <si>
    <t>BT4652 / BT1113</t>
  </si>
  <si>
    <t>64421 / 64422</t>
  </si>
  <si>
    <t>58488 / 58489</t>
  </si>
  <si>
    <t>17:15 / 17:39</t>
  </si>
  <si>
    <t>75 / 74,5</t>
  </si>
  <si>
    <t>BT4637 / BT8883</t>
  </si>
  <si>
    <t>64418 / 64420</t>
  </si>
  <si>
    <t>58484 / 58487</t>
  </si>
  <si>
    <t>15:21 / 15:57</t>
  </si>
  <si>
    <t>64443 / 64449</t>
  </si>
  <si>
    <t>58516 / 58517</t>
  </si>
  <si>
    <t>14:42 / 15:10</t>
  </si>
  <si>
    <t>71 / 72</t>
  </si>
  <si>
    <t>BT4I87 / BT7153</t>
  </si>
  <si>
    <t>64445 / 64444</t>
  </si>
  <si>
    <t>58512 / 58513</t>
  </si>
  <si>
    <t>13:56 / 14:20</t>
  </si>
  <si>
    <t>75 / 74</t>
  </si>
  <si>
    <t>BT4F30 / BT4637</t>
  </si>
  <si>
    <t>60477 / 60457</t>
  </si>
  <si>
    <t>58554 / 58556</t>
  </si>
  <si>
    <t>11:33 / 11:59</t>
  </si>
  <si>
    <t>BT5914 / BT5A85</t>
  </si>
  <si>
    <t>60466 / 60469</t>
  </si>
  <si>
    <t>58549 / 58551</t>
  </si>
  <si>
    <t>10:31 / 10:51</t>
  </si>
  <si>
    <t>74,5 / 72,5</t>
  </si>
  <si>
    <t>BT1C89 / BT4637</t>
  </si>
  <si>
    <t>60467 / 60454</t>
  </si>
  <si>
    <t>58585 / 58586</t>
  </si>
  <si>
    <t>15:46 / 16:09</t>
  </si>
  <si>
    <t>BT4F23 / BT7153</t>
  </si>
  <si>
    <t>60488 / 60486</t>
  </si>
  <si>
    <t>58581 / 58584</t>
  </si>
  <si>
    <t>14:56 / 15:23</t>
  </si>
  <si>
    <t>73 / 75</t>
  </si>
  <si>
    <t>BT1736 / BT4I87</t>
  </si>
  <si>
    <t>60500 / 60491</t>
  </si>
  <si>
    <t>58595 / 58596</t>
  </si>
  <si>
    <t>13:59 / 14:33</t>
  </si>
  <si>
    <t>BT6663 / BT6753</t>
  </si>
  <si>
    <t>60494 / 60456</t>
  </si>
  <si>
    <t>58597 / 58599</t>
  </si>
  <si>
    <t>14:59 / 15:22</t>
  </si>
  <si>
    <t>70 / 74,5</t>
  </si>
  <si>
    <t>BT4F30 / BT1736</t>
  </si>
  <si>
    <t>60448 / 60447</t>
  </si>
  <si>
    <t>58618 / 58619</t>
  </si>
  <si>
    <t>16:35 / 16:58</t>
  </si>
  <si>
    <t>BT1113 / BT4I87</t>
  </si>
  <si>
    <t>60455 / 60461</t>
  </si>
  <si>
    <t>58615 / 58617</t>
  </si>
  <si>
    <t>15:36 / 16:06</t>
  </si>
  <si>
    <t>BT4I87 / BT4F30</t>
  </si>
  <si>
    <t>60442 / 60436</t>
  </si>
  <si>
    <t>58655 / 58656</t>
  </si>
  <si>
    <t>14:54 / 15:08</t>
  </si>
  <si>
    <t>BT7A94 / BT4F30</t>
  </si>
  <si>
    <t>60425 / 60440</t>
  </si>
  <si>
    <t>58661 / 58662</t>
  </si>
  <si>
    <t>20:47 / 21:09</t>
  </si>
  <si>
    <t>75 / 70</t>
  </si>
  <si>
    <t>BT4929 / BT5A85 / BT1113</t>
  </si>
  <si>
    <t>60408 / 60431 / 60404</t>
  </si>
  <si>
    <t>58698 / 58700 / 58702</t>
  </si>
  <si>
    <t>15:49 / 16:02 / 16:25</t>
  </si>
  <si>
    <t>75 / 74 / 73</t>
  </si>
  <si>
    <t>BT1C89 / BT6396 / BT4I87</t>
  </si>
  <si>
    <t>60066 / 60067 / 60068</t>
  </si>
  <si>
    <t>58793 / 58794 / 58795</t>
  </si>
  <si>
    <t>17:33 / 17:52 / 18:16</t>
  </si>
  <si>
    <t>70 / 75 / 68</t>
  </si>
  <si>
    <t>BT1E11 / BT4F23</t>
  </si>
  <si>
    <t>60094 / 60088</t>
  </si>
  <si>
    <t>58790 / 58791</t>
  </si>
  <si>
    <t>16:18 / 16:37</t>
  </si>
  <si>
    <t>73 / 73</t>
  </si>
  <si>
    <t>BT6753 / BT6396 / BT3927</t>
  </si>
  <si>
    <t>60080 / 60076 / 57356</t>
  </si>
  <si>
    <t>58830 / 58831 / 58832</t>
  </si>
  <si>
    <t>15:13 / 15:35 / 16:08</t>
  </si>
  <si>
    <t>75 / 73 / 73</t>
  </si>
  <si>
    <t>BT4I87 / BT0029</t>
  </si>
  <si>
    <t>60075 / 60082</t>
  </si>
  <si>
    <t>58825 / 58827</t>
  </si>
  <si>
    <t>14:14 / 14:35</t>
  </si>
  <si>
    <t>BT6753 / BT0029 / BT7A94</t>
  </si>
  <si>
    <t>62608 / 62634 / 62633</t>
  </si>
  <si>
    <t>58897 / 58900 / 58904</t>
  </si>
  <si>
    <t>15:38 / 16:04 / 16:32</t>
  </si>
  <si>
    <t>73 / 70 / 75</t>
  </si>
  <si>
    <t>BT4I87 / BT4652</t>
  </si>
  <si>
    <t>62610 / 62609</t>
  </si>
  <si>
    <t>58890 / 58892</t>
  </si>
  <si>
    <t>14:34 / 14:54</t>
  </si>
  <si>
    <t>70 / 71</t>
  </si>
  <si>
    <t>BT5914 / BT6753</t>
  </si>
  <si>
    <t>62657 / 62653</t>
  </si>
  <si>
    <t>58965 / 58966</t>
  </si>
  <si>
    <t>15:04 / 15:19</t>
  </si>
  <si>
    <t>BT6663 / BT7153 / BT6753</t>
  </si>
  <si>
    <t>64931 / 64930 / 64939</t>
  </si>
  <si>
    <t>59049 / 59051 / 59052</t>
  </si>
  <si>
    <t>15:11 / 15:23 / 15:45</t>
  </si>
  <si>
    <t>74 / 75 / 73</t>
  </si>
  <si>
    <t>BT0430 / BT0814 / BT7A94</t>
  </si>
  <si>
    <t>62656 / 62655 / 64991</t>
  </si>
  <si>
    <t>58972 / 58975 / 58977</t>
  </si>
  <si>
    <t>16:10 / 16:33 / 17:00</t>
  </si>
  <si>
    <t>74,5 / 73 / 75</t>
  </si>
  <si>
    <t>OXV2621 / OXS6763 / RHQ9A22</t>
  </si>
  <si>
    <t>014191 / 014192 / 014193</t>
  </si>
  <si>
    <t>10720 / 10721 / 10722</t>
  </si>
  <si>
    <t>RHR1C79 / RHQ9A22 / OJC4C96</t>
  </si>
  <si>
    <t>007741 / 007742 / 007743</t>
  </si>
  <si>
    <t>10775 / 10776 / 10777</t>
  </si>
  <si>
    <t>OXV2621 / OJC4C96 / AWY7467</t>
  </si>
  <si>
    <t>007779 / 007780 / 007781</t>
  </si>
  <si>
    <t>10814 / 10815 / 10816</t>
  </si>
  <si>
    <t>OXV2621 / PSC2F45 / OXV2621</t>
  </si>
  <si>
    <t>016709 / 016714 / 016715</t>
  </si>
  <si>
    <t>10844 / 10850 / 10851</t>
  </si>
  <si>
    <t>RHR1C79 / OJC4C96 / PSC2F45</t>
  </si>
  <si>
    <t>016732 / 016733 / 016734</t>
  </si>
  <si>
    <t>10869 / 10870 / 10871</t>
  </si>
  <si>
    <t>OVX2621 / PSC2F45 / OXV2621</t>
  </si>
  <si>
    <t>016753 / 016755 / OXS6763</t>
  </si>
  <si>
    <t>10891 / 10892 / 10893</t>
  </si>
  <si>
    <t>PSC2F45 / AWY7467 / AWY7466</t>
  </si>
  <si>
    <t>016782 / 016784 / 016785</t>
  </si>
  <si>
    <t>10919 / 10921 / 10922</t>
  </si>
  <si>
    <t>RHR1C79/PSC2F45/RHR1C79</t>
  </si>
  <si>
    <t>010410 / 010413 / 010415</t>
  </si>
  <si>
    <t>10950/10953/10955</t>
  </si>
  <si>
    <t>OJC4C96 / AQY7466 / PSCPF45</t>
  </si>
  <si>
    <t>010435 / 010436 / PSC2F45</t>
  </si>
  <si>
    <t>10975 / 10976 / 10977</t>
  </si>
  <si>
    <t>OXV2621 / RHR1C79 / OJC4C96</t>
  </si>
  <si>
    <t>010458 / 010459 / 010460</t>
  </si>
  <si>
    <t>11652 / 11653 / 11654</t>
  </si>
  <si>
    <t>RCR1C79 / DJDOB19 / OXV2621</t>
  </si>
  <si>
    <t>010488 / 010489 / 010490</t>
  </si>
  <si>
    <t xml:space="preserve">11682 / 11683 / 11684 </t>
  </si>
  <si>
    <t>RHR9A22 / PSC2F45 / AWY7467</t>
  </si>
  <si>
    <t>014306 / 014307 / 014308</t>
  </si>
  <si>
    <t>11700 / 11701 / 11702</t>
  </si>
  <si>
    <t>PSC2F45 / RHR1C79 / OJC4C96</t>
  </si>
  <si>
    <t>014328 / 014329 / 014330</t>
  </si>
  <si>
    <t>11722 / 11723 / 11724</t>
  </si>
  <si>
    <t>OJDOB19 / OXS6763 / AWY7467</t>
  </si>
  <si>
    <t>014358 / 014359 / 014392</t>
  </si>
  <si>
    <t>11752 / 11753 / 11754</t>
  </si>
  <si>
    <t>OVX2621 / OSC4C96</t>
  </si>
  <si>
    <t>009521 / 009522</t>
  </si>
  <si>
    <t xml:space="preserve">11814 / 11815 </t>
  </si>
  <si>
    <t>QDB8C29 / AWY7466 / RHQ9A22</t>
  </si>
  <si>
    <t>009540 / 009541 / 009542</t>
  </si>
  <si>
    <t>11833 / 11834 / 11835</t>
  </si>
  <si>
    <t xml:space="preserve">RHR1C79 / RHQ9A22 </t>
  </si>
  <si>
    <t>010802 / 010806</t>
  </si>
  <si>
    <t>11899 / 11902</t>
  </si>
  <si>
    <t>OXV2621 / QDB8C79</t>
  </si>
  <si>
    <t>010826 / 010827</t>
  </si>
  <si>
    <t>11923 / 11924</t>
  </si>
  <si>
    <t>OJC4C79 / QDB8C29</t>
  </si>
  <si>
    <t>010871 / 010872</t>
  </si>
  <si>
    <t>11969 / 11970</t>
  </si>
  <si>
    <t>AWY7467 / OXS6763</t>
  </si>
  <si>
    <t>010898 / 010899</t>
  </si>
  <si>
    <t>11996 / 11997</t>
  </si>
  <si>
    <t>QDB8C29 / RHQ9422</t>
  </si>
  <si>
    <t>012223 /012224</t>
  </si>
  <si>
    <t>12022 / 12021</t>
  </si>
  <si>
    <t>OXV2G21 /OXS6763</t>
  </si>
  <si>
    <t>012254 / 012255</t>
  </si>
  <si>
    <t>12052 /12053</t>
  </si>
  <si>
    <t>012278 / 012280</t>
  </si>
  <si>
    <t xml:space="preserve">12077 / 12078 </t>
  </si>
  <si>
    <t>RHQ9A22 /AWY7467</t>
  </si>
  <si>
    <t>008997 / 008998</t>
  </si>
  <si>
    <t>12108 / 12109</t>
  </si>
  <si>
    <t>008960 / 008961</t>
  </si>
  <si>
    <t>12120 / 12126</t>
  </si>
  <si>
    <t>OJD0B19 / AWY7467</t>
  </si>
  <si>
    <t>008942 / 0108943</t>
  </si>
  <si>
    <t>12159 / 12160</t>
  </si>
  <si>
    <t>OJC4C96 / AWY7467</t>
  </si>
  <si>
    <t>008926 / 008927</t>
  </si>
  <si>
    <t>12174 / 12175</t>
  </si>
  <si>
    <t>RHQ9A22 / RHR1C79 / OXS6763</t>
  </si>
  <si>
    <t>009184 / 009185 / 009155</t>
  </si>
  <si>
    <t>15594 / 15595 / 15596</t>
  </si>
  <si>
    <t>RHR1C79 / AWY7467 / OXV2621</t>
  </si>
  <si>
    <t>020228 / 020229 / 020230</t>
  </si>
  <si>
    <t>15639 / 15640 / 15641</t>
  </si>
  <si>
    <t>OJC4C96 / AWY7467 / OXV2621 / AWY7467</t>
  </si>
  <si>
    <t>020261 / 020262 / 020264 / 020271</t>
  </si>
  <si>
    <t>15669 / 15670 / 15671 / 15678</t>
  </si>
  <si>
    <t>OXV2621 / RHR1C79 / RHQ9A22</t>
  </si>
  <si>
    <t>020292 / 020293 / 020294</t>
  </si>
  <si>
    <t>15701 / 15702 / 15703</t>
  </si>
  <si>
    <t>QDB8C29 / PSD2F45</t>
  </si>
  <si>
    <t>20290 / 20291</t>
  </si>
  <si>
    <t>15699 / 15700</t>
  </si>
  <si>
    <t>OXV2621 / QDB8C29 / RHQ9A22 / QDB8C29</t>
  </si>
  <si>
    <t>7913 / 7914 / 7917 / 7920</t>
  </si>
  <si>
    <t>15728 / 15729 / 15732 / 15735</t>
  </si>
  <si>
    <t>QDB8C29 / OXV2621 / OSC4C96</t>
  </si>
  <si>
    <t>7992 / 7993 / 7994</t>
  </si>
  <si>
    <t>15807 / 15808 / 15809</t>
  </si>
  <si>
    <t>QDB8C29 / OXV2621</t>
  </si>
  <si>
    <t>7986 / 7987</t>
  </si>
  <si>
    <t>15801 / 15802</t>
  </si>
  <si>
    <t>OXV2621 / AWY7467 / OXV2621</t>
  </si>
  <si>
    <t>008207 / 008208 / 008211</t>
  </si>
  <si>
    <t>15822 / 15823 / 15825</t>
  </si>
  <si>
    <t>008217 / 008219</t>
  </si>
  <si>
    <t>15832 / 15834</t>
  </si>
  <si>
    <t>RHX4A65 / RHQ9A22</t>
  </si>
  <si>
    <t>008267 / 008269</t>
  </si>
  <si>
    <t>15882 / 15884</t>
  </si>
  <si>
    <t>AWY7467 / RHX4A65</t>
  </si>
  <si>
    <t>008272 / 008274</t>
  </si>
  <si>
    <t>15887 / 15889</t>
  </si>
  <si>
    <t>OXV2621 / AWY7467</t>
  </si>
  <si>
    <t>018234 / 018235</t>
  </si>
  <si>
    <t>15951 / 15952</t>
  </si>
  <si>
    <t>018236 / 018238</t>
  </si>
  <si>
    <t>15954 / 15955</t>
  </si>
  <si>
    <t>OXS6763 / RHQ9A22</t>
  </si>
  <si>
    <t>018252 / 018253</t>
  </si>
  <si>
    <t>15969 / 15970</t>
  </si>
  <si>
    <t>QDB8C29 / OXS6763</t>
  </si>
  <si>
    <t>018283 / 018284</t>
  </si>
  <si>
    <t>16001 / 16002</t>
  </si>
  <si>
    <t>OXV2621 / RHQ9A22 / QDB7469</t>
  </si>
  <si>
    <t>018285 / 018286 / 018289</t>
  </si>
  <si>
    <t>16004 / 16005 / 16011</t>
  </si>
  <si>
    <t>OXS6763 / AWY7467</t>
  </si>
  <si>
    <t>017320 / 017322</t>
  </si>
  <si>
    <t>16042 / 16044</t>
  </si>
  <si>
    <t>RHX4A65 / OXS6763</t>
  </si>
  <si>
    <t>017323 / 017324</t>
  </si>
  <si>
    <t>16045 / 16046</t>
  </si>
  <si>
    <t>017373 / 017374</t>
  </si>
  <si>
    <t>16095 / 16096</t>
  </si>
  <si>
    <t>017376 / 017377</t>
  </si>
  <si>
    <t>16098 / 16099</t>
  </si>
  <si>
    <t>020306 / 020307</t>
  </si>
  <si>
    <t>16128 / 16129</t>
  </si>
  <si>
    <t>OXV2621 / OXS6763</t>
  </si>
  <si>
    <t>020308 / 020309</t>
  </si>
  <si>
    <t>16130 / 16131</t>
  </si>
  <si>
    <t>020334 / 020336</t>
  </si>
  <si>
    <t>1656 / 16158</t>
  </si>
  <si>
    <t>PSC2F45 / OXS6763</t>
  </si>
  <si>
    <t>020366 / 020367</t>
  </si>
  <si>
    <t>16189 / 16190</t>
  </si>
  <si>
    <t>020354 / 020368</t>
  </si>
  <si>
    <t>16191 / 16192</t>
  </si>
  <si>
    <t>RHR1C79 / PSC2F45</t>
  </si>
  <si>
    <t>020389 / 020391</t>
  </si>
  <si>
    <t>16213 / 16215</t>
  </si>
  <si>
    <t>RHQ9A22 / RHX4A65 / AWY7467</t>
  </si>
  <si>
    <t>020393 / 020395 / 020400</t>
  </si>
  <si>
    <t>16217 / 16219 / 16224</t>
  </si>
  <si>
    <t>RHQ9A22 / OXV2621</t>
  </si>
  <si>
    <t>007530 / 007531</t>
  </si>
  <si>
    <t>16258 / 16259</t>
  </si>
  <si>
    <t>RHX4A65 / PSC2F45 / OXV2621</t>
  </si>
  <si>
    <t>007532 / 007533 / 007538</t>
  </si>
  <si>
    <t>16260 / 16261 / 16266</t>
  </si>
  <si>
    <t>RHX4A65 / OXV2621</t>
  </si>
  <si>
    <t>007573 / 007574</t>
  </si>
  <si>
    <t>16300 / 16301</t>
  </si>
  <si>
    <t>007575 / 007576</t>
  </si>
  <si>
    <t>16302 / 16303</t>
  </si>
  <si>
    <t>17203 / 17204</t>
  </si>
  <si>
    <t>16331 / 16332</t>
  </si>
  <si>
    <t>017205 / 017206</t>
  </si>
  <si>
    <t>16333 / 16334</t>
  </si>
  <si>
    <t>QDB8C29 / RHX4A65 / RHR1C79</t>
  </si>
  <si>
    <t>017239 / 017241 / 017242</t>
  </si>
  <si>
    <t>16367 / 16369 / 16370</t>
  </si>
  <si>
    <t>RHQ9A22 / QDB8C29</t>
  </si>
  <si>
    <t>017233 / 017234</t>
  </si>
  <si>
    <t>16358 / 16362</t>
  </si>
  <si>
    <t>017279 / 017280</t>
  </si>
  <si>
    <t>16409 / 16410</t>
  </si>
  <si>
    <t>007221 / 007222</t>
  </si>
  <si>
    <t>12323 / 12324</t>
  </si>
  <si>
    <t>RHR1C79 / RHQ9A22</t>
  </si>
  <si>
    <t>007247 / 007248</t>
  </si>
  <si>
    <t>12349 / 12350</t>
  </si>
  <si>
    <t>007245 / 007246</t>
  </si>
  <si>
    <t>12347 / 12348</t>
  </si>
  <si>
    <t>PSC2F45 / OXS6763 / OXS6763 / OXV2621</t>
  </si>
  <si>
    <t>007257 / 007258 / 007271 / 007275</t>
  </si>
  <si>
    <t>12359 / 12360 / 12373 / 12377</t>
  </si>
  <si>
    <t>007280 / 007281</t>
  </si>
  <si>
    <t>12382 / 12383</t>
  </si>
  <si>
    <t>007292 / 007293</t>
  </si>
  <si>
    <t>12394 / 12395</t>
  </si>
  <si>
    <t>RHQ9A22 / OXS6763</t>
  </si>
  <si>
    <t>007294 / 007295</t>
  </si>
  <si>
    <t>12396 / 12397</t>
  </si>
  <si>
    <t>008104 / 008105</t>
  </si>
  <si>
    <t>12406 / 12407</t>
  </si>
  <si>
    <t>PSC2F45 / RHK1C79</t>
  </si>
  <si>
    <t>008102 / 008103</t>
  </si>
  <si>
    <t>12404 / 12405</t>
  </si>
  <si>
    <t>008144 / 008145</t>
  </si>
  <si>
    <t>12446 / 12447</t>
  </si>
  <si>
    <t>008143 / 008142</t>
  </si>
  <si>
    <t>12444 / 12445</t>
  </si>
  <si>
    <t>008152 / 008153</t>
  </si>
  <si>
    <t>12454 / 12455</t>
  </si>
  <si>
    <t>OXV2621 / OWY7467</t>
  </si>
  <si>
    <t>008150 / 008151</t>
  </si>
  <si>
    <t>12452 / 12453</t>
  </si>
  <si>
    <t>008171 / 008172</t>
  </si>
  <si>
    <t>12474 / 12475</t>
  </si>
  <si>
    <t>RHQ9A22 / AWY7467 / RHQ9A22</t>
  </si>
  <si>
    <t>015518 / 015521 / 015524</t>
  </si>
  <si>
    <t>15220 / 15223 / 15226</t>
  </si>
  <si>
    <t>015546 / 015547</t>
  </si>
  <si>
    <t>15248 / 15249</t>
  </si>
  <si>
    <t>OXS6763 / PSC2F45</t>
  </si>
  <si>
    <t>015565 / 015566</t>
  </si>
  <si>
    <t>15266 / 15267</t>
  </si>
  <si>
    <t>AWY7467 / RHR1C79</t>
  </si>
  <si>
    <t>015562 / 015563</t>
  </si>
  <si>
    <t>15263 / 15264</t>
  </si>
  <si>
    <t>015575 / 015576</t>
  </si>
  <si>
    <t>15277 / 15278</t>
  </si>
  <si>
    <t>015588 / 015589</t>
  </si>
  <si>
    <t>15290 / 15291</t>
  </si>
  <si>
    <t>RHR1C79 / PSC4C96</t>
  </si>
  <si>
    <t>015586 / 015587</t>
  </si>
  <si>
    <t>15288 / 15289</t>
  </si>
  <si>
    <t>010207 / 010208</t>
  </si>
  <si>
    <t>15311 / 15312</t>
  </si>
  <si>
    <t>OXS6763 / OJC4C96</t>
  </si>
  <si>
    <t>010204 / 010205</t>
  </si>
  <si>
    <t>15307 / 15308</t>
  </si>
  <si>
    <t>010225 / 010227</t>
  </si>
  <si>
    <t>15331 / 15333</t>
  </si>
  <si>
    <t>010241 / 010242</t>
  </si>
  <si>
    <t>15348 / 15349</t>
  </si>
  <si>
    <t>RHR1C79 / AWY7467</t>
  </si>
  <si>
    <t>010257 / 010258</t>
  </si>
  <si>
    <t>15364 / 15365</t>
  </si>
  <si>
    <t>QDB8C29 / AWY7467</t>
  </si>
  <si>
    <t>010278 / 010290</t>
  </si>
  <si>
    <t>15385 / 15387</t>
  </si>
  <si>
    <t>010275 / 010277</t>
  </si>
  <si>
    <t>15382 / 15384</t>
  </si>
  <si>
    <t>RHV4E74 / RHX4A65</t>
  </si>
  <si>
    <t>008091 / 008095</t>
  </si>
  <si>
    <t>17336 / 17337</t>
  </si>
  <si>
    <t>17:55 / 18:10</t>
  </si>
  <si>
    <t>72 / 73,5</t>
  </si>
  <si>
    <t>RHR1C79 / RHQ9A22 / OXS6763</t>
  </si>
  <si>
    <t>007416 / 007417 / 007418</t>
  </si>
  <si>
    <t>17361 / 17362 / 17363</t>
  </si>
  <si>
    <t>17:40 / 18:00 / 18:25</t>
  </si>
  <si>
    <t>69,5 / 69 / 71</t>
  </si>
  <si>
    <t>AWY7466 / RHX4A65 / PSC2F45</t>
  </si>
  <si>
    <t>007468 / 007469 / 007470</t>
  </si>
  <si>
    <t>17412 / 17413 / 17414</t>
  </si>
  <si>
    <t>17:15 / 18:15 / 18:30</t>
  </si>
  <si>
    <t>70 / 71 / 73,5</t>
  </si>
  <si>
    <t>007498 / 010901</t>
  </si>
  <si>
    <t>17442 / 17445</t>
  </si>
  <si>
    <t>17:40 / 18:45</t>
  </si>
  <si>
    <t>71,5 / 75</t>
  </si>
  <si>
    <t>RHR1C79 / AWY7466 / RHQ9A22</t>
  </si>
  <si>
    <t>010902 / 010903 / 010904</t>
  </si>
  <si>
    <t>17446 / 17447 / 17448</t>
  </si>
  <si>
    <t>19:00 / 19:25 / 19:50</t>
  </si>
  <si>
    <t>71,5 / 72 / 73,5</t>
  </si>
  <si>
    <t>RHX4A65 / PSC2F45</t>
  </si>
  <si>
    <t>007446 / 007447</t>
  </si>
  <si>
    <t>17389 / 17390</t>
  </si>
  <si>
    <t>17:40 / 18:35</t>
  </si>
  <si>
    <t>OJC4C96 / QDB8C29 / RHV4E74</t>
  </si>
  <si>
    <t>010934 / 010936 / 010937</t>
  </si>
  <si>
    <t>17478 / 17480 / 17481</t>
  </si>
  <si>
    <t>18:25 / 18:55 / 19:25</t>
  </si>
  <si>
    <t>73,5 / 74 / 69</t>
  </si>
  <si>
    <t>010951 / 010953</t>
  </si>
  <si>
    <t>17495 / 17497</t>
  </si>
  <si>
    <t>13:55 / 14:20</t>
  </si>
  <si>
    <t>71 / 75</t>
  </si>
  <si>
    <t>RHV4E74 / RHQ9A22</t>
  </si>
  <si>
    <t>010992 / 010993</t>
  </si>
  <si>
    <t>17538 / 17539</t>
  </si>
  <si>
    <t>18:10 / 18:25</t>
  </si>
  <si>
    <t>70,5 / 70</t>
  </si>
  <si>
    <t>RHQ9A22 / QDB8C29 / RHQ9A22</t>
  </si>
  <si>
    <t>010309 / 010310 / 010313</t>
  </si>
  <si>
    <t>17555 / 17557 / 17559</t>
  </si>
  <si>
    <t>13:25 /  13:40 / 15:00</t>
  </si>
  <si>
    <t>73 / 75 / 71</t>
  </si>
  <si>
    <t>OXS6763 / RHX4E65</t>
  </si>
  <si>
    <t>010347 / 010348</t>
  </si>
  <si>
    <t>17590 / 17591</t>
  </si>
  <si>
    <t>19:00 / 19:20</t>
  </si>
  <si>
    <t>PSC2F45 / RHV4E74 / OJC4C96</t>
  </si>
  <si>
    <t>010349 / 010350 / 010351</t>
  </si>
  <si>
    <t>17592 / 17593 / 17594</t>
  </si>
  <si>
    <t>19:50 / 20:00 / 20:20</t>
  </si>
  <si>
    <t>70 / 74 / 71</t>
  </si>
  <si>
    <t>010610 / 010611</t>
  </si>
  <si>
    <t>17660 / 17661</t>
  </si>
  <si>
    <t>19:10 / 19:20</t>
  </si>
  <si>
    <t>PSC2F45 / OJC4C96 / OXS6763</t>
  </si>
  <si>
    <t>010634 / 010636 / 010638</t>
  </si>
  <si>
    <t>17685 / 17687  17689</t>
  </si>
  <si>
    <t>19:00 / 19:30 / 19:55</t>
  </si>
  <si>
    <t>74 / 71 / 72</t>
  </si>
  <si>
    <t>010628 / 010631</t>
  </si>
  <si>
    <t>17679 / 17682</t>
  </si>
  <si>
    <t>16:55 / 17:40</t>
  </si>
  <si>
    <t>70 / 75</t>
  </si>
  <si>
    <t>010670 / 010671</t>
  </si>
  <si>
    <t>17722 / 17723</t>
  </si>
  <si>
    <t>18:55 / 19:10</t>
  </si>
  <si>
    <t>PSC2F45 / RHX4A65 / OJC4C96</t>
  </si>
  <si>
    <t>007614 / 007615 / 007616</t>
  </si>
  <si>
    <t>17789 / 17790 / 17791</t>
  </si>
  <si>
    <t>16:05 / 16:30 / 17:55</t>
  </si>
  <si>
    <t>72 / 71 / 69</t>
  </si>
  <si>
    <t>BT4F30 / BT6753</t>
  </si>
  <si>
    <t>59549 / 59545</t>
  </si>
  <si>
    <t>59444 / 59446</t>
  </si>
  <si>
    <t>15:50 / 16:37</t>
  </si>
  <si>
    <t>73 / 71</t>
  </si>
  <si>
    <t>54835 / 54845</t>
  </si>
  <si>
    <t>59554 / 59553</t>
  </si>
  <si>
    <t>15:49 / 16:12</t>
  </si>
  <si>
    <t>BT4F23 / BT7A94</t>
  </si>
  <si>
    <t>54849 / 54857</t>
  </si>
  <si>
    <t>59580 / 59581</t>
  </si>
  <si>
    <t>14:35 / 14:54</t>
  </si>
  <si>
    <t>71 / 74</t>
  </si>
  <si>
    <t>BT4929 / BT7A94</t>
  </si>
  <si>
    <t>54809 / 54810</t>
  </si>
  <si>
    <t>59602 / 59603</t>
  </si>
  <si>
    <t>16:23 / 16:44</t>
  </si>
  <si>
    <t xml:space="preserve">72 / </t>
  </si>
  <si>
    <t>BT1E11 / BT8167</t>
  </si>
  <si>
    <t>54823 / 54821</t>
  </si>
  <si>
    <t>59631 / 59634</t>
  </si>
  <si>
    <t>14:42 / 15:11</t>
  </si>
  <si>
    <t>BT5A85 / BT4I87</t>
  </si>
  <si>
    <t>54827 /54824</t>
  </si>
  <si>
    <t>59628 / 59629</t>
  </si>
  <si>
    <t>13:38 / 13:59</t>
  </si>
  <si>
    <t>ROA4F23 / OIV0430</t>
  </si>
  <si>
    <t>54817 / 54874</t>
  </si>
  <si>
    <t>59670 / 59671</t>
  </si>
  <si>
    <t>16:05 / 16:21</t>
  </si>
  <si>
    <t>PTG4929 / PST7153</t>
  </si>
  <si>
    <t>51922 / 51921</t>
  </si>
  <si>
    <t>59688 / 59689</t>
  </si>
  <si>
    <t>15:15 / 15:38</t>
  </si>
  <si>
    <t>BT4929 / BT5013</t>
  </si>
  <si>
    <t>64947 / 64946</t>
  </si>
  <si>
    <t>59053 / 59054</t>
  </si>
  <si>
    <t>15:58 / 16:22</t>
  </si>
  <si>
    <t>74 / 74</t>
  </si>
  <si>
    <t>BT5914 / BT8167</t>
  </si>
  <si>
    <t>62012 / 62009</t>
  </si>
  <si>
    <t>59889 / 59092</t>
  </si>
  <si>
    <t>15:01 / 15:57</t>
  </si>
  <si>
    <t>BT4929 / BT0430</t>
  </si>
  <si>
    <t>62050 / 60044</t>
  </si>
  <si>
    <t>59128 / 59130</t>
  </si>
  <si>
    <t>14:32 / 15:01</t>
  </si>
  <si>
    <t>BT4F23 / BT1E11 / BT5018</t>
  </si>
  <si>
    <t>62182 / 62184 / 62190</t>
  </si>
  <si>
    <t>59202 / 59204 / 59206</t>
  </si>
  <si>
    <t>15:54 / 16:29 / 19:49</t>
  </si>
  <si>
    <t>74 / 74 / 70</t>
  </si>
  <si>
    <t>BT1C89 / BT4F30</t>
  </si>
  <si>
    <t>62168 / 62183</t>
  </si>
  <si>
    <t>59199 / 59201</t>
  </si>
  <si>
    <t>16:02 / 16:53</t>
  </si>
  <si>
    <t>BT6663 / BT1C89</t>
  </si>
  <si>
    <t>62171 / 62177</t>
  </si>
  <si>
    <t>59241 / 59243</t>
  </si>
  <si>
    <t>14:45 / 15:57</t>
  </si>
  <si>
    <t>BT4929 / BT4F23</t>
  </si>
  <si>
    <t>62173 / 62172</t>
  </si>
  <si>
    <t>59238 / 59239</t>
  </si>
  <si>
    <t>13:49 / 14:13</t>
  </si>
  <si>
    <t>59516 / 59515</t>
  </si>
  <si>
    <t>59302 / 59303</t>
  </si>
  <si>
    <t>17:04 / 17:26</t>
  </si>
  <si>
    <t>70 / 70</t>
  </si>
  <si>
    <t>BT4F23 / BT0430</t>
  </si>
  <si>
    <t>59530 / 59517</t>
  </si>
  <si>
    <t>59300 / 59301</t>
  </si>
  <si>
    <t>16:20 / 16:33</t>
  </si>
  <si>
    <t>70 / 69</t>
  </si>
  <si>
    <t>59579 / 59578</t>
  </si>
  <si>
    <t>59320 / 59321</t>
  </si>
  <si>
    <t>15:22 / 15:37</t>
  </si>
  <si>
    <t>59511 / 59580</t>
  </si>
  <si>
    <t>59317 / 59318</t>
  </si>
  <si>
    <t>14:40 / 14:59</t>
  </si>
  <si>
    <t>59582 / 59581</t>
  </si>
  <si>
    <t>59353 / 59354</t>
  </si>
  <si>
    <t>16:47 / 17:08</t>
  </si>
  <si>
    <t>73 / 74</t>
  </si>
  <si>
    <t>BT4929 / BT7153</t>
  </si>
  <si>
    <t>59557 / 59556</t>
  </si>
  <si>
    <t>59350 / 59352</t>
  </si>
  <si>
    <t>15:59 / 16:21</t>
  </si>
  <si>
    <t xml:space="preserve">74 / </t>
  </si>
  <si>
    <t>BT0029 / BT0430</t>
  </si>
  <si>
    <t>59586 / 59600</t>
  </si>
  <si>
    <t>59389 / 59391</t>
  </si>
  <si>
    <t>14:58 / 15:18</t>
  </si>
  <si>
    <t>73,5 / 75</t>
  </si>
  <si>
    <t>59599 / 59588</t>
  </si>
  <si>
    <t>59392 / 59396</t>
  </si>
  <si>
    <t>15:39 / 16:15</t>
  </si>
  <si>
    <t>BT4929 / BT5914</t>
  </si>
  <si>
    <t>59592 / 59539</t>
  </si>
  <si>
    <t>59440 / 59441</t>
  </si>
  <si>
    <t>15:06 / 15:27</t>
  </si>
  <si>
    <t xml:space="preserve"> / 74</t>
  </si>
  <si>
    <t>54843 / 54846</t>
  </si>
  <si>
    <t>59550 / 59551</t>
  </si>
  <si>
    <t>15:10 / 15:28</t>
  </si>
  <si>
    <t>BT4929 / BT7A93</t>
  </si>
  <si>
    <t>53855 / 53856</t>
  </si>
  <si>
    <t>59578 / 59579</t>
  </si>
  <si>
    <t>13:38 / 14:14</t>
  </si>
  <si>
    <t>BT4I87 / BT7A93</t>
  </si>
  <si>
    <t>54815 / 54814</t>
  </si>
  <si>
    <t>59600 / 59601</t>
  </si>
  <si>
    <t>15:27 / 15:45</t>
  </si>
  <si>
    <t>PST7153 / PTT1C89</t>
  </si>
  <si>
    <t>54819 / 54818</t>
  </si>
  <si>
    <t>59668 / 59669</t>
  </si>
  <si>
    <t>14:59 / 15:29</t>
  </si>
  <si>
    <t>ROA4F23 / PTM6396</t>
  </si>
  <si>
    <t>54873 / 51920</t>
  </si>
  <si>
    <t>59686 / 59687</t>
  </si>
  <si>
    <t>14:17 / 14:43</t>
  </si>
  <si>
    <t>PTG4929 / PTM6396</t>
  </si>
  <si>
    <t>63105 / 63106</t>
  </si>
  <si>
    <t>59735 / 59738</t>
  </si>
  <si>
    <t>15:14 / 15:34</t>
  </si>
  <si>
    <t>BT5018 / BT0430</t>
  </si>
  <si>
    <t>63107 / 63109</t>
  </si>
  <si>
    <t>59740 / 59744</t>
  </si>
  <si>
    <t>16:17 / 16:44</t>
  </si>
  <si>
    <t>72 / 72,5</t>
  </si>
  <si>
    <t>BT4I87 / BT5A85</t>
  </si>
  <si>
    <t>53000 / 52992</t>
  </si>
  <si>
    <t>59827 / 59828</t>
  </si>
  <si>
    <t>17:07 / 17:36</t>
  </si>
  <si>
    <t>69 / 75</t>
  </si>
  <si>
    <t>NVT0029 / ROB4I82</t>
  </si>
  <si>
    <t>52903 / 52901</t>
  </si>
  <si>
    <t>59822 / 59824</t>
  </si>
  <si>
    <t>16:02 / 16:17</t>
  </si>
  <si>
    <t>68 / 74</t>
  </si>
  <si>
    <t>ROB5A85 / PTT1C89</t>
  </si>
  <si>
    <t>63133 / 63134</t>
  </si>
  <si>
    <t>59846 / 59848</t>
  </si>
  <si>
    <t>BT4F23 / BT0029</t>
  </si>
  <si>
    <t>63135 / 63178</t>
  </si>
  <si>
    <t>59851 / 59852</t>
  </si>
  <si>
    <t>14:54 / 15:20</t>
  </si>
  <si>
    <t xml:space="preserve">70 / </t>
  </si>
  <si>
    <t>63169 / 63167</t>
  </si>
  <si>
    <t>59881 / 59884</t>
  </si>
  <si>
    <t>14:31 / 14:45</t>
  </si>
  <si>
    <t>63118 / 63117</t>
  </si>
  <si>
    <t>59939 / 59940</t>
  </si>
  <si>
    <t>15:28 / 15:59</t>
  </si>
  <si>
    <t>/ 75</t>
  </si>
  <si>
    <t>BT7A94 / BT1E11 / BT8167</t>
  </si>
  <si>
    <t>64036 / 64037 / 62976</t>
  </si>
  <si>
    <t>60027 / 60028 / 60029</t>
  </si>
  <si>
    <t>17:10 / 17:35 / 20:16</t>
  </si>
  <si>
    <t>70 / 73 / 73</t>
  </si>
  <si>
    <t>PTT1E11 / PTN5018</t>
  </si>
  <si>
    <t>63192 / 63187</t>
  </si>
  <si>
    <t>1264 / 1318</t>
  </si>
  <si>
    <t>14:20 / 14:40</t>
  </si>
  <si>
    <t>ROB4187 / OIV3927</t>
  </si>
  <si>
    <t>63185 / 63162</t>
  </si>
  <si>
    <t>1265 / 1266</t>
  </si>
  <si>
    <t>15:25 / 15:40</t>
  </si>
  <si>
    <t>67 / 70</t>
  </si>
  <si>
    <t>ROA4F30 / BT6753</t>
  </si>
  <si>
    <t>62949 / 63157</t>
  </si>
  <si>
    <t>1229 / 1232</t>
  </si>
  <si>
    <t>14:25 / 14:50</t>
  </si>
  <si>
    <t>BT4F23 / BT6663</t>
  </si>
  <si>
    <t>63150 / 63141</t>
  </si>
  <si>
    <t>59987 / 59988</t>
  </si>
  <si>
    <t>13:06 / 13:24</t>
  </si>
  <si>
    <t>72,5 / 74</t>
  </si>
  <si>
    <t>BT5A85 / BT1E11</t>
  </si>
  <si>
    <t>63149 / 63143</t>
  </si>
  <si>
    <t>59990 / 59991</t>
  </si>
  <si>
    <t>14:14 / 14:38</t>
  </si>
  <si>
    <t>BT4J30 / BT6753</t>
  </si>
  <si>
    <t>64047 / 64040</t>
  </si>
  <si>
    <t>60009 / 60010</t>
  </si>
  <si>
    <t>15:35 / 15:54</t>
  </si>
  <si>
    <t>63147 / 63158</t>
  </si>
  <si>
    <t>60005 / 60007</t>
  </si>
  <si>
    <t>14:31 / 14:51</t>
  </si>
  <si>
    <t>BT4I82 / BT6753</t>
  </si>
  <si>
    <t>64038 / 64035</t>
  </si>
  <si>
    <t>60025 / 60026</t>
  </si>
  <si>
    <t>16:12 / 16:30</t>
  </si>
  <si>
    <t>BT0029 / BT4F30</t>
  </si>
  <si>
    <t>64049 / 64051</t>
  </si>
  <si>
    <t>60055 / 60056</t>
  </si>
  <si>
    <t>15:08 / 15:23</t>
  </si>
  <si>
    <t>BT4I87 / BT4I82</t>
  </si>
  <si>
    <t>64050 / 64053</t>
  </si>
  <si>
    <t>60057 / 60058</t>
  </si>
  <si>
    <t>15:54 / 16:14</t>
  </si>
  <si>
    <t>BT0430 / BT4I87</t>
  </si>
  <si>
    <t>64032 / 64033</t>
  </si>
  <si>
    <t>60084 / 60086</t>
  </si>
  <si>
    <t>14:05 / 14:19</t>
  </si>
  <si>
    <t>72 / 72</t>
  </si>
  <si>
    <t>BT0029 / BT1D56</t>
  </si>
  <si>
    <t>64034 / 64072</t>
  </si>
  <si>
    <t>60089 / 60091</t>
  </si>
  <si>
    <t>14:55 / 15:26</t>
  </si>
  <si>
    <t>BT0029 / BT6753</t>
  </si>
  <si>
    <t>64070 / 64056</t>
  </si>
  <si>
    <t>60121 / 60122</t>
  </si>
  <si>
    <t>14:16 / 14:36</t>
  </si>
  <si>
    <t>69 / 71,5</t>
  </si>
  <si>
    <t>OXV2620 / OXS6763</t>
  </si>
  <si>
    <t>008198 / 008502</t>
  </si>
  <si>
    <t>15001 / 15005</t>
  </si>
  <si>
    <t>OXS6763 / OXS 6763</t>
  </si>
  <si>
    <t>008193 / 008197</t>
  </si>
  <si>
    <t>12499 / 12494</t>
  </si>
  <si>
    <t>OXV2721 / QDB8C29</t>
  </si>
  <si>
    <t>008524 / 008525</t>
  </si>
  <si>
    <t>15026 / 15027</t>
  </si>
  <si>
    <t>RHQ9A22 / RHR1C72</t>
  </si>
  <si>
    <t>008526 / 008527</t>
  </si>
  <si>
    <t>15028 / 15029</t>
  </si>
  <si>
    <t>008553 / 008555</t>
  </si>
  <si>
    <t>15055 / 15057</t>
  </si>
  <si>
    <t>008556 / 008557</t>
  </si>
  <si>
    <t>15058 / 15059</t>
  </si>
  <si>
    <t>009009 / 009010</t>
  </si>
  <si>
    <t>15111 / 15112</t>
  </si>
  <si>
    <t>OXS6763 / OXV2621 / RHQ9A22</t>
  </si>
  <si>
    <t>009013 / 009014 / 009016</t>
  </si>
  <si>
    <t>15115 / 15116 / 15118</t>
  </si>
  <si>
    <t>009035 / 009036</t>
  </si>
  <si>
    <t>15137 / 15138</t>
  </si>
  <si>
    <t>PSC2F45 / OXV2621</t>
  </si>
  <si>
    <t>009075 / 009076</t>
  </si>
  <si>
    <t>15178 / 15179</t>
  </si>
  <si>
    <t>009077 / 009078</t>
  </si>
  <si>
    <t>15180 / 15181</t>
  </si>
  <si>
    <t>009236 / 009237</t>
  </si>
  <si>
    <t>15443 / 15444</t>
  </si>
  <si>
    <t>009234 / 009235</t>
  </si>
  <si>
    <t>15441 / 15442</t>
  </si>
  <si>
    <t>009261 / 009262</t>
  </si>
  <si>
    <t>15469 / 15470</t>
  </si>
  <si>
    <t>009259 / 009260</t>
  </si>
  <si>
    <t>15467 / 15468</t>
  </si>
  <si>
    <t>OGW6753 / NVT0029</t>
  </si>
  <si>
    <t>63168 / 63166</t>
  </si>
  <si>
    <t>59883 / 59885</t>
  </si>
  <si>
    <t>15:02 / 16:04</t>
  </si>
  <si>
    <t>68 / 75</t>
  </si>
  <si>
    <t>PTG4929 / ROB4I82</t>
  </si>
  <si>
    <t xml:space="preserve">63197 / </t>
  </si>
  <si>
    <t>59919 / 59920</t>
  </si>
  <si>
    <t>16:26 / 16:45</t>
  </si>
  <si>
    <t>BT0029 / BT0814</t>
  </si>
  <si>
    <t>60608 / 60609</t>
  </si>
  <si>
    <t>61043 / 61044</t>
  </si>
  <si>
    <t>13:31 / 13:53</t>
  </si>
  <si>
    <t>BT8167 / BT0029</t>
  </si>
  <si>
    <t>48429 / 48430</t>
  </si>
  <si>
    <t>61059 / 61060</t>
  </si>
  <si>
    <t>16:03 / 16:27</t>
  </si>
  <si>
    <t>BT7153 / BT4I87</t>
  </si>
  <si>
    <t>48431 / 48432</t>
  </si>
  <si>
    <t>61061 / 61062</t>
  </si>
  <si>
    <t>16:51 / 17:11</t>
  </si>
  <si>
    <t>69 / 73</t>
  </si>
  <si>
    <t>BT5A85 / BT0029</t>
  </si>
  <si>
    <t>48421 / 48420</t>
  </si>
  <si>
    <t>61103 / 61104</t>
  </si>
  <si>
    <t>14:28 / 14:48</t>
  </si>
  <si>
    <t>BT7153 / BT6663</t>
  </si>
  <si>
    <t>48482 / 48412</t>
  </si>
  <si>
    <t>61120 / 61121</t>
  </si>
  <si>
    <t>15:54 / 16:17</t>
  </si>
  <si>
    <t>48403 / 48497</t>
  </si>
  <si>
    <t>61137 / 61140</t>
  </si>
  <si>
    <t>13:24 / 13:50</t>
  </si>
  <si>
    <t>BT4F30 / BT1C89</t>
  </si>
  <si>
    <t>48402 / 48498</t>
  </si>
  <si>
    <t>61135 / 61136</t>
  </si>
  <si>
    <t>12:44 / 12:59</t>
  </si>
  <si>
    <t>72,5 / 72</t>
  </si>
  <si>
    <t>BT5443 / BT7153</t>
  </si>
  <si>
    <t>48492 / 48408</t>
  </si>
  <si>
    <t>61153 / 61154</t>
  </si>
  <si>
    <t>14:59 / 15:23</t>
  </si>
  <si>
    <t>BT6663 / BT0814</t>
  </si>
  <si>
    <t>48487 / 48494</t>
  </si>
  <si>
    <t>61156 / 61155</t>
  </si>
  <si>
    <t>165:08 / 15:47</t>
  </si>
  <si>
    <t>BT4I82 / BT0430</t>
  </si>
  <si>
    <t>48483 / 48484</t>
  </si>
  <si>
    <t>61180 / 61181</t>
  </si>
  <si>
    <t>14:11 / 14:39</t>
  </si>
  <si>
    <t>BT7A94 / BT1C89</t>
  </si>
  <si>
    <t>48463 / 48461</t>
  </si>
  <si>
    <t>61193 / 61192</t>
  </si>
  <si>
    <t>09:50 / 09:10</t>
  </si>
  <si>
    <t>BT4I82 / BT7153</t>
  </si>
  <si>
    <t>61211 / 48470</t>
  </si>
  <si>
    <t>61212 / 61213</t>
  </si>
  <si>
    <t>17:33 / 17:36</t>
  </si>
  <si>
    <t>21885 / 21886</t>
  </si>
  <si>
    <t>2592 / 2593</t>
  </si>
  <si>
    <t>16:42 / 17:00</t>
  </si>
  <si>
    <t xml:space="preserve">60 / </t>
  </si>
  <si>
    <t>QDB8C29 / OJC4C96</t>
  </si>
  <si>
    <t>21882 / 21883</t>
  </si>
  <si>
    <t>2588 / 2589</t>
  </si>
  <si>
    <t>14:50 / 15:55</t>
  </si>
  <si>
    <t>21898 / 21899</t>
  </si>
  <si>
    <t>2606 / 2608</t>
  </si>
  <si>
    <t>16:15 / 17:20</t>
  </si>
  <si>
    <t>RHV4E74 / RHV4E74</t>
  </si>
  <si>
    <t>21215 / 21216</t>
  </si>
  <si>
    <t>2626 / 2627</t>
  </si>
  <si>
    <t>16:25 / 17:37</t>
  </si>
  <si>
    <t>60 / 65</t>
  </si>
  <si>
    <t>QDB8C29 / PSC2545</t>
  </si>
  <si>
    <t>21234 / 21235</t>
  </si>
  <si>
    <t>2648 / 2649</t>
  </si>
  <si>
    <t>17:08 / 17:26</t>
  </si>
  <si>
    <t>60 / 60</t>
  </si>
  <si>
    <t>21279  21281</t>
  </si>
  <si>
    <t>2694 / 2697</t>
  </si>
  <si>
    <t>16:29 / 17:41</t>
  </si>
  <si>
    <t>57,5 / 60</t>
  </si>
  <si>
    <t>RHV4E74 / OXS6763 / RHR1C79</t>
  </si>
  <si>
    <t>21282 / 21284 / 21283</t>
  </si>
  <si>
    <t>2698 / 2700 / 2699</t>
  </si>
  <si>
    <t>18:15 / 18:48 / 18:32</t>
  </si>
  <si>
    <t>21293 / 21296</t>
  </si>
  <si>
    <t>2716 / 2719</t>
  </si>
  <si>
    <t>17:35 / 18:15</t>
  </si>
  <si>
    <t>56 / 60</t>
  </si>
  <si>
    <t>QDB8C29 / OXS6763 / RHR1C79</t>
  </si>
  <si>
    <t>21298 / 21299 / 21300</t>
  </si>
  <si>
    <t>2722 / 2723 / 2724</t>
  </si>
  <si>
    <t>19:05 / 19:20 / 19:50</t>
  </si>
  <si>
    <t>11077 / 11078</t>
  </si>
  <si>
    <t>2743 / 2744</t>
  </si>
  <si>
    <t>15:45 / 16:00</t>
  </si>
  <si>
    <t xml:space="preserve">59 / </t>
  </si>
  <si>
    <t>RHR1C79 / QDB8C29 / RHR1C79</t>
  </si>
  <si>
    <t>11097 / 11046 / 11048</t>
  </si>
  <si>
    <t>2765 / 2767 / 2770</t>
  </si>
  <si>
    <t>16:20 / 16:54 / 18:05</t>
  </si>
  <si>
    <t>58 / 60 / 60</t>
  </si>
  <si>
    <t>RHR1C79 / OJC4C96</t>
  </si>
  <si>
    <t>11028 / 11029</t>
  </si>
  <si>
    <t>2794 / 2796</t>
  </si>
  <si>
    <t>17:46 / 18:13</t>
  </si>
  <si>
    <t>QDB8C29 / RHV4E74 / OJC4C96</t>
  </si>
  <si>
    <t>11031 / 11033 / 11035</t>
  </si>
  <si>
    <t>2798 / 2800 / 2802</t>
  </si>
  <si>
    <t>19:20 / 19:27 / 20:00</t>
  </si>
  <si>
    <t>11311 / 11312</t>
  </si>
  <si>
    <t>2845 / 2846</t>
  </si>
  <si>
    <t>16:47 / 17:00</t>
  </si>
  <si>
    <t>QDB8C29 / RHR1C79 / OXS6763</t>
  </si>
  <si>
    <t>11331 / 11331 / 11334</t>
  </si>
  <si>
    <t>2847 / 2849 / 2850</t>
  </si>
  <si>
    <t>17:12 / 17:47 / 18:25</t>
  </si>
  <si>
    <t>OGW6663 / PTN5443 / PST7153</t>
  </si>
  <si>
    <t>59399 / 59378 / 59358</t>
  </si>
  <si>
    <t>61569 / 61570 / 61572</t>
  </si>
  <si>
    <t>16:32 / 16:44 / 17:18</t>
  </si>
  <si>
    <t>66,5 / 70 / 70</t>
  </si>
  <si>
    <t>11373 / 11374</t>
  </si>
  <si>
    <t>2894 / 2895</t>
  </si>
  <si>
    <t>15:05 / 15:20</t>
  </si>
  <si>
    <t>59 / 60</t>
  </si>
  <si>
    <t>11376 / 11379 / 11381</t>
  </si>
  <si>
    <t>2897 / 2901 / 2903</t>
  </si>
  <si>
    <t>16:07 / 17:10 / 18:00</t>
  </si>
  <si>
    <t>58 /   / 60</t>
  </si>
  <si>
    <t>20512 / 20513</t>
  </si>
  <si>
    <t>2936 / 2937</t>
  </si>
  <si>
    <t>18:45 / 19:00</t>
  </si>
  <si>
    <t>20542 / 20543</t>
  </si>
  <si>
    <t>2972 / 2973</t>
  </si>
  <si>
    <t>16:44 / 17:35</t>
  </si>
  <si>
    <t>RHQ9A22 / RHV4E74 / OXS6763</t>
  </si>
  <si>
    <t>20544 / 20545 / 20547</t>
  </si>
  <si>
    <t>2974 / 2975 / 2977</t>
  </si>
  <si>
    <t>17:46 / 17:56 / 19:55</t>
  </si>
  <si>
    <t>60 / 60 / 60</t>
  </si>
  <si>
    <t>20563 / 20564</t>
  </si>
  <si>
    <t>2993 / 2994</t>
  </si>
  <si>
    <t>17:58 / 18:10</t>
  </si>
  <si>
    <t>BT0430 / BT8167</t>
  </si>
  <si>
    <t>64055 / 64054</t>
  </si>
  <si>
    <t>60126 / 60127</t>
  </si>
  <si>
    <t>15:41 / 16:08</t>
  </si>
  <si>
    <t>BT4I87 / BT5914</t>
  </si>
  <si>
    <t>64092 / 64091</t>
  </si>
  <si>
    <t>60161 /60162</t>
  </si>
  <si>
    <t>15:03 / 15:30</t>
  </si>
  <si>
    <t>72,5 / 72,5</t>
  </si>
  <si>
    <t>BT4J30 / BT3927</t>
  </si>
  <si>
    <t>64090 / 64085</t>
  </si>
  <si>
    <t>60163 / 60165</t>
  </si>
  <si>
    <t>16:13 / 16:31</t>
  </si>
  <si>
    <t>BT5914 / BT5018</t>
  </si>
  <si>
    <t>64076 / 64077</t>
  </si>
  <si>
    <t>60204 / 60205</t>
  </si>
  <si>
    <t>15:38 / 16:07</t>
  </si>
  <si>
    <t>73 / 74,5</t>
  </si>
  <si>
    <t>BT0029 / BT8167</t>
  </si>
  <si>
    <t>64079 / 64078</t>
  </si>
  <si>
    <t>60199 / 60202</t>
  </si>
  <si>
    <t>14:55 / 15:14</t>
  </si>
  <si>
    <t>BT5018 / BT1D56</t>
  </si>
  <si>
    <t>58178 / 58187</t>
  </si>
  <si>
    <t>60251 / 60253</t>
  </si>
  <si>
    <t>17:53 / 18:14</t>
  </si>
  <si>
    <t>58155 / 58104</t>
  </si>
  <si>
    <t>60249 / 60250</t>
  </si>
  <si>
    <t>16:10 / 16:35</t>
  </si>
  <si>
    <t>58151 / 58150</t>
  </si>
  <si>
    <t>60286 / 60291</t>
  </si>
  <si>
    <t>15:05 / 15:40</t>
  </si>
  <si>
    <t>73 / 70</t>
  </si>
  <si>
    <t>BT3927 / BT6663</t>
  </si>
  <si>
    <t>58149 / 58148</t>
  </si>
  <si>
    <t>60293 / 60295</t>
  </si>
  <si>
    <t>15:58 / 16:21</t>
  </si>
  <si>
    <t>BT0029 / BT6999</t>
  </si>
  <si>
    <t>5819818 / 53174</t>
  </si>
  <si>
    <t>60325 / 60326</t>
  </si>
  <si>
    <t>14:26 / 14:49</t>
  </si>
  <si>
    <t>BT4I82 / BT1D56</t>
  </si>
  <si>
    <t>58196 / 58191</t>
  </si>
  <si>
    <t>60329 / 60330</t>
  </si>
  <si>
    <t>15:30 / 15:53</t>
  </si>
  <si>
    <t>68 / 72</t>
  </si>
  <si>
    <t>58121 / 50056</t>
  </si>
  <si>
    <t>60385 / 60387</t>
  </si>
  <si>
    <t>18:55 / 19:16</t>
  </si>
  <si>
    <t>BT0430 / BT1D56</t>
  </si>
  <si>
    <t>58119 / 58120</t>
  </si>
  <si>
    <t>60390 / 60392</t>
  </si>
  <si>
    <t>19:42 / 20:00</t>
  </si>
  <si>
    <t>69,5 / 75</t>
  </si>
  <si>
    <t>BT6753 / BT5914</t>
  </si>
  <si>
    <t>58109 / 50033</t>
  </si>
  <si>
    <t>60438 / 60441</t>
  </si>
  <si>
    <t>15:44 / 16:05</t>
  </si>
  <si>
    <t>49375 / 49317</t>
  </si>
  <si>
    <t>60486 / 60487</t>
  </si>
  <si>
    <t>13:52 / 14:05</t>
  </si>
  <si>
    <t>BT6753 / BT0814</t>
  </si>
  <si>
    <t>49330 / 49363</t>
  </si>
  <si>
    <t>60504 / 60506</t>
  </si>
  <si>
    <t>12:44 / 13:08</t>
  </si>
  <si>
    <t>BT4I82 / BT8167</t>
  </si>
  <si>
    <t>49391 / 49387</t>
  </si>
  <si>
    <t>60508 / 60509</t>
  </si>
  <si>
    <t>14:18 / 14:35</t>
  </si>
  <si>
    <t>OIV3927 / ROB4I82</t>
  </si>
  <si>
    <t>45426 / 45425</t>
  </si>
  <si>
    <t>60543 / 60544</t>
  </si>
  <si>
    <t>15:52 / 16:14</t>
  </si>
  <si>
    <t>67,5 / 70</t>
  </si>
  <si>
    <t>ROA4F30 / ROA7A94</t>
  </si>
  <si>
    <t>45412 / 45406</t>
  </si>
  <si>
    <t>60545 / 60546</t>
  </si>
  <si>
    <t>16:29 / 16:49</t>
  </si>
  <si>
    <t>71,5 / 72</t>
  </si>
  <si>
    <t>ROB4I82 / PTT1C89</t>
  </si>
  <si>
    <t>45488 / 45487</t>
  </si>
  <si>
    <t>60595 / 60596</t>
  </si>
  <si>
    <t>15:25 / 15:59</t>
  </si>
  <si>
    <t>45402 / 45401</t>
  </si>
  <si>
    <t>60593 / 60594</t>
  </si>
  <si>
    <t>14:41 / 14:58</t>
  </si>
  <si>
    <t>BT4F23 / BT5A85</t>
  </si>
  <si>
    <t>60329 / 60331</t>
  </si>
  <si>
    <t>60656 / 60658</t>
  </si>
  <si>
    <t>18:39 / 19:18</t>
  </si>
  <si>
    <t>70,5 / 75</t>
  </si>
  <si>
    <t>BT4F30 / BT4I87</t>
  </si>
  <si>
    <t>60305 / 60306</t>
  </si>
  <si>
    <t>60654 / 60655</t>
  </si>
  <si>
    <t>17:35 / 18:04</t>
  </si>
  <si>
    <t>45460 / 45490</t>
  </si>
  <si>
    <t>60694 / 60695</t>
  </si>
  <si>
    <t>17:01 / 17:25</t>
  </si>
  <si>
    <t>BT5A85 / BT0814</t>
  </si>
  <si>
    <t>45441 / 45459</t>
  </si>
  <si>
    <t>60690 / 60693</t>
  </si>
  <si>
    <t>16:06 / 16:35</t>
  </si>
  <si>
    <t>BT1D56 / BT1E11</t>
  </si>
  <si>
    <t>64736 / 64738</t>
  </si>
  <si>
    <t>60743 / 60746</t>
  </si>
  <si>
    <t>20:16 / 22:47</t>
  </si>
  <si>
    <t>BT7A94 / BT7153</t>
  </si>
  <si>
    <t>64743 / 64718</t>
  </si>
  <si>
    <t>60732 / 60738</t>
  </si>
  <si>
    <t>18:10 / 19:14</t>
  </si>
  <si>
    <t>/ 72</t>
  </si>
  <si>
    <t>BT8167 / BT0814</t>
  </si>
  <si>
    <t>64762 / 64795</t>
  </si>
  <si>
    <t>60780 / 60781</t>
  </si>
  <si>
    <t>14:23 / 14:57</t>
  </si>
  <si>
    <t>76 / 75</t>
  </si>
  <si>
    <t>BT5A85 / BT5029</t>
  </si>
  <si>
    <t>64793 / 64794</t>
  </si>
  <si>
    <t>60782 / 60783</t>
  </si>
  <si>
    <t>15:16 / 15:40</t>
  </si>
  <si>
    <t>64799 / 64798</t>
  </si>
  <si>
    <t>60794 / 60793</t>
  </si>
  <si>
    <t>14:51 / 15:19</t>
  </si>
  <si>
    <t>BT4F23 / BT014</t>
  </si>
  <si>
    <t>64723 / 64800</t>
  </si>
  <si>
    <t>60791 / 60792</t>
  </si>
  <si>
    <t>14:06 / 14:26</t>
  </si>
  <si>
    <t>11585 / 11586</t>
  </si>
  <si>
    <t>2268 / 2269</t>
  </si>
  <si>
    <t>9:10 / 9:25</t>
  </si>
  <si>
    <t>11587 / 11588</t>
  </si>
  <si>
    <t>2270 / 2271 / 2272</t>
  </si>
  <si>
    <t>9:45 / 10:07</t>
  </si>
  <si>
    <t>BT4I82 / BT6663</t>
  </si>
  <si>
    <t>61267 / 45351</t>
  </si>
  <si>
    <t>60902 / 60904</t>
  </si>
  <si>
    <t>14:05 / 14:35</t>
  </si>
  <si>
    <t>BT1D56 / BT5443</t>
  </si>
  <si>
    <t>61272 / 61269</t>
  </si>
  <si>
    <t>60895 / 60898</t>
  </si>
  <si>
    <t>12:25 / 12:58</t>
  </si>
  <si>
    <t>BT4I87 / BT0430</t>
  </si>
  <si>
    <t>45378 / 45381</t>
  </si>
  <si>
    <t>60938 / 60939</t>
  </si>
  <si>
    <t>11:06 / 11:31</t>
  </si>
  <si>
    <t>BT0029 / BT5443</t>
  </si>
  <si>
    <t>45356 / 45357</t>
  </si>
  <si>
    <t>60940 / 60941</t>
  </si>
  <si>
    <t>12:18 / 12:39</t>
  </si>
  <si>
    <t>74,5 / 74</t>
  </si>
  <si>
    <t>45360 / 45362</t>
  </si>
  <si>
    <t>60970 / 60971</t>
  </si>
  <si>
    <t>16:27 / 16:45</t>
  </si>
  <si>
    <t>BT6663 / BT6663</t>
  </si>
  <si>
    <t>61216 / 45361</t>
  </si>
  <si>
    <t>60972 / 60974</t>
  </si>
  <si>
    <t>17:1 / 22:16</t>
  </si>
  <si>
    <t>BT0029 / BT1C89</t>
  </si>
  <si>
    <t>48437 / 48442</t>
  </si>
  <si>
    <t>61004 / 61005</t>
  </si>
  <si>
    <t>BT7A94 / BT5443</t>
  </si>
  <si>
    <t>48441 / 48440</t>
  </si>
  <si>
    <t>61006 / 61007</t>
  </si>
  <si>
    <t>17:28 / 17:51</t>
  </si>
  <si>
    <t>48458 / 48446</t>
  </si>
  <si>
    <t>61022 / 61023</t>
  </si>
  <si>
    <t>15:28 / 15:51</t>
  </si>
  <si>
    <t>OXS6763 / PSC2545 / RHQ9A22</t>
  </si>
  <si>
    <t>20579 / 20580 / 20582</t>
  </si>
  <si>
    <t>3013 / 3014 / 3016</t>
  </si>
  <si>
    <t>16:00 / 16:50 / 17:24</t>
  </si>
  <si>
    <t>59 / 58 / 60</t>
  </si>
  <si>
    <t>20600 / 20598 / 20599</t>
  </si>
  <si>
    <t>3038 / 3036 / 3037</t>
  </si>
  <si>
    <t>13:44 / 13:59 / 14:25</t>
  </si>
  <si>
    <t>OXS6763 / RHQ9A22 / PSC2545</t>
  </si>
  <si>
    <t>13125 / 13126 / 13127</t>
  </si>
  <si>
    <t>3065 / 3066 / 3067</t>
  </si>
  <si>
    <t>08:44 / 09:09 / 09:48</t>
  </si>
  <si>
    <t>RHQ9A22 / RHV4E74 / PSC2545</t>
  </si>
  <si>
    <t>13144 / 13145 / 13146</t>
  </si>
  <si>
    <t>3088 / 3089 / 3090</t>
  </si>
  <si>
    <t>16:25 / 16:38 / 18:00</t>
  </si>
  <si>
    <t>/ 60 / 60</t>
  </si>
  <si>
    <t>RHV4E74 / QDB8C29 / RHV4E74</t>
  </si>
  <si>
    <t>13160 / 13161 / 13162</t>
  </si>
  <si>
    <t>3105 / 3106 / 3107</t>
  </si>
  <si>
    <t>15:20 / 16:05 / 16:59</t>
  </si>
  <si>
    <t>QDB8C29</t>
  </si>
  <si>
    <t>OXS6763 / PSC2F45 / RHR1C79</t>
  </si>
  <si>
    <t>010774 / 010775 / 010777</t>
  </si>
  <si>
    <t>16904 / 16905 / 16907</t>
  </si>
  <si>
    <t>07:15 / 07:30 / 08:10</t>
  </si>
  <si>
    <t>70 / 73 / 70,5</t>
  </si>
  <si>
    <t>010772 / 010773</t>
  </si>
  <si>
    <t>16902 / 16903</t>
  </si>
  <si>
    <t>6:40 / 7:00</t>
  </si>
  <si>
    <t>OXS6763 / RHR1C79 / AWY7467</t>
  </si>
  <si>
    <t>008822 / 008824 / 008826</t>
  </si>
  <si>
    <t>16969 / 16971 / 16973</t>
  </si>
  <si>
    <t>19:00 / 19:30 / 19:50</t>
  </si>
  <si>
    <t>73,5 / 70 / 73</t>
  </si>
  <si>
    <t>008829 / 008830</t>
  </si>
  <si>
    <t>16976 / 16977</t>
  </si>
  <si>
    <t>20:50 / 21:15</t>
  </si>
  <si>
    <t>OXS6763 / RHV4E74 / OXS6763</t>
  </si>
  <si>
    <t>010507 / 010508 / 010510</t>
  </si>
  <si>
    <t>17040 / 17041 / 17043</t>
  </si>
  <si>
    <t>17:50 / 18:15 / 19:10</t>
  </si>
  <si>
    <t>72 / 75 / 70</t>
  </si>
  <si>
    <t>010511 / 010509</t>
  </si>
  <si>
    <t>17044 / 17042</t>
  </si>
  <si>
    <t>19:30 / 19:30</t>
  </si>
  <si>
    <t>RHQ9A22 / PSC2F45 / RHV4E74</t>
  </si>
  <si>
    <t>010550 / 010551 / 010552</t>
  </si>
  <si>
    <t>17085 / 17086 / 17087</t>
  </si>
  <si>
    <t>8:00 / 8:30 / 8:40</t>
  </si>
  <si>
    <t>OJC4C96 / RHR1C79</t>
  </si>
  <si>
    <t>008612 / 008614</t>
  </si>
  <si>
    <t>17150 / 17152</t>
  </si>
  <si>
    <t>19:15 / 19:45</t>
  </si>
  <si>
    <t>RHV4E74 / RHR1C79 / QDB8C29</t>
  </si>
  <si>
    <t>008606 / 008607 / 008609</t>
  </si>
  <si>
    <t>17144 / 17145 / 17147</t>
  </si>
  <si>
    <t>17:25 / 17:45 / 18:25</t>
  </si>
  <si>
    <t>70 / 70 / 73</t>
  </si>
  <si>
    <t>008668 / 008667</t>
  </si>
  <si>
    <t>17206 / 17205</t>
  </si>
  <si>
    <t>17:05 / 16:50</t>
  </si>
  <si>
    <t>72,5 / 70</t>
  </si>
  <si>
    <t>RHV4E74 / PSC2F45 / OJC4C96</t>
  </si>
  <si>
    <t>008669 / 008670 / 008671</t>
  </si>
  <si>
    <t>17207 / 17208 / 17209</t>
  </si>
  <si>
    <t>17:40 / 18:00 / 18:15</t>
  </si>
  <si>
    <t>71 / 70 / 70,5</t>
  </si>
  <si>
    <t>008007 / 008008</t>
  </si>
  <si>
    <t>17244 / 17245</t>
  </si>
  <si>
    <t>20:25 / 20:45</t>
  </si>
  <si>
    <t>PSC2F45 / RHX4A65 / QDB8C29</t>
  </si>
  <si>
    <t>008003 / 008005 / 008006</t>
  </si>
  <si>
    <t>17240 / 17242 / 17243</t>
  </si>
  <si>
    <t>19:15 / 19:50 / 20:10</t>
  </si>
  <si>
    <t>70 / 75 / 72</t>
  </si>
  <si>
    <t>RHR1C79 / RHQ9A22 / RHX4A65</t>
  </si>
  <si>
    <t>008039 / 008040 / 008041</t>
  </si>
  <si>
    <t>17276 / 17277 / 17278</t>
  </si>
  <si>
    <t>17:30 / 18:00 / 19:45</t>
  </si>
  <si>
    <t>74 / 71,5 / 73</t>
  </si>
  <si>
    <t>OXS6763 / QDB8C29 / PSC2F45</t>
  </si>
  <si>
    <t>008067 / 008069 / 008072</t>
  </si>
  <si>
    <t>17307 / 17309 / 17312</t>
  </si>
  <si>
    <t>17:40 / 18:10 / 19:00</t>
  </si>
  <si>
    <t>75 / 72 / 71,5</t>
  </si>
  <si>
    <t>008073 / 008075</t>
  </si>
  <si>
    <t>17313 / 17314</t>
  </si>
  <si>
    <t>19:20 / 19:45</t>
  </si>
  <si>
    <t>BDN5E02 / BDS8A39</t>
  </si>
  <si>
    <t>63822 / 63811</t>
  </si>
  <si>
    <t>57619 / 57620</t>
  </si>
  <si>
    <t>16:25 / 16:49</t>
  </si>
  <si>
    <t>Concreto usinado 25 MPa autoadensável</t>
  </si>
  <si>
    <t>4069 / 4141</t>
  </si>
  <si>
    <t>3684255 / 3684254</t>
  </si>
  <si>
    <t>27188 / 27189</t>
  </si>
  <si>
    <t>4141 / 3667</t>
  </si>
  <si>
    <t>3684228 / 3684180</t>
  </si>
  <si>
    <t>27232 / 27231</t>
  </si>
  <si>
    <t>4141 / 3587</t>
  </si>
  <si>
    <t>3684353 / 3684346</t>
  </si>
  <si>
    <t>27329 / 27330</t>
  </si>
  <si>
    <t>3667 / 3587</t>
  </si>
  <si>
    <t>3684315 / 3684322</t>
  </si>
  <si>
    <t>27380 / 27381</t>
  </si>
  <si>
    <t>4069 / 4195</t>
  </si>
  <si>
    <t>3667140 / 3684178</t>
  </si>
  <si>
    <t>27455 /27456</t>
  </si>
  <si>
    <t>OEJ1185 / NVN1015</t>
  </si>
  <si>
    <t>4425311 / 4425258</t>
  </si>
  <si>
    <t>29334 / 29335</t>
  </si>
  <si>
    <t>4425321 / 4425247</t>
  </si>
  <si>
    <t>29329 / 29330</t>
  </si>
  <si>
    <t>Concreto usinado 30 MPa convencional</t>
  </si>
  <si>
    <t xml:space="preserve">PSC2F45  </t>
  </si>
  <si>
    <t>PSC2F45 / PSC2F45</t>
  </si>
  <si>
    <t>15758 / 15755</t>
  </si>
  <si>
    <t>8502 / 8500</t>
  </si>
  <si>
    <t>15765 / 15769</t>
  </si>
  <si>
    <t>8508 / 8514</t>
  </si>
  <si>
    <t>15773 / 15776</t>
  </si>
  <si>
    <t>8517 / 8520</t>
  </si>
  <si>
    <t>15776 / 15778</t>
  </si>
  <si>
    <t>8520 / 8522</t>
  </si>
  <si>
    <t>DJJ4362 / PSC2F45</t>
  </si>
  <si>
    <t>15779 / 15758</t>
  </si>
  <si>
    <t>8523 / 8502</t>
  </si>
  <si>
    <t>QDB8C20</t>
  </si>
  <si>
    <t>AYT9577 / QDB8C29</t>
  </si>
  <si>
    <t>17026 / 17031</t>
  </si>
  <si>
    <t>8574 / 8578</t>
  </si>
  <si>
    <t>17032 / 17031</t>
  </si>
  <si>
    <t>8579 / 8578</t>
  </si>
  <si>
    <t>AYT9577</t>
  </si>
  <si>
    <t>QDB8C20 / AYT9577</t>
  </si>
  <si>
    <t>17036 / 17037</t>
  </si>
  <si>
    <t>8583 / 8584</t>
  </si>
  <si>
    <t>PSC2F45 / AYT9577</t>
  </si>
  <si>
    <t>17047 / 17042</t>
  </si>
  <si>
    <t>8594 / 8589</t>
  </si>
  <si>
    <t>17047 / 17050</t>
  </si>
  <si>
    <t>8594 / 8597</t>
  </si>
  <si>
    <t>17050 / 17053</t>
  </si>
  <si>
    <t>8597 / 8601</t>
  </si>
  <si>
    <t>17053 / 17055</t>
  </si>
  <si>
    <t>8601 / 8603</t>
  </si>
  <si>
    <t xml:space="preserve">PSC2F45 / OXS6763 </t>
  </si>
  <si>
    <t>17055 / 17057</t>
  </si>
  <si>
    <t>8603 / 8605</t>
  </si>
  <si>
    <t>OXS6763 / OXS6763</t>
  </si>
  <si>
    <t>17066 / 17063</t>
  </si>
  <si>
    <t>8614 / 8611</t>
  </si>
  <si>
    <t>17066 / 17068</t>
  </si>
  <si>
    <t>8614 / 8616</t>
  </si>
  <si>
    <t>16070 / 16073</t>
  </si>
  <si>
    <t>8724 / 8727</t>
  </si>
  <si>
    <t>16073 / 16080</t>
  </si>
  <si>
    <t>8727 / 8734</t>
  </si>
  <si>
    <t>16080 / 16084</t>
  </si>
  <si>
    <t>8734 / 8738</t>
  </si>
  <si>
    <t>AWY7467</t>
  </si>
  <si>
    <t>AWY7467 / PSC2F45</t>
  </si>
  <si>
    <t>16123 / 16124</t>
  </si>
  <si>
    <t>8778 / 8779</t>
  </si>
  <si>
    <t>16124 / 16130</t>
  </si>
  <si>
    <t>8779 / 8785</t>
  </si>
  <si>
    <t>16130 / 16134</t>
  </si>
  <si>
    <t>8785 / 8789</t>
  </si>
  <si>
    <t>OXS6763 / AYT9577</t>
  </si>
  <si>
    <t>16134 / 16139</t>
  </si>
  <si>
    <t>8789 / 8794</t>
  </si>
  <si>
    <t>RHV4E74</t>
  </si>
  <si>
    <t>AWY7466</t>
  </si>
  <si>
    <t>OJC4C96</t>
  </si>
  <si>
    <t>QDB8629</t>
  </si>
  <si>
    <t xml:space="preserve">AWY7466  </t>
  </si>
  <si>
    <t>ROB5A85 / OIV0430</t>
  </si>
  <si>
    <t>59400 / 59398</t>
  </si>
  <si>
    <t>61567 / 61568</t>
  </si>
  <si>
    <t>15:41 / 15:51</t>
  </si>
  <si>
    <t>12,0 / 12</t>
  </si>
  <si>
    <t>10370</t>
  </si>
  <si>
    <t>5408</t>
  </si>
  <si>
    <t>17613</t>
  </si>
  <si>
    <t>13:55:00</t>
  </si>
  <si>
    <t>15:00:00</t>
  </si>
  <si>
    <t>14,00</t>
  </si>
  <si>
    <t>7</t>
  </si>
  <si>
    <t>6</t>
  </si>
  <si>
    <t>R$ 460,00</t>
  </si>
  <si>
    <t>25/10/2022</t>
  </si>
  <si>
    <t>RHR-1C79</t>
  </si>
  <si>
    <t>QDB-8029</t>
  </si>
  <si>
    <t>OXS-6763</t>
  </si>
  <si>
    <t>QDB-8C29</t>
  </si>
  <si>
    <t>AWY-7467</t>
  </si>
  <si>
    <t>RHQ-9A22</t>
  </si>
  <si>
    <t>QXV-2621</t>
  </si>
  <si>
    <t>OXV-2621</t>
  </si>
  <si>
    <t>RHQ-4958</t>
  </si>
  <si>
    <t>RHR-9A22</t>
  </si>
  <si>
    <t>POC2F45</t>
  </si>
  <si>
    <t>OJC4C89</t>
  </si>
  <si>
    <t>OEO4687</t>
  </si>
  <si>
    <t>OJZ1147 / NVN1015</t>
  </si>
  <si>
    <t>4641848 / 4425340</t>
  </si>
  <si>
    <t>28198 /29323</t>
  </si>
  <si>
    <t>NVN1015 / OEO4687</t>
  </si>
  <si>
    <t>4425340 / 4425274</t>
  </si>
  <si>
    <t>29323 / 29319</t>
  </si>
  <si>
    <t>9053 / 9059</t>
  </si>
  <si>
    <t>15156 / 15162</t>
  </si>
  <si>
    <t>9973 / 9974</t>
  </si>
  <si>
    <t>16602 / 16603</t>
  </si>
  <si>
    <t>BT4F30</t>
  </si>
  <si>
    <t>BT4F30 / BT4F23</t>
  </si>
  <si>
    <t>60382 / 60389</t>
  </si>
  <si>
    <t>60643 / 60644</t>
  </si>
  <si>
    <t>12:04 / 12:27</t>
  </si>
  <si>
    <t>12 / 12,5</t>
  </si>
  <si>
    <t>BT4F23</t>
  </si>
  <si>
    <t>BT5A85</t>
  </si>
  <si>
    <t>BT5A85 / BT8167</t>
  </si>
  <si>
    <t>60388 / 60387</t>
  </si>
  <si>
    <t>60645 / 60646</t>
  </si>
  <si>
    <t>12:50 / 13:19</t>
  </si>
  <si>
    <t>14,0 / 12,0</t>
  </si>
  <si>
    <t>BT8167 / BT1D56</t>
  </si>
  <si>
    <t>60387 / 60342</t>
  </si>
  <si>
    <t>60646 / 60649</t>
  </si>
  <si>
    <t>13:19 / 14:02</t>
  </si>
  <si>
    <t>12,0 / 11,0</t>
  </si>
  <si>
    <t>60342 / 60307</t>
  </si>
  <si>
    <t>60649 / 60653</t>
  </si>
  <si>
    <t>14:02 / 16:37</t>
  </si>
  <si>
    <t>11,0 / 12</t>
  </si>
  <si>
    <t>BT0029</t>
  </si>
  <si>
    <t>BT0029 / BT4F23</t>
  </si>
  <si>
    <t>45481 / 45413</t>
  </si>
  <si>
    <t>60681 / 60685</t>
  </si>
  <si>
    <t>13:06 / 14:16</t>
  </si>
  <si>
    <t>11,5 / 12</t>
  </si>
  <si>
    <t>BT0430</t>
  </si>
  <si>
    <t>BT1E11</t>
  </si>
  <si>
    <t>BT5914</t>
  </si>
  <si>
    <t>BT4I87</t>
  </si>
  <si>
    <t>BT4I82</t>
  </si>
  <si>
    <t>BT0814</t>
  </si>
  <si>
    <t>49320 / 49321</t>
  </si>
  <si>
    <t>60494 / 60496</t>
  </si>
  <si>
    <t>08:36 / 09:04</t>
  </si>
  <si>
    <t>10 / 10,5</t>
  </si>
  <si>
    <t>BT4F23 / BT1E11</t>
  </si>
  <si>
    <t>49321 / 49331</t>
  </si>
  <si>
    <t>60496 / 60498</t>
  </si>
  <si>
    <t>09:04 / 09:30</t>
  </si>
  <si>
    <t>10,5 / 12</t>
  </si>
  <si>
    <t>BT1E11 / BT7A94</t>
  </si>
  <si>
    <t>49331 / 49325</t>
  </si>
  <si>
    <t>60498 / 60499</t>
  </si>
  <si>
    <t>09:30 / 09:50</t>
  </si>
  <si>
    <t>12 . 12</t>
  </si>
  <si>
    <t>ConsumoID</t>
  </si>
  <si>
    <t>Bloco ou Quadra</t>
  </si>
  <si>
    <t>Unidade</t>
  </si>
  <si>
    <t>Destino</t>
  </si>
  <si>
    <t>Previsto (m³)</t>
  </si>
  <si>
    <t>Executado (m³)</t>
  </si>
  <si>
    <t>Medido (m³)</t>
  </si>
  <si>
    <t>Observação</t>
  </si>
  <si>
    <t>Bombeamento</t>
  </si>
  <si>
    <t>CategoriaConsumo</t>
  </si>
  <si>
    <t>0184RCBC0023</t>
  </si>
  <si>
    <t>A</t>
  </si>
  <si>
    <t>Pilar</t>
  </si>
  <si>
    <t>Convencional</t>
  </si>
  <si>
    <t>0184RCBC0009</t>
  </si>
  <si>
    <t>Parede</t>
  </si>
  <si>
    <t>Bomba Lança</t>
  </si>
  <si>
    <t>0184RCBC0001</t>
  </si>
  <si>
    <t>Radier</t>
  </si>
  <si>
    <t>0184RCBC0049</t>
  </si>
  <si>
    <t>B</t>
  </si>
  <si>
    <t>Concreto não deu para concluir a forma</t>
  </si>
  <si>
    <t>0184RCBC0073</t>
  </si>
  <si>
    <t>0184RCBC0025</t>
  </si>
  <si>
    <t>0184RCBC0126</t>
  </si>
  <si>
    <t>C</t>
  </si>
  <si>
    <t>ROMANEIO NÃO ENCONTRADO</t>
  </si>
  <si>
    <t>0184RCBC0096</t>
  </si>
  <si>
    <t>0184RCBC0232</t>
  </si>
  <si>
    <t>D</t>
  </si>
  <si>
    <t>FOI ULTILIZADO 0,5M¹ DE CONCRETO P/FINALIZAR CS 19 QD D ROMANEIO 12186</t>
  </si>
  <si>
    <t>0184RCBC0179</t>
  </si>
  <si>
    <t>Veio um crédito de 9,5m³ de concreto de 15MPa nos romaneios de número 9603 e 9596 que foi usado para fazer o passeio da frente da obra, esse volume é equivalente a 9m³ de concreto 30MPa por isso foi descontado no volume de medição.</t>
  </si>
  <si>
    <t>0184RCBC0243</t>
  </si>
  <si>
    <t>0184RCBC0273</t>
  </si>
  <si>
    <t>E</t>
  </si>
  <si>
    <t>0184RCBC0269</t>
  </si>
  <si>
    <t>0184RCBC0289</t>
  </si>
  <si>
    <t>0184RCBC0332</t>
  </si>
  <si>
    <t>F</t>
  </si>
  <si>
    <t>0184RCBC0312</t>
  </si>
  <si>
    <t>0184RCBC0348</t>
  </si>
  <si>
    <t>G</t>
  </si>
  <si>
    <t>0184RCBC0342</t>
  </si>
  <si>
    <t>0184RCBC0397</t>
  </si>
  <si>
    <t>H</t>
  </si>
  <si>
    <t>0184RCBC0380</t>
  </si>
  <si>
    <t>0184RCBC0379</t>
  </si>
  <si>
    <t>0184RCBC0440</t>
  </si>
  <si>
    <t>I</t>
  </si>
  <si>
    <t>0184RCBC0413</t>
  </si>
  <si>
    <t>0184RCBC0459</t>
  </si>
  <si>
    <t>J</t>
  </si>
  <si>
    <t>0184RCBC0453</t>
  </si>
  <si>
    <t>0184RCBC0508</t>
  </si>
  <si>
    <t>K</t>
  </si>
  <si>
    <t>0184RCBC0568</t>
  </si>
  <si>
    <t>L</t>
  </si>
  <si>
    <t>0184RCBC0541</t>
  </si>
  <si>
    <t>0184RCBC0611</t>
  </si>
  <si>
    <t>M</t>
  </si>
  <si>
    <t>0184RCBC0595</t>
  </si>
  <si>
    <t>0184RCBC0684</t>
  </si>
  <si>
    <t>N</t>
  </si>
  <si>
    <t>0184RCBC0677</t>
  </si>
  <si>
    <t>0184RCBC0759</t>
  </si>
  <si>
    <t>O</t>
  </si>
  <si>
    <t>Bomba lança</t>
  </si>
  <si>
    <t>0184RCBC0754</t>
  </si>
  <si>
    <t>Foi uilizado 1,36 m³ desta NF para finalizar Qd O, casa 10.</t>
  </si>
  <si>
    <t>0184RCBC0798</t>
  </si>
  <si>
    <t>P</t>
  </si>
  <si>
    <t>0184RCBC0782</t>
  </si>
  <si>
    <t>0184RCBC0861</t>
  </si>
  <si>
    <t>Q</t>
  </si>
  <si>
    <t>0184RCBC0837</t>
  </si>
  <si>
    <t>0184RCBC0883</t>
  </si>
  <si>
    <t>R</t>
  </si>
  <si>
    <t>0184RCBC0870</t>
  </si>
  <si>
    <t>0184RCBC0909</t>
  </si>
  <si>
    <t>U</t>
  </si>
  <si>
    <t>0184RCBC0896</t>
  </si>
  <si>
    <t>0184RCBC1006</t>
  </si>
  <si>
    <t>V</t>
  </si>
  <si>
    <t>0184RCBC1002</t>
  </si>
  <si>
    <t>0184RCBC1050</t>
  </si>
  <si>
    <t>W</t>
  </si>
  <si>
    <t>0184RCBC1035</t>
  </si>
  <si>
    <t>0184RCBC0024</t>
  </si>
  <si>
    <t>0184RCBC0010</t>
  </si>
  <si>
    <t>0184RCBC0002</t>
  </si>
  <si>
    <t>0184RCBC0050</t>
  </si>
  <si>
    <t>0184RCBC0085</t>
  </si>
  <si>
    <t>0184RCBC0026</t>
  </si>
  <si>
    <t>0184RCBC0128</t>
  </si>
  <si>
    <t>0184RCBC0108</t>
  </si>
  <si>
    <t>0184RCBC0233</t>
  </si>
  <si>
    <t>0184RCBC0180</t>
  </si>
  <si>
    <t>0184RCBC0244</t>
  </si>
  <si>
    <t>0184RCBC0272</t>
  </si>
  <si>
    <t>1 m³ é complemento e foi utilizado para completar a casa 37 da Qd. M.</t>
  </si>
  <si>
    <t>0184RCBC0262</t>
  </si>
  <si>
    <t>0184RCBC0290</t>
  </si>
  <si>
    <t>0184RCBC0327</t>
  </si>
  <si>
    <t>0184RCBC0305</t>
  </si>
  <si>
    <t>0184RCBC0353</t>
  </si>
  <si>
    <t>0184RCBC0343</t>
  </si>
  <si>
    <t>0184RCBC0381</t>
  </si>
  <si>
    <t>0184RCBC0365</t>
  </si>
  <si>
    <t>0184RCBC0410</t>
  </si>
  <si>
    <t>0184RCBC0437</t>
  </si>
  <si>
    <t>0184RCBC0420</t>
  </si>
  <si>
    <t>Foi utilizado 0,5m³ de concreto da NF 17143 para completar a peça.</t>
  </si>
  <si>
    <t>0184RCBC0457</t>
  </si>
  <si>
    <t>0184RCBC0448</t>
  </si>
  <si>
    <t>Faltou 0,5 m³ de concreto para completar este radier, o insumo necessário foi fabricado em canteiro.</t>
  </si>
  <si>
    <t>0184RCBC0510</t>
  </si>
  <si>
    <t>0184RCBC0469</t>
  </si>
  <si>
    <t>0184RCBC0578</t>
  </si>
  <si>
    <t>0184RCBC0564</t>
  </si>
  <si>
    <t>0184RCBC0630</t>
  </si>
  <si>
    <t>0184RCBC0607</t>
  </si>
  <si>
    <t>Desnível da superfície</t>
  </si>
  <si>
    <t>0184RCBC0734</t>
  </si>
  <si>
    <t>0184RCBC0716</t>
  </si>
  <si>
    <t>0184RCBC0760</t>
  </si>
  <si>
    <t>0184RCBC0742</t>
  </si>
  <si>
    <t>0184RCBC0794</t>
  </si>
  <si>
    <t>0184RCBC0776</t>
  </si>
  <si>
    <t>0184RCBC0860</t>
  </si>
  <si>
    <t>0184RCBC0833</t>
  </si>
  <si>
    <t>0184RCBC0911</t>
  </si>
  <si>
    <t>Não deu para concluir a forma</t>
  </si>
  <si>
    <t>0184RCBC0897</t>
  </si>
  <si>
    <t>0184RCBC1007</t>
  </si>
  <si>
    <t>0184RCBC1003</t>
  </si>
  <si>
    <t>0184RCBC1051</t>
  </si>
  <si>
    <t>0184RCBC1010</t>
  </si>
  <si>
    <t>0184RCBC0020</t>
  </si>
  <si>
    <t>0184RCBC0011</t>
  </si>
  <si>
    <t>0184RCBC0003</t>
  </si>
  <si>
    <t>0184RCBC0051</t>
  </si>
  <si>
    <t>0184RCBC0086</t>
  </si>
  <si>
    <t>0184RCBC0035</t>
  </si>
  <si>
    <t>0184RCBC0130</t>
  </si>
  <si>
    <t>0184RCBC0109</t>
  </si>
  <si>
    <t>0184RCBC0235</t>
  </si>
  <si>
    <t>0184RCBC0181</t>
  </si>
  <si>
    <t>0184RCBC0245</t>
  </si>
  <si>
    <t>0184RCBC0275</t>
  </si>
  <si>
    <t>0184RCBC0270</t>
  </si>
  <si>
    <t>0184RCBC0291</t>
  </si>
  <si>
    <t>0184RCBC0331</t>
  </si>
  <si>
    <t>1 m³ foi utilizado para finalizar a casa 7, qd G</t>
  </si>
  <si>
    <t>0184RCBC0313</t>
  </si>
  <si>
    <t>0184RCBC0355</t>
  </si>
  <si>
    <t>0184RCBC0346</t>
  </si>
  <si>
    <t>Faltou 0,5 m³ de concreto para completar este radier</t>
  </si>
  <si>
    <t>0184RCBC0398</t>
  </si>
  <si>
    <t>0184RCBC0382</t>
  </si>
  <si>
    <t>0184RCBC0375</t>
  </si>
  <si>
    <t>0184RCBC0439</t>
  </si>
  <si>
    <t>0184RCBC0414</t>
  </si>
  <si>
    <t>0184RCBC0456</t>
  </si>
  <si>
    <t>0184RCBC0452</t>
  </si>
  <si>
    <t>0184RCBC0512</t>
  </si>
  <si>
    <t>0184RCBC0538</t>
  </si>
  <si>
    <t>0184RCBC0569</t>
  </si>
  <si>
    <t>0184RCBC0542</t>
  </si>
  <si>
    <t>0184RCBC0612</t>
  </si>
  <si>
    <t>0184RCBC0596</t>
  </si>
  <si>
    <t>Devido a utilização da bomba lança</t>
  </si>
  <si>
    <t>0184RCBC0685</t>
  </si>
  <si>
    <t>0184RCBC0669</t>
  </si>
  <si>
    <t>0184RCBC0764</t>
  </si>
  <si>
    <t>Os últimos 3m³ tiveram ganho de resistencia muito acelerado e não houve possibilidade de lançamento, a concreteira enviou complemento.</t>
  </si>
  <si>
    <t>0184RCBC0744</t>
  </si>
  <si>
    <t>Foi uilizado 1,28 m³ desta NF para finalizar Qd O, casa 1.</t>
  </si>
  <si>
    <t>0184RCBC0799</t>
  </si>
  <si>
    <t>0184RCBC0777</t>
  </si>
  <si>
    <t>0184RCBC0857</t>
  </si>
  <si>
    <t>0184RCBC0834</t>
  </si>
  <si>
    <t>0184RCBC0885</t>
  </si>
  <si>
    <t>0184RCBC0871</t>
  </si>
  <si>
    <t>0184RCBC0913</t>
  </si>
  <si>
    <t>0184RCBC0898</t>
  </si>
  <si>
    <t>0184RCBC1008</t>
  </si>
  <si>
    <t>0184RCBC1004</t>
  </si>
  <si>
    <t>Segundo dia de chuvas e houve dificuldade no acesso</t>
  </si>
  <si>
    <t>0184RCBC1052</t>
  </si>
  <si>
    <t>0184RCBC1036</t>
  </si>
  <si>
    <t>0184RCBC0021</t>
  </si>
  <si>
    <t>0184RCBC0012</t>
  </si>
  <si>
    <t>0184RCBC0004</t>
  </si>
  <si>
    <t>0184RCBC0052</t>
  </si>
  <si>
    <t>0184RCBC0087</t>
  </si>
  <si>
    <t>0184RCBC0036</t>
  </si>
  <si>
    <t>0184RCBC0156</t>
  </si>
  <si>
    <t>0184RCBC0110</t>
  </si>
  <si>
    <t>0184RCBC0238</t>
  </si>
  <si>
    <t>NÃO USAMOS O CONCRETO REFERENTE AO ROMANEIO 12271 POIS O CARRO ATOLOU E CONCRETO TEVE QUE SER DISPENSADO</t>
  </si>
  <si>
    <t>0184RCBC0182</t>
  </si>
  <si>
    <t>0184RCBC0246</t>
  </si>
  <si>
    <t>0184RCBC0274</t>
  </si>
  <si>
    <t>0184RCBC0256</t>
  </si>
  <si>
    <t>0184RCBC0294</t>
  </si>
  <si>
    <t>0184RCBC0326</t>
  </si>
  <si>
    <t>0184RCBC0306</t>
  </si>
  <si>
    <t>0184RCBC0361</t>
  </si>
  <si>
    <t>0184RCBC0333</t>
  </si>
  <si>
    <t>0184RCBC0383</t>
  </si>
  <si>
    <t>0184RCBC0366</t>
  </si>
  <si>
    <t>Houve solicitação de 1m³ devido a dificuldade no acesso do caminhão betoneira, precisou-se utilizar a retroescavadeira para transportar o concreto.</t>
  </si>
  <si>
    <t>0184RCBC0411</t>
  </si>
  <si>
    <t>0184RCBC0435</t>
  </si>
  <si>
    <t>0184RCBC0421</t>
  </si>
  <si>
    <t>0184RCBC0468</t>
  </si>
  <si>
    <t>0184RCBC0442</t>
  </si>
  <si>
    <t>0184RCBC0501</t>
  </si>
  <si>
    <t>0184RCBC0470</t>
  </si>
  <si>
    <t>0184RCBC0579</t>
  </si>
  <si>
    <t>0184RCBC0565</t>
  </si>
  <si>
    <t>0184RCBC0635</t>
  </si>
  <si>
    <t>Faltou 0,719m³ de concreto para finalizar a forma.</t>
  </si>
  <si>
    <t>0184RCBC0601</t>
  </si>
  <si>
    <t>0184RCBC0732</t>
  </si>
  <si>
    <t>0184RCBC0711</t>
  </si>
  <si>
    <t>0184RCBC0761</t>
  </si>
  <si>
    <t>0184RCBC0743</t>
  </si>
  <si>
    <t>0184RCBC0793</t>
  </si>
  <si>
    <t>0184RCBC0786</t>
  </si>
  <si>
    <t>0184RCBC0856</t>
  </si>
  <si>
    <t>0184RCBC0835</t>
  </si>
  <si>
    <t>0184RCBC0915</t>
  </si>
  <si>
    <t>0184RCBC0899</t>
  </si>
  <si>
    <t>0184RCBC1009</t>
  </si>
  <si>
    <t>0184RCBC1005</t>
  </si>
  <si>
    <t>0184RCBC1054</t>
  </si>
  <si>
    <t>0184RCBC1011</t>
  </si>
  <si>
    <t>0184RCBC0022</t>
  </si>
  <si>
    <t>0184RCBC0013</t>
  </si>
  <si>
    <t>0184RCBC0005</t>
  </si>
  <si>
    <t>0184RCBC0054</t>
  </si>
  <si>
    <t>0184RCBC0037</t>
  </si>
  <si>
    <t>0184RCBC0080</t>
  </si>
  <si>
    <t>0184RCBC0155</t>
  </si>
  <si>
    <t>0184RCBC0177</t>
  </si>
  <si>
    <t>0184RCBC0111</t>
  </si>
  <si>
    <t>0184RCBC0240</t>
  </si>
  <si>
    <t>0184RCBC0183</t>
  </si>
  <si>
    <t>0184RCBC0253</t>
  </si>
  <si>
    <t>0184RCBC0277</t>
  </si>
  <si>
    <t>0184RCBC0271</t>
  </si>
  <si>
    <t>0184RCBC0292</t>
  </si>
  <si>
    <t>0184RCBC0330</t>
  </si>
  <si>
    <t>0184RCBC0314</t>
  </si>
  <si>
    <t>0184RCBC0349</t>
  </si>
  <si>
    <t>0184RCBC0334</t>
  </si>
  <si>
    <t>Foi utilizado 0,616m³ desta NF para completar o radier da casa 12, Qd G.</t>
  </si>
  <si>
    <t>0184RCBC0399</t>
  </si>
  <si>
    <t>0184RCBC0384</t>
  </si>
  <si>
    <t>0184RCBC0376</t>
  </si>
  <si>
    <t>0184RCBC0438</t>
  </si>
  <si>
    <t>0184RCBC0415</t>
  </si>
  <si>
    <t>0184RCBC0461</t>
  </si>
  <si>
    <t>0184RCBC0449</t>
  </si>
  <si>
    <t>0184RCBC0514</t>
  </si>
  <si>
    <t>0184RCBC0480</t>
  </si>
  <si>
    <t>0184RCBC0570</t>
  </si>
  <si>
    <t>0184RCBC0543</t>
  </si>
  <si>
    <t>0184RCBC0615</t>
  </si>
  <si>
    <t>1 m³ de concreto proveniente do romaneio 15678 não deverá ser cobrado pois a forma não sofreu alteração portanto trata-se de um complemento.</t>
  </si>
  <si>
    <t>0184RCBC0597</t>
  </si>
  <si>
    <t>0184RCBC0688</t>
  </si>
  <si>
    <t>0184RCBC0670</t>
  </si>
  <si>
    <t>0184RCBC0762</t>
  </si>
  <si>
    <t>0184RCBC0745</t>
  </si>
  <si>
    <t>Foi utilizado 1,28 m³ dessa casa para finalizar casa 3, Qd O. Faltou 1,1 m³ para finalizar este radier.</t>
  </si>
  <si>
    <t>0184RCBC0800</t>
  </si>
  <si>
    <t>0184RCBC0778</t>
  </si>
  <si>
    <t>0184RCBC0855</t>
  </si>
  <si>
    <t>0184RCBC0808</t>
  </si>
  <si>
    <t>0184RCBC0886</t>
  </si>
  <si>
    <t>0184RCBC0872</t>
  </si>
  <si>
    <t>0184RCBC0917</t>
  </si>
  <si>
    <t>0184RCBC0900</t>
  </si>
  <si>
    <t>0184RCBC0977</t>
  </si>
  <si>
    <t>0184RCBC0934</t>
  </si>
  <si>
    <t>0184RCBC1055</t>
  </si>
  <si>
    <t>0184RCBC1037</t>
  </si>
  <si>
    <t>0184RCBC0014</t>
  </si>
  <si>
    <t>Houve vazamento na forma</t>
  </si>
  <si>
    <t>0184RCBC0017</t>
  </si>
  <si>
    <t>0184RCBC0006</t>
  </si>
  <si>
    <t>0184RCBC0053</t>
  </si>
  <si>
    <t>0184RCBC0074</t>
  </si>
  <si>
    <t>0184RCBC0027</t>
  </si>
  <si>
    <t>0184RCBC0131</t>
  </si>
  <si>
    <t>0184RCBC0117</t>
  </si>
  <si>
    <t>0184RCBC0157</t>
  </si>
  <si>
    <t>0184RCBC0215</t>
  </si>
  <si>
    <t>0184RCBC0184</t>
  </si>
  <si>
    <t>Concreto não deu para concluir o radier</t>
  </si>
  <si>
    <t>0184RCBC0247</t>
  </si>
  <si>
    <t>0184RCBC0276</t>
  </si>
  <si>
    <t>0184RCBC0255</t>
  </si>
  <si>
    <t>0184RCBC0295</t>
  </si>
  <si>
    <t>0184RCBC0324</t>
  </si>
  <si>
    <t>0184RCBC0307</t>
  </si>
  <si>
    <t>0184RCBC0360</t>
  </si>
  <si>
    <t>0184RCBC0335</t>
  </si>
  <si>
    <t>0184RCBC0385</t>
  </si>
  <si>
    <t>Um carro retornou a concreteira por apresentar slump demasiadamente alto, no valor de 84 cm.</t>
  </si>
  <si>
    <t>0184RCBC0363</t>
  </si>
  <si>
    <t>0184RCBC0412</t>
  </si>
  <si>
    <t>0184RCBC0434</t>
  </si>
  <si>
    <t>0184RCBC0422</t>
  </si>
  <si>
    <t>0184RCBC0458</t>
  </si>
  <si>
    <t>0184RCBC0446</t>
  </si>
  <si>
    <t>0184RCBC0502</t>
  </si>
  <si>
    <t>0184RCBC0471</t>
  </si>
  <si>
    <t>0184RCBC0580</t>
  </si>
  <si>
    <t>0184RCBC0566</t>
  </si>
  <si>
    <t>0184RCBC0637</t>
  </si>
  <si>
    <t>O mangote entupiu</t>
  </si>
  <si>
    <t>0184RCBC0602</t>
  </si>
  <si>
    <t>0184RCBC0730</t>
  </si>
  <si>
    <t>0184RCBC0710</t>
  </si>
  <si>
    <t>0184RCBC0763</t>
  </si>
  <si>
    <t>0184RCBC0746</t>
  </si>
  <si>
    <t>Faltou 0,5 m³ para finalizar este radier.</t>
  </si>
  <si>
    <t>0184RCBC0791</t>
  </si>
  <si>
    <t>0184RCBC0795</t>
  </si>
  <si>
    <t>0184RCBC0865</t>
  </si>
  <si>
    <t>0184RCBC0804</t>
  </si>
  <si>
    <t>0184RCBC0918</t>
  </si>
  <si>
    <t>0184RCBC0901</t>
  </si>
  <si>
    <t>0184RCBC0974</t>
  </si>
  <si>
    <t>0184RCBC0955</t>
  </si>
  <si>
    <t>Dia de chuva, radier sofreu com afundamentos na camada de aterro</t>
  </si>
  <si>
    <t>0184RCBC1056</t>
  </si>
  <si>
    <t>0184RCBC1012</t>
  </si>
  <si>
    <t>0184RCBC0016</t>
  </si>
  <si>
    <t>0184RCBC0018</t>
  </si>
  <si>
    <t>0184RCBC0007</t>
  </si>
  <si>
    <t>0184RCBC0055</t>
  </si>
  <si>
    <t>0184RCBC0038</t>
  </si>
  <si>
    <t>0184RCBC0081</t>
  </si>
  <si>
    <t>0184RCBC0154</t>
  </si>
  <si>
    <t xml:space="preserve">VEIO 15 METROS PQ A BOMBA ESTACIONARIA FICOU DISTANTE DA CASA. PERDEMOS 8 M³ DE CONCRETO DEVIDO A FALTA DE ACESSO POIS NESSE DIA CHOVEU MUITO NA HORA EM QUE CHEGOU CAMINHAO DE CONCRETO ROMANEIO 11685 </t>
  </si>
  <si>
    <t>0184RCBC0178</t>
  </si>
  <si>
    <t>0184RCBC0112</t>
  </si>
  <si>
    <t>0184RCBC0242</t>
  </si>
  <si>
    <t>0184RCBC0189</t>
  </si>
  <si>
    <t>0184RCBC0254</t>
  </si>
  <si>
    <t>0184RCBC0279</t>
  </si>
  <si>
    <t>0184RCBC0267</t>
  </si>
  <si>
    <t>0184RCBC0293</t>
  </si>
  <si>
    <t>0184RCBC0329</t>
  </si>
  <si>
    <t>0184RCBC0315</t>
  </si>
  <si>
    <t>0184RCBC0350</t>
  </si>
  <si>
    <t>0184RCBC0336</t>
  </si>
  <si>
    <t>0184RCBC0400</t>
  </si>
  <si>
    <t>0184RCBC0386</t>
  </si>
  <si>
    <t>Nota-se que o n° de romaneio do segundo carro é anterior ao do primeiro, o que nos leva a pensar que o concreto do romaneio de n° 17042 é o mesmo concreto que retornou a concreteira às 19:50 devido ao alto slump apresentado, no valor de 84 cm.</t>
  </si>
  <si>
    <t>0184RCBC0377</t>
  </si>
  <si>
    <t>0184RCBC0436</t>
  </si>
  <si>
    <t>0184RCBC0416</t>
  </si>
  <si>
    <t>0184RCBC0463</t>
  </si>
  <si>
    <t>0184RCBC0450</t>
  </si>
  <si>
    <t>0184RCBC0516</t>
  </si>
  <si>
    <t>0184RCBC0481</t>
  </si>
  <si>
    <t>0184RCBC0571</t>
  </si>
  <si>
    <t>0184RCBC0544</t>
  </si>
  <si>
    <t>0184RCBC0617</t>
  </si>
  <si>
    <t>0184RCBC0598</t>
  </si>
  <si>
    <t>0184RCBC0689</t>
  </si>
  <si>
    <t>0184RCBC0671</t>
  </si>
  <si>
    <t>0184RCBC0766</t>
  </si>
  <si>
    <t>0184RCBC0747</t>
  </si>
  <si>
    <t>Faltou 1m³ de concreto para finalizar este radier.</t>
  </si>
  <si>
    <t>0184RCBC0792</t>
  </si>
  <si>
    <t>0184RCBC0779</t>
  </si>
  <si>
    <t>0184RCBC0866</t>
  </si>
  <si>
    <t>0184RCBC0809</t>
  </si>
  <si>
    <t>0184RCBC0888</t>
  </si>
  <si>
    <t>0184RCBC0873</t>
  </si>
  <si>
    <t>0184RCBC0920</t>
  </si>
  <si>
    <t>0184RCBC0902</t>
  </si>
  <si>
    <t>0184RCBC0976</t>
  </si>
  <si>
    <t>0184RCBC0935</t>
  </si>
  <si>
    <t>0184RCBC1057</t>
  </si>
  <si>
    <t>0184RCBC1038</t>
  </si>
  <si>
    <t>0184RCBC0015</t>
  </si>
  <si>
    <t>0184RCBC0019</t>
  </si>
  <si>
    <t>0184RCBC0008</t>
  </si>
  <si>
    <t>0184RCBC0071</t>
  </si>
  <si>
    <t>0184RCBC0075</t>
  </si>
  <si>
    <t>0184RCBC0029</t>
  </si>
  <si>
    <t>0184RCBC0133</t>
  </si>
  <si>
    <t>Bomba Estacionária</t>
  </si>
  <si>
    <t>0184RCBC0098</t>
  </si>
  <si>
    <t>0184RCBC0158</t>
  </si>
  <si>
    <t>0184RCBC0216</t>
  </si>
  <si>
    <t>0184RCBC0185</t>
  </si>
  <si>
    <t>0184RCBC0278</t>
  </si>
  <si>
    <t>0184RCBC0301</t>
  </si>
  <si>
    <t>0184RCBC0257</t>
  </si>
  <si>
    <t>0,5m³ devido ao desnível do radier da casa 4</t>
  </si>
  <si>
    <t>0184RCBC0322</t>
  </si>
  <si>
    <t>0184RCBC0308</t>
  </si>
  <si>
    <t>0184RCBC0359</t>
  </si>
  <si>
    <t>0184RCBC0337</t>
  </si>
  <si>
    <t>0184RCBC0405</t>
  </si>
  <si>
    <t>0184RCBC0387</t>
  </si>
  <si>
    <t>0184RCBC0364</t>
  </si>
  <si>
    <t>0184RCBC0432</t>
  </si>
  <si>
    <t>0184RCBC0423</t>
  </si>
  <si>
    <t>0184RCBC0460</t>
  </si>
  <si>
    <t>0184RCBC0447</t>
  </si>
  <si>
    <t>0184RCBC0503</t>
  </si>
  <si>
    <t>0184RCBC0472</t>
  </si>
  <si>
    <t>0184RCBC0581</t>
  </si>
  <si>
    <t>0184RCBC0567</t>
  </si>
  <si>
    <t>0184RCBC0641</t>
  </si>
  <si>
    <t>0184RCBC0603</t>
  </si>
  <si>
    <t>0184RCBC0728</t>
  </si>
  <si>
    <t>0184RCBC0712</t>
  </si>
  <si>
    <t>Concretado com as NF 28198 e NF29323</t>
  </si>
  <si>
    <t>0184RCBC0765</t>
  </si>
  <si>
    <t>0184RCBC0755</t>
  </si>
  <si>
    <t>Foi utilizado 0,5 m³ dessa casa para finalizar casa 6, Qd O. Faltou 1 m³ para finalizar este radier.</t>
  </si>
  <si>
    <t>0184RCBC0790</t>
  </si>
  <si>
    <t>0184RCBC0796</t>
  </si>
  <si>
    <t>0184RCBC0839</t>
  </si>
  <si>
    <t>0184RCBC0805</t>
  </si>
  <si>
    <t>0184RCBC0921</t>
  </si>
  <si>
    <t>0184RCBC0903</t>
  </si>
  <si>
    <t>0184RCBC0973</t>
  </si>
  <si>
    <t>0184RCBC0949</t>
  </si>
  <si>
    <t>0184RCBC1058</t>
  </si>
  <si>
    <t>0184RCBC1013</t>
  </si>
  <si>
    <t>0184RCBC0056</t>
  </si>
  <si>
    <t>0184RCBC0088</t>
  </si>
  <si>
    <t>0184RCBC0039</t>
  </si>
  <si>
    <t>0184RCBC0152</t>
  </si>
  <si>
    <t>0184RCBC0113</t>
  </si>
  <si>
    <t>0184RCBC0241</t>
  </si>
  <si>
    <t>0184RCBC0190</t>
  </si>
  <si>
    <t>0184RCBC0280</t>
  </si>
  <si>
    <t>0184RCBC0268</t>
  </si>
  <si>
    <t>0184RCBC0296</t>
  </si>
  <si>
    <t>0184RCBC0328</t>
  </si>
  <si>
    <t>0184RCBC0316</t>
  </si>
  <si>
    <t>0184RCBC0351</t>
  </si>
  <si>
    <t>0184RCBC0338</t>
  </si>
  <si>
    <t>0184RCBC0401</t>
  </si>
  <si>
    <t>0184RCBC0388</t>
  </si>
  <si>
    <t>0184RCBC0378</t>
  </si>
  <si>
    <t>0184RCBC0433</t>
  </si>
  <si>
    <t>0184RCBC0417</t>
  </si>
  <si>
    <t>0184RCBC0464</t>
  </si>
  <si>
    <t>0184RCBC0451</t>
  </si>
  <si>
    <t>0184RCBC0518</t>
  </si>
  <si>
    <t>0184RCBC0482</t>
  </si>
  <si>
    <t>0184RCBC0572</t>
  </si>
  <si>
    <t>0184RCBC0553</t>
  </si>
  <si>
    <t>0184RCBC0623</t>
  </si>
  <si>
    <t>A nota 15735 não deverá ser paga visto que se trata de um complemento já que as formas não sofreram alteração portanto possuem o mesmo volume que o de projeto.</t>
  </si>
  <si>
    <t>0184RCBC0599</t>
  </si>
  <si>
    <t>0184RCBC0691</t>
  </si>
  <si>
    <t>0184RCBC0672</t>
  </si>
  <si>
    <t>0184RCBC0767</t>
  </si>
  <si>
    <t>0184RCBC0748</t>
  </si>
  <si>
    <t>0184RCBC0801</t>
  </si>
  <si>
    <t>0184RCBC0780</t>
  </si>
  <si>
    <t>0184RCBC0854</t>
  </si>
  <si>
    <t>0184RCBC0810</t>
  </si>
  <si>
    <t>0184RCBC0890</t>
  </si>
  <si>
    <t>0184RCBC0874</t>
  </si>
  <si>
    <t>0184RCBC0919</t>
  </si>
  <si>
    <t>0184RCBC0904</t>
  </si>
  <si>
    <t>0184RCBC0975</t>
  </si>
  <si>
    <t>0184RCBC0936</t>
  </si>
  <si>
    <t>0184RCBC1059</t>
  </si>
  <si>
    <t>0184RCBC1039</t>
  </si>
  <si>
    <t>0184RCBC0069</t>
  </si>
  <si>
    <t>0184RCBC0076</t>
  </si>
  <si>
    <t>0184RCBC0030</t>
  </si>
  <si>
    <t>0184RCBC0135</t>
  </si>
  <si>
    <t>0184RCBC0099</t>
  </si>
  <si>
    <t>0184RCBC0159</t>
  </si>
  <si>
    <t>0184RCBC0217</t>
  </si>
  <si>
    <t>0184RCBC0186</t>
  </si>
  <si>
    <t>0184RCBC0281</t>
  </si>
  <si>
    <t>O concreto não foi suficiente para finalizar a casa, solicitação de complemento foi negada devido a falta de cimento na concreteira.</t>
  </si>
  <si>
    <t>0184RCBC0258</t>
  </si>
  <si>
    <t>0184RCBC0321</t>
  </si>
  <si>
    <t>0184RCBC0309</t>
  </si>
  <si>
    <t>0184RCBC0357</t>
  </si>
  <si>
    <t>0184RCBC0339</t>
  </si>
  <si>
    <t>Faltou 1,4m³ de concreto para a fnalização desde radier</t>
  </si>
  <si>
    <t>0184RCBC0406</t>
  </si>
  <si>
    <t>0184RCBC0389</t>
  </si>
  <si>
    <t>0184RCBC0367</t>
  </si>
  <si>
    <t>0184RCBC0431</t>
  </si>
  <si>
    <t>0184RCBC0424</t>
  </si>
  <si>
    <t>0,5 m³ não deverá ser pago pois faltou durante a concretagem. A informação foi passada ao balanceiro Alcino e ao Eng. Isaque, que se comprometeu e repassar ao Jorge.</t>
  </si>
  <si>
    <t>0184RCBC0462</t>
  </si>
  <si>
    <t>0184RCBC0443</t>
  </si>
  <si>
    <t>0184RCBC0504</t>
  </si>
  <si>
    <t>0184RCBC0473</t>
  </si>
  <si>
    <t>0184RCBC0582</t>
  </si>
  <si>
    <t>NESTA DATA O CONCRETO NÃO DEU DEVIDO A UM VAZAMENTO NA FORMA</t>
  </si>
  <si>
    <t>0184RCBC0560</t>
  </si>
  <si>
    <t>0184RCBC0642</t>
  </si>
  <si>
    <t>0184RCBC0604</t>
  </si>
  <si>
    <t>0184RCBC0726</t>
  </si>
  <si>
    <t>0184RCBC0713</t>
  </si>
  <si>
    <t>1,168m³ do concreto veio da NF29319</t>
  </si>
  <si>
    <t>0184RCBC0768</t>
  </si>
  <si>
    <t>0184RCBC0749</t>
  </si>
  <si>
    <t>Foi utilizado 1 m³ dessa casa para finalizar casa 8, Qd O. Faltou  0,5 m³ para finalizar este radier.</t>
  </si>
  <si>
    <t>0184RCBC0789</t>
  </si>
  <si>
    <t>0184RCBC0797</t>
  </si>
  <si>
    <t>0184RCBC0841</t>
  </si>
  <si>
    <t>0184RCBC0806</t>
  </si>
  <si>
    <t>0184RCBC0916</t>
  </si>
  <si>
    <t>Romaneio 15116: Faltou 0,685 m³ para finalizar a casa 10, Qd. U. 1m³ abonado, Jorge está ciente</t>
  </si>
  <si>
    <t>0184RCBC0905</t>
  </si>
  <si>
    <t>0184RCBC0972</t>
  </si>
  <si>
    <t>0184RCBC0950</t>
  </si>
  <si>
    <t>0184RCBC1060</t>
  </si>
  <si>
    <t>0184RCBC1014</t>
  </si>
  <si>
    <t>0184RCBC0057</t>
  </si>
  <si>
    <t>0184RCBC0089</t>
  </si>
  <si>
    <t>0184RCBC0040</t>
  </si>
  <si>
    <t>0184RCBC0151</t>
  </si>
  <si>
    <t>0184RCBC0114</t>
  </si>
  <si>
    <t>0184RCBC0239</t>
  </si>
  <si>
    <t>0184RCBC0191</t>
  </si>
  <si>
    <t>0184RCBC0282</t>
  </si>
  <si>
    <t>1,5 m² proveniente da NF 16706 se trata de um complemento para a casa 10, qd E.</t>
  </si>
  <si>
    <t>0184RCBC0264</t>
  </si>
  <si>
    <t>0184RCBC0297</t>
  </si>
  <si>
    <t>0184RCBC0325</t>
  </si>
  <si>
    <t>0184RCBC0317</t>
  </si>
  <si>
    <t>0184RCBC0352</t>
  </si>
  <si>
    <t>0184RCBC0340</t>
  </si>
  <si>
    <t>0184RCBC0402</t>
  </si>
  <si>
    <t>0184RCBC0390</t>
  </si>
  <si>
    <t>0184RCBC0371</t>
  </si>
  <si>
    <t>0184RCBC0429</t>
  </si>
  <si>
    <t>0184RCBC0418</t>
  </si>
  <si>
    <t>0184RCBC0465</t>
  </si>
  <si>
    <t>0184RCBC0454</t>
  </si>
  <si>
    <t>0184RCBC0520</t>
  </si>
  <si>
    <t>0184RCBC0483</t>
  </si>
  <si>
    <t>0184RCBC0573</t>
  </si>
  <si>
    <t>0184RCBC0554</t>
  </si>
  <si>
    <t>0184RCBC0627</t>
  </si>
  <si>
    <t>0184RCBC0600</t>
  </si>
  <si>
    <t>Foi feito 1 m³ de concreto manual pois faltou concreto na concreteira.</t>
  </si>
  <si>
    <t>0184RCBC0693</t>
  </si>
  <si>
    <t>0184RCBC0673</t>
  </si>
  <si>
    <t>0184RCBC0769</t>
  </si>
  <si>
    <t>0184RCBC0750</t>
  </si>
  <si>
    <t>A NF 16603 trata-se de um comlemento portanto não deverá ser cobrada.</t>
  </si>
  <si>
    <t>0184RCBC0802</t>
  </si>
  <si>
    <t>0184RCBC0781</t>
  </si>
  <si>
    <t>0184RCBC0853</t>
  </si>
  <si>
    <t>0184RCBC0811</t>
  </si>
  <si>
    <t>0184RCBC0891</t>
  </si>
  <si>
    <t>0184RCBC0875</t>
  </si>
  <si>
    <t>0184RCBC0914</t>
  </si>
  <si>
    <t>0184RCBC0906</t>
  </si>
  <si>
    <t>0184RCBC0971</t>
  </si>
  <si>
    <t>Na NF 61181 veio somente 5m³ mas foi fornecido 7,5m³, a diferença se deu devido a um desconto referente a medição anterior</t>
  </si>
  <si>
    <t>0184RCBC0937</t>
  </si>
  <si>
    <t>0184RCBC1061</t>
  </si>
  <si>
    <t>0184RCBC1040</t>
  </si>
  <si>
    <t>0184RCBC0068</t>
  </si>
  <si>
    <t>0184RCBC0082</t>
  </si>
  <si>
    <t>0184RCBC0031</t>
  </si>
  <si>
    <t>0184RCBC0136</t>
  </si>
  <si>
    <t>0184RCBC0107</t>
  </si>
  <si>
    <t>0184RCBC0160</t>
  </si>
  <si>
    <t>0184RCBC0218</t>
  </si>
  <si>
    <t>0184RCBC0187</t>
  </si>
  <si>
    <t>0184RCBC0283</t>
  </si>
  <si>
    <t>0184RCBC0302</t>
  </si>
  <si>
    <t>0184RCBC0259</t>
  </si>
  <si>
    <t>0184RCBC0320</t>
  </si>
  <si>
    <t>0184RCBC0310</t>
  </si>
  <si>
    <t>0184RCBC0356</t>
  </si>
  <si>
    <t>0184RCBC0341</t>
  </si>
  <si>
    <t>Foi utilizado 1,4m³ desta NF para completar o radier da casa 10, Qd G.</t>
  </si>
  <si>
    <t>0184RCBC0407</t>
  </si>
  <si>
    <t>0184RCBC0391</t>
  </si>
  <si>
    <t>0184RCBC0368</t>
  </si>
  <si>
    <t>0184RCBC0430</t>
  </si>
  <si>
    <t>0184RCBC0426</t>
  </si>
  <si>
    <t>0184RCBC0467</t>
  </si>
  <si>
    <t>0184RCBC0444</t>
  </si>
  <si>
    <t>0184RCBC0505</t>
  </si>
  <si>
    <t>0184RCBC0474</t>
  </si>
  <si>
    <t>0184RCBC0583</t>
  </si>
  <si>
    <t>0184RCBC0561</t>
  </si>
  <si>
    <t>0184RCBC0649</t>
  </si>
  <si>
    <t>0184RCBC0608</t>
  </si>
  <si>
    <t>0184RCBC0724</t>
  </si>
  <si>
    <t>0184RCBC0714</t>
  </si>
  <si>
    <t>1,168m³ do concreto na NF29319 foi utilizado na casa 10, Qd N.</t>
  </si>
  <si>
    <t>0184RCBC0770</t>
  </si>
  <si>
    <t>0184RCBC0751</t>
  </si>
  <si>
    <t>Foi utilizado 1,1 m³ desta cada para finalizar a casa 5, Qd O. Faltou 0,55 m³ de concreto para finalizar este radier.</t>
  </si>
  <si>
    <t>0184RCBC0788</t>
  </si>
  <si>
    <t>0184RCBC0784</t>
  </si>
  <si>
    <t>0184RCBC0843</t>
  </si>
  <si>
    <t>0184RCBC0807</t>
  </si>
  <si>
    <t>0184RCBC0912</t>
  </si>
  <si>
    <t>0184RCBC0907</t>
  </si>
  <si>
    <t>0184RCBC0969</t>
  </si>
  <si>
    <t>0184RCBC0951</t>
  </si>
  <si>
    <t>0184RCBC1062</t>
  </si>
  <si>
    <t>0184RCBC1015</t>
  </si>
  <si>
    <t>0184RCBC0058</t>
  </si>
  <si>
    <t>0184RCBC0090</t>
  </si>
  <si>
    <t>0184RCBC0044</t>
  </si>
  <si>
    <t>0184RCBC0150</t>
  </si>
  <si>
    <t>0184RCBC0115</t>
  </si>
  <si>
    <t>0184RCBC0237</t>
  </si>
  <si>
    <t>0184RCBC0192</t>
  </si>
  <si>
    <t>0184RCBC0284</t>
  </si>
  <si>
    <t>0184RCBC0263</t>
  </si>
  <si>
    <t>0184RCBC0298</t>
  </si>
  <si>
    <t>0184RCBC0323</t>
  </si>
  <si>
    <t>0184RCBC0318</t>
  </si>
  <si>
    <t>0184RCBC0354</t>
  </si>
  <si>
    <t>0184RCBC0344</t>
  </si>
  <si>
    <t>0184RCBC0403</t>
  </si>
  <si>
    <t>0184RCBC0392</t>
  </si>
  <si>
    <t>Deve ser pago somente 14m³ pois neste dia foi solicitado 32,5m³ e entregaram 33m³.</t>
  </si>
  <si>
    <t>0184RCBC0372</t>
  </si>
  <si>
    <t>0184RCBC0428</t>
  </si>
  <si>
    <t>0184RCBC0419</t>
  </si>
  <si>
    <t>Voltou para a concreteira às 15:30h para redosagem e retornou para a obra às 16:50h.</t>
  </si>
  <si>
    <t>0184RCBC0466</t>
  </si>
  <si>
    <t>0184RCBC0455</t>
  </si>
  <si>
    <t>0184RCBC0522</t>
  </si>
  <si>
    <t>0184RCBC0484</t>
  </si>
  <si>
    <t>0184RCBC0574</t>
  </si>
  <si>
    <t>0184RCBC0551</t>
  </si>
  <si>
    <t>0184RCBC0618</t>
  </si>
  <si>
    <t>0184RCBC0605</t>
  </si>
  <si>
    <t>1m³ para concretar fundo de PV</t>
  </si>
  <si>
    <t>0184RCBC0695</t>
  </si>
  <si>
    <t>0184RCBC0674</t>
  </si>
  <si>
    <t>0184RCBC0771</t>
  </si>
  <si>
    <t>0184RCBC0756</t>
  </si>
  <si>
    <t>0184RCBC0803</t>
  </si>
  <si>
    <t>0184RCBC0783</t>
  </si>
  <si>
    <t>0184RCBC0852</t>
  </si>
  <si>
    <t>0184RCBC0812</t>
  </si>
  <si>
    <t>0184RCBC0893</t>
  </si>
  <si>
    <t>0184RCBC0869</t>
  </si>
  <si>
    <t>0184RCBC0910</t>
  </si>
  <si>
    <t>0184RCBC0908</t>
  </si>
  <si>
    <t>0184RCBC0970</t>
  </si>
  <si>
    <t>0184RCBC0938</t>
  </si>
  <si>
    <t>0184RCBC1063</t>
  </si>
  <si>
    <t>0184RCBC1041</t>
  </si>
  <si>
    <t>0184RCBC0066</t>
  </si>
  <si>
    <t>0184RCBC0083</t>
  </si>
  <si>
    <t>0184RCBC0041</t>
  </si>
  <si>
    <t>0184RCBC0137</t>
  </si>
  <si>
    <t>0184RCBC0100</t>
  </si>
  <si>
    <t>0184RCBC0161</t>
  </si>
  <si>
    <t>0184RCBC0219</t>
  </si>
  <si>
    <t>0184RCBC0188</t>
  </si>
  <si>
    <t>0184RCBC0286</t>
  </si>
  <si>
    <t>0184RCBC0303</t>
  </si>
  <si>
    <t>0184RCBC0260</t>
  </si>
  <si>
    <t>0184RCBC0319</t>
  </si>
  <si>
    <t>0184RCBC0311</t>
  </si>
  <si>
    <t>0184RCBC0358</t>
  </si>
  <si>
    <t>0184RCBC0345</t>
  </si>
  <si>
    <t>0184RCBC0408</t>
  </si>
  <si>
    <t>0184RCBC0393</t>
  </si>
  <si>
    <t>0184RCBC0369</t>
  </si>
  <si>
    <t>0184RCBC0427</t>
  </si>
  <si>
    <t>0184RCBC0425</t>
  </si>
  <si>
    <t>Faltou 0,5m³ de concreto para complementar o radier, o concreto necessário foi fabricado de forma manual no canteiro.</t>
  </si>
  <si>
    <t>0184RCBC0441</t>
  </si>
  <si>
    <t>0184RCBC0445</t>
  </si>
  <si>
    <t>0184RCBC0506</t>
  </si>
  <si>
    <t>0184RCBC0475</t>
  </si>
  <si>
    <t>0184RCBC0584</t>
  </si>
  <si>
    <t>0184RCBC0562</t>
  </si>
  <si>
    <t>0184RCBC0651</t>
  </si>
  <si>
    <t>0184RCBC0609</t>
  </si>
  <si>
    <t>0184RCBC0723</t>
  </si>
  <si>
    <t>0184RCBC0706</t>
  </si>
  <si>
    <t>0184RCBC0772</t>
  </si>
  <si>
    <t>0184RCBC0752</t>
  </si>
  <si>
    <t>0184RCBC0787</t>
  </si>
  <si>
    <t>0184RCBC0785</t>
  </si>
  <si>
    <t>0184RCBC0845</t>
  </si>
  <si>
    <t>0184RCBC0813</t>
  </si>
  <si>
    <t>0184RCBC0928</t>
  </si>
  <si>
    <t>0184RCBC0922</t>
  </si>
  <si>
    <t>0184RCBC0967</t>
  </si>
  <si>
    <t>0184RCBC0952</t>
  </si>
  <si>
    <t>0184RCBC1064</t>
  </si>
  <si>
    <t>0184RCBC1016</t>
  </si>
  <si>
    <t>0184RCBC0059</t>
  </si>
  <si>
    <t>0184RCBC0077</t>
  </si>
  <si>
    <t>0184RCBC0045</t>
  </si>
  <si>
    <t>0184RCBC0149</t>
  </si>
  <si>
    <t>0184RCBC0116</t>
  </si>
  <si>
    <t>0184RCBC0236</t>
  </si>
  <si>
    <t>0184RCBC0193</t>
  </si>
  <si>
    <t>0184RCBC0285</t>
  </si>
  <si>
    <t>0184RCBC0299</t>
  </si>
  <si>
    <t>0184RCBC0265</t>
  </si>
  <si>
    <t>0184RCBC0362</t>
  </si>
  <si>
    <t>0184RCBC0347</t>
  </si>
  <si>
    <t>0184RCBC0404</t>
  </si>
  <si>
    <t>0184RCBC0394</t>
  </si>
  <si>
    <t>O romaneio de n°17278 trata-se de um complemento no volume de 3m³ e não deverá ser cobrado pois não houve vazamento.</t>
  </si>
  <si>
    <t>0184RCBC0373</t>
  </si>
  <si>
    <t>0184RCBC0524</t>
  </si>
  <si>
    <t>0184RCBC0485</t>
  </si>
  <si>
    <t>0184RCBC0575</t>
  </si>
  <si>
    <t>0184RCBC0552</t>
  </si>
  <si>
    <t>0184RCBC0628</t>
  </si>
  <si>
    <t>0184RCBC0606</t>
  </si>
  <si>
    <t>0184RCBC0697</t>
  </si>
  <si>
    <t>0184RCBC0675</t>
  </si>
  <si>
    <t>0184RCBC0773</t>
  </si>
  <si>
    <t>0184RCBC0757</t>
  </si>
  <si>
    <t>0184RCBC0851</t>
  </si>
  <si>
    <t>0184RCBC0814</t>
  </si>
  <si>
    <t>0184RCBC0895</t>
  </si>
  <si>
    <t>0184RCBC0876</t>
  </si>
  <si>
    <t>0184RCBC0930</t>
  </si>
  <si>
    <t>0184RCBC0923</t>
  </si>
  <si>
    <t>0184RCBC0968</t>
  </si>
  <si>
    <t>0184RCBC0939</t>
  </si>
  <si>
    <t>0184RCBC1065</t>
  </si>
  <si>
    <t>0184RCBC1042</t>
  </si>
  <si>
    <t>0184RCBC0065</t>
  </si>
  <si>
    <t>0184RCBC0084</t>
  </si>
  <si>
    <t>0184RCBC0042</t>
  </si>
  <si>
    <t>0184RCBC0138</t>
  </si>
  <si>
    <t>0184RCBC0170</t>
  </si>
  <si>
    <t>0184RCBC0101</t>
  </si>
  <si>
    <t>0184RCBC0220</t>
  </si>
  <si>
    <t>0184RCBC0194</t>
  </si>
  <si>
    <t>0184RCBC0288</t>
  </si>
  <si>
    <t>0184RCBC0261</t>
  </si>
  <si>
    <t>0184RCBC0304</t>
  </si>
  <si>
    <t>0184RCBC0409</t>
  </si>
  <si>
    <t>0184RCBC0395</t>
  </si>
  <si>
    <t>0184RCBC0370</t>
  </si>
  <si>
    <t>0184RCBC0507</t>
  </si>
  <si>
    <t>0184RCBC0476</t>
  </si>
  <si>
    <t>0184RCBC0585</t>
  </si>
  <si>
    <t>0184RCBC0563</t>
  </si>
  <si>
    <t>0184RCBC0653</t>
  </si>
  <si>
    <t>0184RCBC0619</t>
  </si>
  <si>
    <t>0184RCBC0719</t>
  </si>
  <si>
    <t>0184RCBC0707</t>
  </si>
  <si>
    <t>0184RCBC0775</t>
  </si>
  <si>
    <t>0184RCBC0753</t>
  </si>
  <si>
    <t>0184RCBC0847</t>
  </si>
  <si>
    <t>0184RCBC0815</t>
  </si>
  <si>
    <t>0184RCBC0932</t>
  </si>
  <si>
    <t>0184RCBC0924</t>
  </si>
  <si>
    <t>0184RCBC0964</t>
  </si>
  <si>
    <t>0184RCBC0953</t>
  </si>
  <si>
    <t>0184RCBC1072</t>
  </si>
  <si>
    <t>0184RCBC1017</t>
  </si>
  <si>
    <t>0184RCBC0060</t>
  </si>
  <si>
    <t>0184RCBC0078</t>
  </si>
  <si>
    <t>0184RCBC0046</t>
  </si>
  <si>
    <t>0184RCBC0148</t>
  </si>
  <si>
    <t>0184RCBC0176</t>
  </si>
  <si>
    <t>0184RCBC0119</t>
  </si>
  <si>
    <t>0184RCBC0234</t>
  </si>
  <si>
    <t>0184RCBC0196</t>
  </si>
  <si>
    <t>0184RCBC0287</t>
  </si>
  <si>
    <t>0184RCBC0300</t>
  </si>
  <si>
    <t>0184RCBC0266</t>
  </si>
  <si>
    <t>0184RCBC0396</t>
  </si>
  <si>
    <t>0184RCBC0374</t>
  </si>
  <si>
    <t>0184RCBC0526</t>
  </si>
  <si>
    <t>0184RCBC0486</t>
  </si>
  <si>
    <t>0184RCBC0576</t>
  </si>
  <si>
    <t>0184RCBC0548</t>
  </si>
  <si>
    <t>0184RCBC0631</t>
  </si>
  <si>
    <t>0184RCBC0610</t>
  </si>
  <si>
    <t>0184RCBC0696</t>
  </si>
  <si>
    <t>0184RCBC0678</t>
  </si>
  <si>
    <t>0184RCBC0774</t>
  </si>
  <si>
    <t>0184RCBC0758</t>
  </si>
  <si>
    <t>0184RCBC0849</t>
  </si>
  <si>
    <t>0184RCBC0818</t>
  </si>
  <si>
    <t>0184RCBC0894</t>
  </si>
  <si>
    <t>0184RCBC0877</t>
  </si>
  <si>
    <t>0184RCBC0933</t>
  </si>
  <si>
    <t>0184RCBC0925</t>
  </si>
  <si>
    <t>0184RCBC0960</t>
  </si>
  <si>
    <t>0184RCBC0940</t>
  </si>
  <si>
    <t>Neste dia foram concretados 7 radiers (parte convencional e parte bombeado), foram solicitados 39m³ de concreto e faltou 4m³, esses foram solicitados como complemento e serão negociados posteriormente na medição</t>
  </si>
  <si>
    <t>0184RCBC1073</t>
  </si>
  <si>
    <t>0184RCBC1034</t>
  </si>
  <si>
    <t>0184RCBC0064</t>
  </si>
  <si>
    <t>0184RCBC0091</t>
  </si>
  <si>
    <t>0184RCBC0032</t>
  </si>
  <si>
    <t>0184RCBC0139</t>
  </si>
  <si>
    <t>0184RCBC0171</t>
  </si>
  <si>
    <t>0184RCBC0102</t>
  </si>
  <si>
    <t>0184RCBC0221</t>
  </si>
  <si>
    <t>0184RCBC0195</t>
  </si>
  <si>
    <t>0184RCBC0509</t>
  </si>
  <si>
    <t>0184RCBC0477</t>
  </si>
  <si>
    <t>0184RCBC0586</t>
  </si>
  <si>
    <t xml:space="preserve">HOUVE ROMPIMENTO NA PLACA DA PAREDE PLATIBANDA </t>
  </si>
  <si>
    <t>0184RCBC0557</t>
  </si>
  <si>
    <t>0184RCBC0656</t>
  </si>
  <si>
    <t>0184RCBC0624</t>
  </si>
  <si>
    <t>0184RCBC0718</t>
  </si>
  <si>
    <t>0184RCBC0708</t>
  </si>
  <si>
    <t>0184RCBC0850</t>
  </si>
  <si>
    <t>0184RCBC0816</t>
  </si>
  <si>
    <t>0184RCBC0931</t>
  </si>
  <si>
    <t>0184RCBC0926</t>
  </si>
  <si>
    <t>0184RCBC0958</t>
  </si>
  <si>
    <t>0184RCBC0954</t>
  </si>
  <si>
    <t>Foi necessário um complemento de 0,5m³ feito na betoneira</t>
  </si>
  <si>
    <t>0184RCBC1074</t>
  </si>
  <si>
    <t>0184RCBC1018</t>
  </si>
  <si>
    <t>0184RCBC0061</t>
  </si>
  <si>
    <t>0184RCBC0079</t>
  </si>
  <si>
    <t>0184RCBC0047</t>
  </si>
  <si>
    <t>0184RCBC0147</t>
  </si>
  <si>
    <t>0184RCBC0172</t>
  </si>
  <si>
    <t>0184RCBC0118</t>
  </si>
  <si>
    <t>0184RCBC0231</t>
  </si>
  <si>
    <t>NAO FOI FINALIZADA POR FALTA DE CONCRETO QUE E ENVIADO PELA DELTAMIX A MESMA SERA FINALIZADA DIA 24/05/22</t>
  </si>
  <si>
    <t>0184RCBC0197</t>
  </si>
  <si>
    <t>0184RCBC0527</t>
  </si>
  <si>
    <t>0184RCBC0487</t>
  </si>
  <si>
    <t>0184RCBC0577</t>
  </si>
  <si>
    <t>0184RCBC0549</t>
  </si>
  <si>
    <t>0184RCBC0636</t>
  </si>
  <si>
    <t>0,719 m³ do romaneio 15887 foi utilizado para finalizar a casa 4, Qd M. No romaneio15889 foi solicitado 0,5m³ para concretagem de pilar mas foi utilizado para finalizar a casa 19, Qd. M, inclusive o concreto do cocho, e só foi possível concretar 2 pilares.</t>
  </si>
  <si>
    <t>0184RCBC0613</t>
  </si>
  <si>
    <t>0184RCBC0694</t>
  </si>
  <si>
    <t>0184RCBC0676</t>
  </si>
  <si>
    <t>0184RCBC0848</t>
  </si>
  <si>
    <t>0184RCBC0819</t>
  </si>
  <si>
    <t>0184RCBC0892</t>
  </si>
  <si>
    <t>0184RCBC0878</t>
  </si>
  <si>
    <t>0184RCBC0929</t>
  </si>
  <si>
    <t>0184RCBC0927</t>
  </si>
  <si>
    <t>0184RCBC0959</t>
  </si>
  <si>
    <t>0184RCBC0941</t>
  </si>
  <si>
    <t>0184RCBC1075</t>
  </si>
  <si>
    <t>0184RCBC1043</t>
  </si>
  <si>
    <t>0184RCBC0062</t>
  </si>
  <si>
    <t>0184RCBC0092</t>
  </si>
  <si>
    <t>0184RCBC0048</t>
  </si>
  <si>
    <t>0184RCBC0140</t>
  </si>
  <si>
    <t>0184RCBC0173</t>
  </si>
  <si>
    <t>0184RCBC0103</t>
  </si>
  <si>
    <t>0184RCBC0222</t>
  </si>
  <si>
    <t>0184RCBC0198</t>
  </si>
  <si>
    <t>0184RCBC0248</t>
  </si>
  <si>
    <t>0184RCBC0511</t>
  </si>
  <si>
    <t>0184RCBC0478</t>
  </si>
  <si>
    <t>0184RCBC0587</t>
  </si>
  <si>
    <t>0184RCBC0558</t>
  </si>
  <si>
    <t>0184RCBC0655</t>
  </si>
  <si>
    <t>0184RCBC0625</t>
  </si>
  <si>
    <t>0184RCBC0735</t>
  </si>
  <si>
    <t>0184RCBC0709</t>
  </si>
  <si>
    <t>0184RCBC0858</t>
  </si>
  <si>
    <t>0184RCBC0817</t>
  </si>
  <si>
    <t>0184RCBC0978</t>
  </si>
  <si>
    <t>0184RCBC0961</t>
  </si>
  <si>
    <t>0184RCBC1076</t>
  </si>
  <si>
    <t>0184RCBC1019</t>
  </si>
  <si>
    <t>0184RCBC0072</t>
  </si>
  <si>
    <t>0184RCBC0093</t>
  </si>
  <si>
    <t>0184RCBC0033</t>
  </si>
  <si>
    <t>0184RCBC0146</t>
  </si>
  <si>
    <t>0184RCBC0174</t>
  </si>
  <si>
    <t>0184RCBC0120</t>
  </si>
  <si>
    <t>0184RCBC0230</t>
  </si>
  <si>
    <t>0184RCBC0202</t>
  </si>
  <si>
    <t>0184RCBC0529</t>
  </si>
  <si>
    <t>0184RCBC0488</t>
  </si>
  <si>
    <t>0184RCBC0594</t>
  </si>
  <si>
    <t>0184RCBC0550</t>
  </si>
  <si>
    <t>0184RCBC0638</t>
  </si>
  <si>
    <t>Foi necessário utilizar 0,5m3 do carro de romaneio 15954 para finalizar a casa 6 da QD M. Após o início do lançamento de concreto do romaneio 15955 o mangote entupiu novamente.</t>
  </si>
  <si>
    <t>0184RCBC0614</t>
  </si>
  <si>
    <t>0184RCBC0692</t>
  </si>
  <si>
    <t>0184RCBC0679</t>
  </si>
  <si>
    <t>0184RCBC0736</t>
  </si>
  <si>
    <t>0184RCBC0846</t>
  </si>
  <si>
    <t>0184RCBC0821</t>
  </si>
  <si>
    <t>0184RCBC0868</t>
  </si>
  <si>
    <t>0184RCBC0879</t>
  </si>
  <si>
    <t>0184RCBC0957</t>
  </si>
  <si>
    <t>0184RCBC0942</t>
  </si>
  <si>
    <t>0184RCBC1077</t>
  </si>
  <si>
    <t>0184RCBC1044</t>
  </si>
  <si>
    <t>0184RCBC0070</t>
  </si>
  <si>
    <t>0184RCBC0028</t>
  </si>
  <si>
    <t>0184RCBC0141</t>
  </si>
  <si>
    <t>0184RCBC0104</t>
  </si>
  <si>
    <t>0184RCBC0162</t>
  </si>
  <si>
    <t>0184RCBC0223</t>
  </si>
  <si>
    <t>FOI UTILIZADO 3,5M PARA FINALIZAR A QUADRA L CASA 18</t>
  </si>
  <si>
    <t>0184RCBC0199</t>
  </si>
  <si>
    <t>0184RCBC0249</t>
  </si>
  <si>
    <t>0184RCBC0513</t>
  </si>
  <si>
    <t>0184RCBC0479</t>
  </si>
  <si>
    <t>0184RCBC0588</t>
  </si>
  <si>
    <t>0184RCBC0559</t>
  </si>
  <si>
    <t>0184RCBC0658</t>
  </si>
  <si>
    <t>0184RCBC0626</t>
  </si>
  <si>
    <t>0184RCBC0733</t>
  </si>
  <si>
    <t>0184RCBC0700</t>
  </si>
  <si>
    <t>0,5m³ de concreto foi solicitado para executar fundo de PV esgoto, rua 2</t>
  </si>
  <si>
    <t>0184RCBC0859</t>
  </si>
  <si>
    <t>0184RCBC0820</t>
  </si>
  <si>
    <t>0184RCBC0979</t>
  </si>
  <si>
    <t>18;43</t>
  </si>
  <si>
    <t>0184RCBC0962</t>
  </si>
  <si>
    <t>0184RCBC1078</t>
  </si>
  <si>
    <t>0184RCBC1020</t>
  </si>
  <si>
    <t>0184RCBC0067</t>
  </si>
  <si>
    <t>0184RCBC0094</t>
  </si>
  <si>
    <t>0184RCBC0043</t>
  </si>
  <si>
    <t>0184RCBC0145</t>
  </si>
  <si>
    <t>0184RCBC0175</t>
  </si>
  <si>
    <t>0184RCBC0121</t>
  </si>
  <si>
    <t>0184RCBC0229</t>
  </si>
  <si>
    <t>0184RCBC0200</t>
  </si>
  <si>
    <t>0184RCBC0531</t>
  </si>
  <si>
    <t>0184RCBC0489</t>
  </si>
  <si>
    <t>0184RCBC0593</t>
  </si>
  <si>
    <t>0184RCBC0545</t>
  </si>
  <si>
    <t>0184RCBC0643</t>
  </si>
  <si>
    <t>O romaneio de número 16011 não deve ser cobrado pois trata-se de um complemento.</t>
  </si>
  <si>
    <t>0184RCBC0616</t>
  </si>
  <si>
    <t>0184RCBC0690</t>
  </si>
  <si>
    <t>0184RCBC0680</t>
  </si>
  <si>
    <t>0184RCBC0737</t>
  </si>
  <si>
    <t>0184RCBC0844</t>
  </si>
  <si>
    <t>0184RCBC0822</t>
  </si>
  <si>
    <t>0184RCBC0889</t>
  </si>
  <si>
    <t>0184RCBC0880</t>
  </si>
  <si>
    <t>0184RCBC0980</t>
  </si>
  <si>
    <t>0184RCBC0943</t>
  </si>
  <si>
    <t>0184RCBC1079</t>
  </si>
  <si>
    <t>0184RCBC1045</t>
  </si>
  <si>
    <t>0184RCBC0063</t>
  </si>
  <si>
    <t>0184RCBC0095</t>
  </si>
  <si>
    <t>0184RCBC0034</t>
  </si>
  <si>
    <t>0184RCBC0142</t>
  </si>
  <si>
    <t>0184RCBC0105</t>
  </si>
  <si>
    <t>0184RCBC0163</t>
  </si>
  <si>
    <t>0184RCBC0224</t>
  </si>
  <si>
    <t>0184RCBC0203</t>
  </si>
  <si>
    <t>0184RCBC0250</t>
  </si>
  <si>
    <t>0184RCBC0515</t>
  </si>
  <si>
    <t>0184RCBC0539</t>
  </si>
  <si>
    <t>0184RCBC0589</t>
  </si>
  <si>
    <t>0184RCBC0555</t>
  </si>
  <si>
    <t>0184RCBC0660</t>
  </si>
  <si>
    <t>0184RCBC0629</t>
  </si>
  <si>
    <t>0184RCBC0731</t>
  </si>
  <si>
    <t>0184RCBC0701</t>
  </si>
  <si>
    <t>0184RCBC0862</t>
  </si>
  <si>
    <t>0184RCBC0830</t>
  </si>
  <si>
    <t>0184RCBC0981</t>
  </si>
  <si>
    <t>0184RCBC0963</t>
  </si>
  <si>
    <t>0184RCBC1080</t>
  </si>
  <si>
    <t>0184RCBC1021</t>
  </si>
  <si>
    <t>0184RCBC0144</t>
  </si>
  <si>
    <t>0184RCBC0165</t>
  </si>
  <si>
    <t>0184RCBC0122</t>
  </si>
  <si>
    <t>0184RCBC0228</t>
  </si>
  <si>
    <t>0184RCBC0201</t>
  </si>
  <si>
    <t>0184RCBC0536</t>
  </si>
  <si>
    <t>0184RCBC0490</t>
  </si>
  <si>
    <t>0184RCBC0592</t>
  </si>
  <si>
    <t>0184RCBC0546</t>
  </si>
  <si>
    <t>0184RCBC0650</t>
  </si>
  <si>
    <t>0,5m³ do romaneio 16045 foi utilizado para completar a forma de parede da casa 12, Qd. M</t>
  </si>
  <si>
    <t>0184RCBC0620</t>
  </si>
  <si>
    <t>0184RCBC0687</t>
  </si>
  <si>
    <t>O concreto referente as notas 12359 e 12360 não pôde ser usado na casa 25, qd N devido as más condições do acesso que fizeram com que o caminhão atolasse diversas vezes. O concreto foi utilizado em melhorias para o acesso.</t>
  </si>
  <si>
    <t>0184RCBC0681</t>
  </si>
  <si>
    <t>0184RCBC0738</t>
  </si>
  <si>
    <t>0184RCBC0842</t>
  </si>
  <si>
    <t>0184RCBC0823</t>
  </si>
  <si>
    <t>0184RCBC0982</t>
  </si>
  <si>
    <t>0184RCBC0944</t>
  </si>
  <si>
    <t>Neste dia foi planejado a concretagem de 6 radiers de casas tipo 2, no entanto um deles deu borrachudo então parte do concreto foi cancelada e outra parte que já havia sido enviada foi utilizada para concretagem de tampa de PV</t>
  </si>
  <si>
    <t>0184RCBC1081</t>
  </si>
  <si>
    <t>0184RCBC1046</t>
  </si>
  <si>
    <t>0184RCBC0143</t>
  </si>
  <si>
    <t>0184RCBC0106</t>
  </si>
  <si>
    <t>0184RCBC0164</t>
  </si>
  <si>
    <t>0184RCBC0225</t>
  </si>
  <si>
    <t>0184RCBC0204</t>
  </si>
  <si>
    <t>0184RCBC0251</t>
  </si>
  <si>
    <t>0184RCBC0540</t>
  </si>
  <si>
    <t>0184RCBC0535</t>
  </si>
  <si>
    <t>0184RCBC0590</t>
  </si>
  <si>
    <t>0184RCBC0556</t>
  </si>
  <si>
    <t>0184RCBC0662</t>
  </si>
  <si>
    <t>0184RCBC0644</t>
  </si>
  <si>
    <t>0184RCBC0729</t>
  </si>
  <si>
    <t>0184RCBC0702</t>
  </si>
  <si>
    <t>0184RCBC0863</t>
  </si>
  <si>
    <t>0184RCBC0831</t>
  </si>
  <si>
    <t>0184RCBC0986</t>
  </si>
  <si>
    <t>0184RCBC0965</t>
  </si>
  <si>
    <t>0184RCBC1082</t>
  </si>
  <si>
    <t>0184RCBC1022</t>
  </si>
  <si>
    <t>0184RCBC0134</t>
  </si>
  <si>
    <t>0184RCBC0166</t>
  </si>
  <si>
    <t>0184RCBC0123</t>
  </si>
  <si>
    <t>0184RCBC0227</t>
  </si>
  <si>
    <t>0184RCBC0205</t>
  </si>
  <si>
    <t>0184RCBC0534</t>
  </si>
  <si>
    <t>0184RCBC0491</t>
  </si>
  <si>
    <t>0184RCBC0591</t>
  </si>
  <si>
    <t>0184RCBC0547</t>
  </si>
  <si>
    <t>0184RCBC0652</t>
  </si>
  <si>
    <t>0184RCBC0621</t>
  </si>
  <si>
    <t>0184RCBC0686</t>
  </si>
  <si>
    <t>0184RCBC0682</t>
  </si>
  <si>
    <t>0184RCBC0739</t>
  </si>
  <si>
    <t>0184RCBC0840</t>
  </si>
  <si>
    <t>0184RCBC0824</t>
  </si>
  <si>
    <t>0184RCBC0884</t>
  </si>
  <si>
    <t>0184RCBC0882</t>
  </si>
  <si>
    <t>0184RCBC0987</t>
  </si>
  <si>
    <t>0184RCBC0945</t>
  </si>
  <si>
    <t>0184RCBC1083</t>
  </si>
  <si>
    <t>0184RCBC1047</t>
  </si>
  <si>
    <t>0184RCBC0132</t>
  </si>
  <si>
    <t>0184RCBC0167</t>
  </si>
  <si>
    <t>0184RCBC0124</t>
  </si>
  <si>
    <t>0184RCBC0226</t>
  </si>
  <si>
    <t>0184RCBC0206</t>
  </si>
  <si>
    <t>0184RCBC0252</t>
  </si>
  <si>
    <t>0184RCBC0517</t>
  </si>
  <si>
    <t>0184RCBC0499</t>
  </si>
  <si>
    <t>0184RCBC0664</t>
  </si>
  <si>
    <t>0184RCBC0639</t>
  </si>
  <si>
    <t>0184RCBC0727</t>
  </si>
  <si>
    <t>0184RCBC0703</t>
  </si>
  <si>
    <t>0184RCBC0864</t>
  </si>
  <si>
    <t>0184RCBC0827</t>
  </si>
  <si>
    <t>0184RCBC0991</t>
  </si>
  <si>
    <t>0184RCBC0966</t>
  </si>
  <si>
    <t>0184RCBC1084</t>
  </si>
  <si>
    <t>0184RCBC1023</t>
  </si>
  <si>
    <t>0184RCBC0129</t>
  </si>
  <si>
    <t>0184RCBC0168</t>
  </si>
  <si>
    <t>0184RCBC0125</t>
  </si>
  <si>
    <t>0184RCBC0214</t>
  </si>
  <si>
    <t>0184RCBC0207</t>
  </si>
  <si>
    <t>0184RCBC0533</t>
  </si>
  <si>
    <t>0184RCBC0492</t>
  </si>
  <si>
    <t>0184RCBC0654</t>
  </si>
  <si>
    <t>0184RCBC0622</t>
  </si>
  <si>
    <t>0184RCBC0717</t>
  </si>
  <si>
    <t>0184RCBC0683</t>
  </si>
  <si>
    <t>0184RCBC0740</t>
  </si>
  <si>
    <t>0184RCBC0867</t>
  </si>
  <si>
    <t>0184RCBC0825</t>
  </si>
  <si>
    <t>0184RCBC0992</t>
  </si>
  <si>
    <t>0184RCBC0956</t>
  </si>
  <si>
    <t>0184RCBC1085</t>
  </si>
  <si>
    <t>0184RCBC1048</t>
  </si>
  <si>
    <t>0184RCBC0127</t>
  </si>
  <si>
    <t>0184RCBC0169</t>
  </si>
  <si>
    <t>0184RCBC0097</t>
  </si>
  <si>
    <t>0184RCBC0213</t>
  </si>
  <si>
    <t>0184RCBC0208</t>
  </si>
  <si>
    <t>0184RCBC0519</t>
  </si>
  <si>
    <t>0184RCBC0500</t>
  </si>
  <si>
    <t>0184RCBC0666</t>
  </si>
  <si>
    <t>0184RCBC0645</t>
  </si>
  <si>
    <t>0184RCBC0725</t>
  </si>
  <si>
    <t>0184RCBC0704</t>
  </si>
  <si>
    <t>0184RCBC0838</t>
  </si>
  <si>
    <t>0184RCBC0826</t>
  </si>
  <si>
    <t>0184RCBC0993</t>
  </si>
  <si>
    <t>0184RCBC0983</t>
  </si>
  <si>
    <t>0184RCBC1086</t>
  </si>
  <si>
    <t>0184RCBC1024</t>
  </si>
  <si>
    <t>0184RCBC0212</t>
  </si>
  <si>
    <t>0184RCBC0209</t>
  </si>
  <si>
    <t>0184RCBC0532</t>
  </si>
  <si>
    <t>0184RCBC0493</t>
  </si>
  <si>
    <t>0184RCBC0657</t>
  </si>
  <si>
    <t>0184RCBC0632</t>
  </si>
  <si>
    <t>0184RCBC0722</t>
  </si>
  <si>
    <t>0184RCBC0705</t>
  </si>
  <si>
    <t>0184RCBC0836</t>
  </si>
  <si>
    <t>0184RCBC0828</t>
  </si>
  <si>
    <t>0184RCBC0994</t>
  </si>
  <si>
    <t>0184RCBC0946</t>
  </si>
  <si>
    <t>0184RCBC1087</t>
  </si>
  <si>
    <t>0184RCBC1049</t>
  </si>
  <si>
    <t>0184RCBC0211</t>
  </si>
  <si>
    <t>0184RCBC0210</t>
  </si>
  <si>
    <t>0184RCBC0521</t>
  </si>
  <si>
    <t>0184RCBC0494</t>
  </si>
  <si>
    <t>0184RCBC0659</t>
  </si>
  <si>
    <t>O romaneio de número 16224 trata-se de um complemento.</t>
  </si>
  <si>
    <t>0184RCBC0633</t>
  </si>
  <si>
    <t>0184RCBC0721</t>
  </si>
  <si>
    <t>0184RCBC0698</t>
  </si>
  <si>
    <t>0184RCBC0832</t>
  </si>
  <si>
    <t>0184RCBC0829</t>
  </si>
  <si>
    <t>0184RCBC0996</t>
  </si>
  <si>
    <t>0184RCBC0984</t>
  </si>
  <si>
    <t>0184RCBC1088</t>
  </si>
  <si>
    <t>0184RCBC1025</t>
  </si>
  <si>
    <t>0184RCBC0530</t>
  </si>
  <si>
    <t>0184RCBC0495</t>
  </si>
  <si>
    <t>0184RCBC0661</t>
  </si>
  <si>
    <t>O romaneio de número 16266 trata-se de um complemento.</t>
  </si>
  <si>
    <t>0184RCBC0640</t>
  </si>
  <si>
    <t>0184RCBC0720</t>
  </si>
  <si>
    <t>0184RCBC0699</t>
  </si>
  <si>
    <t>0184RCBC0995</t>
  </si>
  <si>
    <t>0184RCBC0947</t>
  </si>
  <si>
    <t>0184RCBC1089</t>
  </si>
  <si>
    <t>A última nota se refere somente ao bombeamento de concreto</t>
  </si>
  <si>
    <t>0184RCBC1053</t>
  </si>
  <si>
    <t>0184RCBC0523</t>
  </si>
  <si>
    <t>0184RCBC0496</t>
  </si>
  <si>
    <t>0184RCBC0663</t>
  </si>
  <si>
    <t>0184RCBC0646</t>
  </si>
  <si>
    <t>0184RCBC0741</t>
  </si>
  <si>
    <t>0184RCBC0715</t>
  </si>
  <si>
    <t>Concreto não deu para finalizar o radier pois parte dele foi utilizado para completar a casa 2, qd. N.</t>
  </si>
  <si>
    <t>0184RCBC0998</t>
  </si>
  <si>
    <t>0184RCBC0988</t>
  </si>
  <si>
    <t>0184RCBC1090</t>
  </si>
  <si>
    <t>0184RCBC1026</t>
  </si>
  <si>
    <t>0184RCBC0528</t>
  </si>
  <si>
    <t>0184RCBC0497</t>
  </si>
  <si>
    <t>0184RCBC0665</t>
  </si>
  <si>
    <t>0184RCBC0647</t>
  </si>
  <si>
    <t>0184RCBC0997</t>
  </si>
  <si>
    <t>0184RCBC0948</t>
  </si>
  <si>
    <t>0184RCBC1091</t>
  </si>
  <si>
    <t>0184RCBC1066</t>
  </si>
  <si>
    <t>0184RCBC0525</t>
  </si>
  <si>
    <t>0184RCBC0498</t>
  </si>
  <si>
    <t>0184RCBC0667</t>
  </si>
  <si>
    <t>0184RCBC0634</t>
  </si>
  <si>
    <t>0184RCBC0887</t>
  </si>
  <si>
    <t>0184RCBC0881</t>
  </si>
  <si>
    <t>0184RCBC0999</t>
  </si>
  <si>
    <t>0184RCBC0989</t>
  </si>
  <si>
    <t>0184RCBC1092</t>
  </si>
  <si>
    <t>0184RCBC1027</t>
  </si>
  <si>
    <t>0184RCBC0668</t>
  </si>
  <si>
    <t>0184RCBC0648</t>
  </si>
  <si>
    <t>0184RCBC1001</t>
  </si>
  <si>
    <t>0184RCBC0990</t>
  </si>
  <si>
    <t>Os radiers do dia 26 foram aterrados com areia média, o que ocasionou o desvio no volume de concreto</t>
  </si>
  <si>
    <t>0184RCBC1093</t>
  </si>
  <si>
    <t>0184RCBC1067</t>
  </si>
  <si>
    <t>0184RCBC1000</t>
  </si>
  <si>
    <t>0184RCBC0985</t>
  </si>
  <si>
    <t>Os radiers do dia 24 foram aterrados com areia média, o que ocasionou o desvio no volume de concreto</t>
  </si>
  <si>
    <t>0184RCBC1095</t>
  </si>
  <si>
    <t>0184RCBC1028</t>
  </si>
  <si>
    <t>0184RCBC1096</t>
  </si>
  <si>
    <t>0184RCBC1068</t>
  </si>
  <si>
    <t>0184RCBC1097</t>
  </si>
  <si>
    <t>0184RCBC1029</t>
  </si>
  <si>
    <t>0184RCBC1098</t>
  </si>
  <si>
    <t>0184RCBC1069</t>
  </si>
  <si>
    <t>0184RCBC1099</t>
  </si>
  <si>
    <t>0184RCBC1030</t>
  </si>
  <si>
    <t>0184RCBC1104</t>
  </si>
  <si>
    <t>0184RCBC1070</t>
  </si>
  <si>
    <t>0184RCBC1100</t>
  </si>
  <si>
    <t>0184RCBC1031</t>
  </si>
  <si>
    <t>0184RCBC1103</t>
  </si>
  <si>
    <t>0184RCBC1071</t>
  </si>
  <si>
    <t>0184RCBC1101</t>
  </si>
  <si>
    <t>0184RCBC1032</t>
  </si>
  <si>
    <t>0184RCBC1102</t>
  </si>
  <si>
    <t>0184RCBC1033</t>
  </si>
  <si>
    <t>0184RCBC1094</t>
  </si>
  <si>
    <t>O radier foi demolido e concretado novamente devido a apresentação de fissuras devido ao recalque do solo</t>
  </si>
  <si>
    <t>0184RCBC0537</t>
  </si>
  <si>
    <t>1</t>
  </si>
  <si>
    <t>15:25:00</t>
  </si>
  <si>
    <t>0184RCBC1105</t>
  </si>
  <si>
    <t>0184RCBC1106</t>
  </si>
  <si>
    <t>0184RCBC1107</t>
  </si>
  <si>
    <t>0184RCBC1108</t>
  </si>
  <si>
    <t>0184RCBC1109</t>
  </si>
  <si>
    <t>0184RCBC1110</t>
  </si>
  <si>
    <t>0184RCBC1111</t>
  </si>
  <si>
    <t>0184RCBC1112</t>
  </si>
  <si>
    <t>0184RCBC1113</t>
  </si>
  <si>
    <t>0184RCBC1114</t>
  </si>
  <si>
    <t>0184RCBC1115</t>
  </si>
  <si>
    <t>0184RCBC1116</t>
  </si>
  <si>
    <t>0184RCBC1117</t>
  </si>
  <si>
    <t>0184RCBC1118</t>
  </si>
  <si>
    <t>0184RCBC1119</t>
  </si>
  <si>
    <t>0184RCBC1120</t>
  </si>
  <si>
    <t>0184RCBC1121</t>
  </si>
  <si>
    <t>0184RCBC1122</t>
  </si>
  <si>
    <t>0184RCBC1123</t>
  </si>
  <si>
    <t>0184RCBC1124</t>
  </si>
  <si>
    <t>0184RCBC1125</t>
  </si>
  <si>
    <t>0184RCBC1126</t>
  </si>
  <si>
    <t>0184RCBC1127</t>
  </si>
  <si>
    <t>0184RCBC1128</t>
  </si>
  <si>
    <t>0184RCBC1129</t>
  </si>
  <si>
    <t>0184RCBC1130</t>
  </si>
  <si>
    <t>0184RCBC1131</t>
  </si>
  <si>
    <t>0184RCBC1132</t>
  </si>
  <si>
    <t>0184RCBC1133</t>
  </si>
  <si>
    <t>0184RCBC1134</t>
  </si>
  <si>
    <t>0184RCBC1135</t>
  </si>
  <si>
    <t>0184RCBC1136</t>
  </si>
  <si>
    <t>0184RCBC1137</t>
  </si>
  <si>
    <t>0184RCBC1138</t>
  </si>
  <si>
    <t>0184RCBC1139</t>
  </si>
  <si>
    <t>0184RCBC1140</t>
  </si>
  <si>
    <t>0184RCBC1141</t>
  </si>
  <si>
    <t>0184RCBC1142</t>
  </si>
  <si>
    <t>0184RCBC1143</t>
  </si>
  <si>
    <t>0184RCBC1144</t>
  </si>
  <si>
    <t>0184RCBC1145</t>
  </si>
  <si>
    <t>0184RCBC1146</t>
  </si>
  <si>
    <t>0184RCBC1147</t>
  </si>
  <si>
    <t>0184RCBC1148</t>
  </si>
  <si>
    <t>0184RCBC1149</t>
  </si>
  <si>
    <t>0184RCBC1150</t>
  </si>
  <si>
    <t>0184RCBC1151</t>
  </si>
  <si>
    <t>0184RCBC1152</t>
  </si>
  <si>
    <t>0184RCBC1153</t>
  </si>
  <si>
    <t>0184RCBC1154</t>
  </si>
  <si>
    <t>0184RCBC1155</t>
  </si>
  <si>
    <t>0184RCBC1156</t>
  </si>
  <si>
    <t>0184RCBC1157</t>
  </si>
  <si>
    <t>0184RCBC1158</t>
  </si>
  <si>
    <t>0184RCBC1159</t>
  </si>
  <si>
    <t>0184RCBC1160</t>
  </si>
  <si>
    <t>0184RCBC1161</t>
  </si>
  <si>
    <t>0184RCBC1162</t>
  </si>
  <si>
    <t>0184RCBC1163</t>
  </si>
  <si>
    <t>0184RCBC1164</t>
  </si>
  <si>
    <t>0184RCBC1165</t>
  </si>
  <si>
    <t>0184RCBC1166</t>
  </si>
  <si>
    <t>0184RCBC1167</t>
  </si>
  <si>
    <t>0184RCBC1168</t>
  </si>
  <si>
    <t>0184RCBC1169</t>
  </si>
  <si>
    <t>0184RCBC1170</t>
  </si>
  <si>
    <t>0184RCBC1171</t>
  </si>
  <si>
    <t>0184RCBC1172</t>
  </si>
  <si>
    <t>0184RCBC1173</t>
  </si>
  <si>
    <t>0184RCBC1174</t>
  </si>
  <si>
    <t>0184RCBC1175</t>
  </si>
  <si>
    <t>0184RCBC1176</t>
  </si>
  <si>
    <t>0184RCBC1177</t>
  </si>
  <si>
    <t>0184RCBC1178</t>
  </si>
  <si>
    <t>0184RCBC1179</t>
  </si>
  <si>
    <t>0184RCBC1180</t>
  </si>
  <si>
    <t>0184RCBC1181</t>
  </si>
  <si>
    <t>0184RCBC1182</t>
  </si>
  <si>
    <t>0184RCBC1183</t>
  </si>
  <si>
    <t>0184RCBC1184</t>
  </si>
  <si>
    <t>0184RCBC1185</t>
  </si>
  <si>
    <t>0184RCBC1186</t>
  </si>
  <si>
    <t>0184RCBC1187</t>
  </si>
  <si>
    <t>0184RCBC1188</t>
  </si>
  <si>
    <t>0184RCBC1189</t>
  </si>
  <si>
    <t>0184RCBC1190</t>
  </si>
  <si>
    <t>0184RCBC1191</t>
  </si>
  <si>
    <t>0184RCBC1192</t>
  </si>
  <si>
    <t>0184RCBC1193</t>
  </si>
  <si>
    <t>0184RCBC1194</t>
  </si>
  <si>
    <t>0184RCBC1195</t>
  </si>
  <si>
    <t>0184RCBC1196</t>
  </si>
  <si>
    <t>0184RCBC1197</t>
  </si>
  <si>
    <t>0184RCBC1198</t>
  </si>
  <si>
    <t>0184RCBC1199</t>
  </si>
  <si>
    <t>0184RCBC1200</t>
  </si>
  <si>
    <t>0184RCBC1201</t>
  </si>
  <si>
    <t>0184RCBC1202</t>
  </si>
  <si>
    <t>0184RCBC1203</t>
  </si>
  <si>
    <t>0184RCBC1204</t>
  </si>
  <si>
    <t>ResistênciaID</t>
  </si>
  <si>
    <t>FCK</t>
  </si>
  <si>
    <t>Resistência (Mpa)</t>
  </si>
  <si>
    <t>Conformidade</t>
  </si>
  <si>
    <t>Obras</t>
  </si>
  <si>
    <t>Concatenar</t>
  </si>
  <si>
    <t>Casa</t>
  </si>
  <si>
    <t>Quadra</t>
  </si>
  <si>
    <t>Tipo</t>
  </si>
  <si>
    <t>Código</t>
  </si>
  <si>
    <t>Destinos</t>
  </si>
  <si>
    <t>Concreto auto-adensável fck: 15 Mpa</t>
  </si>
  <si>
    <t>(0150) Barra Sul</t>
  </si>
  <si>
    <t>Concreto auto-adensável fck: 20 MPa</t>
  </si>
  <si>
    <t>(0171) Be Lifeclub 2</t>
  </si>
  <si>
    <t>Concreto auto-adensável fck: 25 MPa</t>
  </si>
  <si>
    <t>Concreto usinado fck: 10 MPa</t>
  </si>
  <si>
    <t>Concreto usinado fck: 20 MPa</t>
  </si>
  <si>
    <t>Concreto usinado fck: 25 MPa</t>
  </si>
  <si>
    <t>Concreto usinado fck: 30 MPa</t>
  </si>
  <si>
    <t>Calçada</t>
  </si>
  <si>
    <t>Único</t>
  </si>
  <si>
    <t>Infraestrutura</t>
  </si>
  <si>
    <t>Concreto manual fck: 10 MPa</t>
  </si>
  <si>
    <t>Sarjeta</t>
  </si>
  <si>
    <t>Concreto manual fck:15 MPa</t>
  </si>
  <si>
    <t>Poços de Visita</t>
  </si>
  <si>
    <t>Argamassa usinada</t>
  </si>
  <si>
    <t>Caixa de Recepção</t>
  </si>
  <si>
    <t>Taxa de bomba</t>
  </si>
  <si>
    <t>Canal de Drenagem</t>
  </si>
  <si>
    <t>Ala de Recepção</t>
  </si>
  <si>
    <t>Caixa de Inspeção</t>
  </si>
  <si>
    <t>Acesso a EEE</t>
  </si>
  <si>
    <t>Reservatório</t>
  </si>
  <si>
    <t>Comunitário</t>
  </si>
  <si>
    <t>Guarita</t>
  </si>
  <si>
    <t>Salão de Festa</t>
  </si>
  <si>
    <t>Churrasqueira Dupla</t>
  </si>
  <si>
    <t>Quiosque Gourmet</t>
  </si>
  <si>
    <t>Churrasqueria com Pergolado</t>
  </si>
  <si>
    <t>Projetado (m³)</t>
  </si>
  <si>
    <t>Login</t>
  </si>
  <si>
    <t>Senha</t>
  </si>
  <si>
    <t>deSousa!996</t>
  </si>
  <si>
    <t>eugeniocoutinho</t>
  </si>
  <si>
    <t>Hus07468</t>
  </si>
  <si>
    <t>joaojunior</t>
  </si>
  <si>
    <t>ludymillasantos</t>
  </si>
  <si>
    <t>carolinaguimaraes</t>
  </si>
  <si>
    <t>adaltorabelo</t>
  </si>
  <si>
    <t>amorim#2023</t>
  </si>
  <si>
    <t>0184CNSC1204</t>
  </si>
  <si>
    <t>FCK1</t>
  </si>
  <si>
    <t>0,00</t>
  </si>
  <si>
    <t>0184CNSC1172</t>
  </si>
  <si>
    <t>1,00</t>
  </si>
  <si>
    <t>FCK3</t>
  </si>
  <si>
    <t>7,00</t>
  </si>
  <si>
    <t>FCK7</t>
  </si>
  <si>
    <t>11,60</t>
  </si>
  <si>
    <t>FCK28</t>
  </si>
  <si>
    <t>17,40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</si>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</sst>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F400]h:mm:ss\ AM/PM"/>
    <numFmt numFmtId="167" formatCode="m/d/yyyy"/>
    <numFmt numFmtId="168" formatCode="h:mm:ss"/>
    <numFmt numFmtId="169" formatCode="dd/mm/yyyy\ hh:mm:ss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/>
    <xf numFmtId="1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/>
    </xf>
    <xf numFmtId="2" fontId="1" fillId="0" borderId="0" xfId="1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center" wrapText="1"/>
    </xf>
    <xf numFmtId="165" fontId="2" fillId="0" borderId="0" xfId="1" applyFont="1" applyAlignment="1">
      <alignment horizontal="center" vertical="center" wrapText="1"/>
    </xf>
    <xf numFmtId="165" fontId="2" fillId="0" borderId="0" xfId="1" applyFont="1" applyAlignment="1">
      <alignment horizontal="center" vertical="center"/>
    </xf>
    <xf numFmtId="165" fontId="2" fillId="0" borderId="0" xfId="1" applyFont="1" applyAlignment="1">
      <alignment horizontal="left" vertical="center" wrapText="1"/>
    </xf>
    <xf numFmtId="21" fontId="2" fillId="0" borderId="0" xfId="0" applyNumberFormat="1" applyFont="1" applyAlignment="1">
      <alignment horizontal="center" vertical="center" wrapText="1"/>
    </xf>
    <xf numFmtId="21" fontId="2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49" fontId="2" fillId="3" borderId="0" xfId="0" applyNumberFormat="1" applyFont="1" applyFill="1" applyAlignment="1">
      <alignment horizontal="center" vertical="center" wrapText="1"/>
    </xf>
    <xf numFmtId="165" fontId="2" fillId="3" borderId="0" xfId="1" applyFont="1" applyFill="1" applyAlignment="1">
      <alignment horizontal="center" vertical="center" wrapText="1"/>
    </xf>
    <xf numFmtId="165" fontId="2" fillId="3" borderId="0" xfId="1" applyFont="1" applyFill="1" applyAlignment="1">
      <alignment horizontal="center" vertical="center"/>
    </xf>
    <xf numFmtId="166" fontId="2" fillId="3" borderId="0" xfId="0" applyNumberFormat="1" applyFont="1" applyFill="1" applyAlignment="1">
      <alignment horizontal="center" vertical="center" wrapText="1"/>
    </xf>
    <xf numFmtId="166" fontId="2" fillId="3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8" fontId="2" fillId="0" borderId="0" xfId="0" applyNumberFormat="1" applyFont="1" applyAlignment="1">
      <alignment horizontal="center" vertical="center" wrapText="1"/>
    </xf>
    <xf numFmtId="169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 wrapText="1"/>
    </xf>
    <xf numFmtId="164" fontId="2" fillId="0" borderId="0" xfId="2" applyFont="1" applyAlignment="1">
      <alignment horizontal="center" vertical="center"/>
    </xf>
    <xf numFmtId="164" fontId="2" fillId="0" borderId="0" xfId="2" applyFont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5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9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h:mm:ss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9" formatCode="dd/mm/yyyy\ h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[$-F400]h:mm:ss\ AM/PM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</xdr:row>
      <xdr:rowOff>0</xdr:rowOff>
    </xdr:from>
    <xdr:to>
      <xdr:col>3</xdr:col>
      <xdr:colOff>402697</xdr:colOff>
      <xdr:row>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E481136C-C03F-9A25-9AC7-669279957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190500"/>
          <a:ext cx="1602847" cy="37147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</xdr:row>
      <xdr:rowOff>66675</xdr:rowOff>
    </xdr:from>
    <xdr:to>
      <xdr:col>8</xdr:col>
      <xdr:colOff>161925</xdr:colOff>
      <xdr:row>11</xdr:row>
      <xdr:rowOff>85725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643C382D-F069-4669-BADD-F6796FD13D61}"/>
            </a:ext>
          </a:extLst>
        </xdr:cNvPr>
        <xdr:cNvGrpSpPr/>
      </xdr:nvGrpSpPr>
      <xdr:grpSpPr>
        <a:xfrm>
          <a:off x="609600" y="1019175"/>
          <a:ext cx="4429125" cy="1162050"/>
          <a:chOff x="609600" y="1104900"/>
          <a:chExt cx="4429125" cy="1162050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5BD8963-D7E4-465D-306C-F11D05E899FE}"/>
              </a:ext>
            </a:extLst>
          </xdr:cNvPr>
          <xdr:cNvSpPr txBox="1"/>
        </xdr:nvSpPr>
        <xdr:spPr>
          <a:xfrm>
            <a:off x="609600" y="1104900"/>
            <a:ext cx="442912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200" b="1">
                <a:solidFill>
                  <a:srgbClr val="C00000"/>
                </a:solidFill>
              </a:rPr>
              <a:t>Aviso</a:t>
            </a:r>
            <a:r>
              <a:rPr lang="pt-BR" sz="1200" b="1" baseline="0">
                <a:solidFill>
                  <a:srgbClr val="C00000"/>
                </a:solidFill>
              </a:rPr>
              <a:t> do Desenvolvedor</a:t>
            </a:r>
            <a:endParaRPr lang="pt-BR" sz="1200" b="1">
              <a:solidFill>
                <a:srgbClr val="C00000"/>
              </a:solidFill>
            </a:endParaRPr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F3DA44C6-299A-640E-44FD-30A5C51351EE}"/>
              </a:ext>
            </a:extLst>
          </xdr:cNvPr>
          <xdr:cNvSpPr txBox="1"/>
        </xdr:nvSpPr>
        <xdr:spPr>
          <a:xfrm>
            <a:off x="609600" y="1409700"/>
            <a:ext cx="4429125" cy="8572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>
                <a:solidFill>
                  <a:schemeClr val="bg1">
                    <a:lumMod val="65000"/>
                  </a:schemeClr>
                </a:solidFill>
              </a:rPr>
              <a:t>O</a:t>
            </a:r>
            <a:r>
              <a:rPr lang="pt-BR" sz="1100" baseline="0">
                <a:solidFill>
                  <a:schemeClr val="bg1">
                    <a:lumMod val="65000"/>
                  </a:schemeClr>
                </a:solidFill>
              </a:rPr>
              <a:t> software foi criado com o objetivo de minimizar os erros na base de dados e por isso a edição via Excel foi bloqueada. Caso algum erro tenha sido digitado, por favor solicite a alteração da equipe responsável para que não haja problemas na programação do código.</a:t>
            </a:r>
          </a:p>
        </xdr:txBody>
      </xdr:sp>
    </xdr:grpSp>
    <xdr:clientData/>
  </xdr:twoCellAnchor>
  <xdr:twoCellAnchor>
    <xdr:from>
      <xdr:col>5</xdr:col>
      <xdr:colOff>295275</xdr:colOff>
      <xdr:row>2</xdr:row>
      <xdr:rowOff>9525</xdr:rowOff>
    </xdr:from>
    <xdr:to>
      <xdr:col>8</xdr:col>
      <xdr:colOff>171451</xdr:colOff>
      <xdr:row>4</xdr:row>
      <xdr:rowOff>0</xdr:rowOff>
    </xdr:to>
    <xdr:sp macro="[0]!ReturnWelcomeScreen" textlink="">
      <xdr:nvSpPr>
        <xdr:cNvPr id="3" name="CaixaDeTexto 2">
          <a:extLst>
            <a:ext uri="{FF2B5EF4-FFF2-40B4-BE49-F238E27FC236}">
              <a16:creationId xmlns:a16="http://schemas.microsoft.com/office/drawing/2014/main" id="{7AF3CA93-FC49-A7B2-198F-CFB81C9075B8}"/>
            </a:ext>
          </a:extLst>
        </xdr:cNvPr>
        <xdr:cNvSpPr txBox="1"/>
      </xdr:nvSpPr>
      <xdr:spPr>
        <a:xfrm>
          <a:off x="3343275" y="390525"/>
          <a:ext cx="1704976" cy="371475"/>
        </a:xfrm>
        <a:prstGeom prst="rect">
          <a:avLst/>
        </a:prstGeom>
        <a:solidFill>
          <a:srgbClr val="C0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Retornar</a:t>
          </a:r>
          <a:r>
            <a:rPr lang="pt-BR" sz="1100" b="1" baseline="0">
              <a:solidFill>
                <a:schemeClr val="bg1"/>
              </a:solidFill>
            </a:rPr>
            <a:t> ao Software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A905AC-89D0-46C6-B667-1B948B8E9285}" name="RecebimentoConcreto" displayName="RecebimentoConcreto" ref="A1:T1205" totalsRowShown="0" headerRowDxfId="55" dataDxfId="54">
  <autoFilter ref="A1:T1205" xr:uid="{98A905AC-89D0-46C6-B667-1B948B8E9285}">
    <filterColumn colId="1">
      <filters>
        <filter val="754"/>
        <filter val="759"/>
      </filters>
    </filterColumn>
  </autoFilter>
  <sortState xmlns:xlrd2="http://schemas.microsoft.com/office/spreadsheetml/2017/richdata2" ref="A2:T1205">
    <sortCondition ref="N1:N1205"/>
  </sortState>
  <tableColumns count="20">
    <tableColumn id="9" xr3:uid="{52056AE0-1594-4E3B-B336-A1D3AEAF81B9}" name="RecebimentoID" dataDxfId="53">
      <calculatedColumnFormula>CONCATENATE(RIGHT(LEFT(RecebimentoConcreto[[#This Row],[Obra]],5),4),"RCBC",TEXT(RecebimentoConcreto[[#This Row],[Ordem]],"0000"))</calculatedColumnFormula>
    </tableColumn>
    <tableColumn id="15" xr3:uid="{A7411C7A-F1C0-47C8-B688-3101E87C6680}" name="Ordem" dataDxfId="52"/>
    <tableColumn id="1" xr3:uid="{3FE1DD3C-1179-4CB2-8609-C8961A11D6C7}" name="Obra" dataDxfId="51"/>
    <tableColumn id="4" xr3:uid="{686AB204-BA1B-4B82-ACD4-881964BCB1CC}" name="Data" dataDxfId="50"/>
    <tableColumn id="2" xr3:uid="{67803DA2-210E-4B99-B049-60AE7999C16E}" name="Caminhão" dataDxfId="49"/>
    <tableColumn id="3" xr3:uid="{F0963789-608E-4769-982D-F768D370ACD7}" name="Lacre" dataDxfId="48"/>
    <tableColumn id="13" xr3:uid="{BD2A05FF-42B5-4AF1-950C-9AA24E662246}" name="Número" dataDxfId="47"/>
    <tableColumn id="16" xr3:uid="{BDE9C455-769F-4B9F-B21C-338EBEA03123}" name="Nota de Remessa" dataDxfId="46"/>
    <tableColumn id="5" xr3:uid="{70023F40-0502-462B-91CD-D246AD078B95}" name="Horário de Saída da Usina" dataDxfId="45"/>
    <tableColumn id="6" xr3:uid="{E9B15193-B695-4D66-AAB5-43FBF8E070F4}" name="Início do Bombeamento" dataDxfId="44"/>
    <tableColumn id="7" xr3:uid="{8CCC926A-83CF-490F-8039-2E6E9CD65B2B}" name="Fim do Bombeamento" dataDxfId="43">
      <calculatedColumnFormula>_xlfn.MAXIFS(ConsumoConcreto[Fim do Bombeamento],ConsumoConcreto[RecebimentoID],RecebimentoConcreto[[#This Row],[RecebimentoID]])</calculatedColumnFormula>
    </tableColumn>
    <tableColumn id="8" xr3:uid="{0CF035BB-F1D7-433C-9BFE-B460922B2572}" name="Slump (mm)" dataDxfId="42"/>
    <tableColumn id="10" xr3:uid="{999A4C47-F306-4226-8C11-4E86947C99F4}" name="Data do Cadastro" dataDxfId="41"/>
    <tableColumn id="11" xr3:uid="{EE744FEA-E859-4512-AF5D-23CDD8FF9EFF}" name="Insumo" dataDxfId="40"/>
    <tableColumn id="12" xr3:uid="{398CFD2A-0A1D-42BC-8701-8AE94B66FB87}" name="Quantidade" dataDxfId="39"/>
    <tableColumn id="14" xr3:uid="{55416BF0-1392-48B0-AC45-DC82D4641B00}" name="Categoria" dataDxfId="38"/>
    <tableColumn id="17" xr3:uid="{EA89094E-9906-416B-85A4-8CDCA0570B4B}" name="Medição" dataDxfId="37"/>
    <tableColumn id="18" xr3:uid="{870B708E-1A61-4871-A1DD-4725EE98FAFF}" name="Usuário" dataDxfId="36"/>
    <tableColumn id="19" xr3:uid="{9B27528A-7DAD-40CA-A86B-C78493AF35FE}" name="Empresa" dataDxfId="35"/>
    <tableColumn id="20" xr3:uid="{4EB9ADD1-6744-4553-85C7-2D80EEE07456}" name="Custo" dataDxfId="34" dataCellStyle="Moed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2169B5-A94D-4E71-AA3F-AA48DDB04894}" name="ConsumoConcreto" displayName="ConsumoConcreto" ref="A1:P1204" totalsRowShown="0" headerRowDxfId="33" dataDxfId="32">
  <autoFilter ref="A1:P1204" xr:uid="{382169B5-A94D-4E71-AA3F-AA48DDB04894}"/>
  <tableColumns count="16">
    <tableColumn id="4" xr3:uid="{07AE5156-D837-4583-BE51-7A157345DD7F}" name="ConsumoID" dataDxfId="31">
      <calculatedColumnFormula>CONCATENATE(LEFT(ConsumoConcreto[[#This Row],[RecebimentoID]],4),"CNSC",TEXT(ConsumoConcreto[[#This Row],[Ordem]],"0000"),UPPER(LEFT(ConsumoConcreto[[#This Row],[Destino]],3)))</calculatedColumnFormula>
    </tableColumn>
    <tableColumn id="9" xr3:uid="{0DD8D2AD-BF73-4C28-8819-DDA24F70AB0E}" name="Ordem" dataDxfId="30"/>
    <tableColumn id="1" xr3:uid="{3A8D9001-1F94-4731-B9E4-CD36F861607B}" name="RecebimentoID" dataDxfId="29"/>
    <tableColumn id="2" xr3:uid="{95373C2D-FB45-4B88-91F1-1532AF8C6BB9}" name="Bloco ou Quadra" dataDxfId="28"/>
    <tableColumn id="3" xr3:uid="{BBEA6EEE-6AFE-4476-8534-C73838A585B1}" name="Unidade" dataDxfId="27"/>
    <tableColumn id="6" xr3:uid="{7F94927A-54DC-4278-A62C-3B0FC510482B}" name="Insumo" dataDxfId="26"/>
    <tableColumn id="8" xr3:uid="{FEA80E46-7860-4E1A-8AB8-1FC6B14E92EE}" name="Fim do Bombeamento" dataDxfId="25"/>
    <tableColumn id="5" xr3:uid="{AB51C8AD-AA13-42CA-8C92-6D254C8C6A8E}" name="Destino" dataDxfId="24"/>
    <tableColumn id="7" xr3:uid="{D755315D-E705-4F28-BF3D-C7C3ADEEF6C9}" name="Previsto (m³)" dataDxfId="23" dataCellStyle="Vírgula">
      <calculatedColumnFormula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calculatedColumnFormula>
    </tableColumn>
    <tableColumn id="11" xr3:uid="{4DF858F6-7EDD-486F-B5C4-CB0CFF9630DA}" name="Executado (m³)" dataDxfId="22" dataCellStyle="Vírgula"/>
    <tableColumn id="13" xr3:uid="{6FD97FE6-6AD7-44CD-81B9-0BBAD36FD487}" name="Medido (m³)" dataDxfId="21" dataCellStyle="Vírgula"/>
    <tableColumn id="10" xr3:uid="{1EF68ACF-D571-4CE6-BF9D-3E8A6E95D9A4}" name="Data do Cadastro" dataDxfId="20"/>
    <tableColumn id="12" xr3:uid="{C3256C47-9B35-4F5E-8D0E-F5A20E10E19E}" name="Observação" dataDxfId="19"/>
    <tableColumn id="14" xr3:uid="{D876D5A8-CF66-474D-8802-32AAA33D4F15}" name="Bombeamento" dataDxfId="18"/>
    <tableColumn id="15" xr3:uid="{78F502AA-EDD3-4344-870B-C769E75DE1EE}" name="Usuário" dataDxfId="17"/>
    <tableColumn id="16" xr3:uid="{7760CBFD-8B2F-4FDE-BB9E-5190DA0FEE80}" name="CategoriaConsumo" dataDxfId="1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9FD3B9-2994-4CA6-99C4-D94A017C9A42}" name="RecebimentoConcreto5" displayName="RecebimentoConcreto5" ref="A1:H7" totalsRowShown="0" headerRowDxfId="15" dataDxfId="14">
  <autoFilter ref="A1:H7" xr:uid="{98A905AC-89D0-46C6-B667-1B948B8E9285}"/>
  <tableColumns count="8">
    <tableColumn id="9" xr3:uid="{EE262574-F136-4FD7-B661-22F9C59AA907}" name="Ordem" dataDxfId="13"/>
    <tableColumn id="1" xr3:uid="{07C46564-EAAC-4744-BA6D-309C1506B28C}" name="ResistênciaID" dataDxfId="12">
      <calculatedColumnFormula>CONCATENATE(LEFT(RecebimentoConcreto5[[#This Row],[ConsumoID]],4),"RSTC",TEXT(RecebimentoConcreto5[[#This Row],[Ordem]],"0000"),RecebimentoConcreto5[[#This Row],[FCK]])</calculatedColumnFormula>
    </tableColumn>
    <tableColumn id="2" xr3:uid="{2F44B464-E9BF-4CFE-8279-6339322477A9}" name="ConsumoID" dataDxfId="11"/>
    <tableColumn id="10" xr3:uid="{F06C27F0-B32D-4CAA-AC49-455905F0E416}" name="FCK" dataDxfId="10"/>
    <tableColumn id="3" xr3:uid="{701168A1-F988-4F9A-84B4-DD03BCFCD923}" name="Resistência (Mpa)" dataDxfId="9"/>
    <tableColumn id="5" xr3:uid="{062E5D0F-4F5D-4CC1-84E6-2EE4F39C585E}" name="Conformidade" dataDxfId="8"/>
    <tableColumn id="4" xr3:uid="{FA654CE1-D3A8-4AF1-A2A8-2A20C9B7CDB7}" name="Data do Cadastro" dataDxfId="7"/>
    <tableColumn id="6" xr3:uid="{C9AA5961-FB70-4FA9-92F8-46D5B11EDF51}" name="Usuário" dataDxfId="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4EF29C-2B08-4093-BA92-365B72450633}" name="validProjetado" displayName="validProjetado" ref="A1:E1501" totalsRowShown="0" headerRowDxfId="5" dataDxfId="4">
  <autoFilter ref="A1:E1501" xr:uid="{D04EF29C-2B08-4093-BA92-365B72450633}">
    <filterColumn colId="1">
      <filters>
        <filter val="R"/>
      </filters>
    </filterColumn>
  </autoFilter>
  <tableColumns count="5">
    <tableColumn id="1" xr3:uid="{CFA1C646-850D-49E3-B4CC-5C0F3D6FBDA9}" name="Casa" dataDxfId="3"/>
    <tableColumn id="2" xr3:uid="{BF49E8DB-9217-4483-A5B9-57A800AB06F4}" name="Quadra" dataDxfId="2"/>
    <tableColumn id="3" xr3:uid="{ED66C1C9-EAA3-46E4-955A-EBE331DAB057}" name="Tipo" dataDxfId="1"/>
    <tableColumn id="4" xr3:uid="{CCB521BF-05E7-4CF9-86F8-21FF367C9F70}" name="Destino"/>
    <tableColumn id="5" xr3:uid="{9350459B-5E52-433D-AB1A-31E086DCA985}" name="Projetado (m³)" dataDxfId="0">
      <calculatedColumnFormula>VLOOKUP(CONCATENATE(validProjetado[[#This Row],[Tipo]],validProjetado[[#This Row],[Destino]]),validConcreto!K:O,4)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8FB7A3A-D7A9-41FC-92B5-29909F1C1164}" name="tabUser" displayName="tabUser" ref="A1:B7" totalsRowShown="0">
  <autoFilter ref="A1:B7" xr:uid="{E8FB7A3A-D7A9-41FC-92B5-29909F1C1164}"/>
  <tableColumns count="2">
    <tableColumn id="1" xr3:uid="{B35BC0ED-807C-4A41-9101-68E379B243CD}" name="Login"/>
    <tableColumn id="2" xr3:uid="{81F490C5-5689-422F-87D9-402FCE91FF21}" name="Senh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791DA-1343-42B9-A059-3A0385551B67}">
  <sheetPr codeName="Planilha4"/>
  <dimension ref="B3:B13"/>
  <sheetViews>
    <sheetView tabSelected="1" workbookViewId="0">
      <selection activeCell="I11" sqref="I11"/>
    </sheetView>
  </sheetViews>
  <sheetFormatPr defaultColWidth="9.140625" defaultRowHeight="15" x14ac:dyDescent="0.25"/>
  <cols>
    <col min="1" max="16384" width="9.140625" style="12"/>
  </cols>
  <sheetData>
    <row r="3" spans="2:2" x14ac:dyDescent="0.25">
      <c r="B3" s="13"/>
    </row>
    <row r="13" spans="2:2" x14ac:dyDescent="0.25">
      <c r="B13" s="16" t="s">
        <v>0</v>
      </c>
    </row>
  </sheetData>
  <sheetProtection algorithmName="SHA-512" hashValue="7s0rcUaOYpbJii9LvUI60T/yHNuZg/pt+T4sjc+i7fL5Fz8/Y3JviKxRxVD2Q0qzzkjw5JsXsycvUJMZ+P/pGQ==" saltValue="WVxFy6P3GLdNCGBEbo2/rQ==" spinCount="100000" sheet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0AD4-D554-4BF9-BF51-69577B069B02}">
  <sheetPr codeName="Planilha1">
    <tabColor theme="4"/>
  </sheetPr>
  <dimension ref="A1:T1209"/>
  <sheetViews>
    <sheetView workbookViewId="0">
      <selection activeCell="I394" sqref="I394"/>
    </sheetView>
  </sheetViews>
  <sheetFormatPr defaultColWidth="15.7109375" defaultRowHeight="20.100000000000001" customHeight="1" x14ac:dyDescent="0.25"/>
  <cols>
    <col min="1" max="1" width="17.85546875" style="1" bestFit="1" customWidth="1"/>
    <col min="2" max="2" width="11.140625" style="1" bestFit="1" customWidth="1"/>
    <col min="3" max="3" width="18" style="1" bestFit="1" customWidth="1"/>
    <col min="4" max="4" width="10.42578125" style="1" bestFit="1" customWidth="1"/>
    <col min="5" max="5" width="13.28515625" style="1" bestFit="1" customWidth="1"/>
    <col min="6" max="6" width="9.7109375" style="2" bestFit="1" customWidth="1"/>
    <col min="7" max="7" width="12.5703125" style="2" bestFit="1" customWidth="1"/>
    <col min="8" max="8" width="19.28515625" style="2" bestFit="1" customWidth="1"/>
    <col min="9" max="9" width="25.42578125" style="5" bestFit="1" customWidth="1"/>
    <col min="10" max="10" width="24.42578125" style="5" bestFit="1" customWidth="1"/>
    <col min="11" max="11" width="23.28515625" style="5" bestFit="1" customWidth="1"/>
    <col min="12" max="12" width="15.140625" style="1" bestFit="1" customWidth="1"/>
    <col min="13" max="13" width="19" style="37" bestFit="1" customWidth="1"/>
    <col min="14" max="14" width="30.85546875" style="1" bestFit="1" customWidth="1"/>
    <col min="15" max="19" width="15.7109375" style="1"/>
    <col min="20" max="20" width="15.7109375" style="39"/>
    <col min="21" max="16384" width="15.7109375" style="1"/>
  </cols>
  <sheetData>
    <row r="1" spans="1:20" s="3" customFormat="1" ht="20.100000000000001" customHeight="1" x14ac:dyDescent="0.25">
      <c r="A1" s="28" t="s">
        <v>1</v>
      </c>
      <c r="B1" s="4" t="s">
        <v>2</v>
      </c>
      <c r="C1" s="3" t="s">
        <v>3</v>
      </c>
      <c r="D1" s="6" t="s">
        <v>4</v>
      </c>
      <c r="E1" s="3" t="s">
        <v>5</v>
      </c>
      <c r="F1" s="4" t="s">
        <v>6</v>
      </c>
      <c r="G1" s="4" t="s">
        <v>7</v>
      </c>
      <c r="H1" s="4" t="s">
        <v>8</v>
      </c>
      <c r="I1" s="7" t="s">
        <v>9</v>
      </c>
      <c r="J1" s="7" t="s">
        <v>10</v>
      </c>
      <c r="K1" s="31" t="s">
        <v>11</v>
      </c>
      <c r="L1" s="3" t="s">
        <v>12</v>
      </c>
      <c r="M1" s="38" t="s">
        <v>13</v>
      </c>
      <c r="N1" s="7" t="s">
        <v>14</v>
      </c>
      <c r="O1" s="7" t="s">
        <v>15</v>
      </c>
      <c r="P1" s="7" t="s">
        <v>16</v>
      </c>
      <c r="Q1" s="4" t="s">
        <v>17</v>
      </c>
      <c r="R1" s="7" t="s">
        <v>18</v>
      </c>
      <c r="S1" s="7" t="s">
        <v>19</v>
      </c>
      <c r="T1" s="40" t="s">
        <v>20</v>
      </c>
    </row>
    <row r="2" spans="1:20" ht="20.100000000000001" hidden="1" customHeight="1" x14ac:dyDescent="0.25">
      <c r="A2" s="26" t="str">
        <f>CONCATENATE(RIGHT(LEFT(RecebimentoConcreto[[#This Row],[Obra]],5),4),"RCBC",TEXT(RecebimentoConcreto[[#This Row],[Ordem]],"0000"))</f>
        <v>0184RCBC0014</v>
      </c>
      <c r="B2" s="1">
        <v>14</v>
      </c>
      <c r="C2" s="1" t="s">
        <v>21</v>
      </c>
      <c r="D2" s="35">
        <v>44590</v>
      </c>
      <c r="E2" s="1" t="s">
        <v>22</v>
      </c>
      <c r="F2" s="2" t="s">
        <v>23</v>
      </c>
      <c r="H2" s="2" t="s">
        <v>24</v>
      </c>
      <c r="K2" s="32">
        <f>_xlfn.MAXIFS(ConsumoConcreto[Fim do Bombeamento],ConsumoConcreto[RecebimentoID],RecebimentoConcreto[[#This Row],[RecebimentoID]])</f>
        <v>0</v>
      </c>
      <c r="M2" s="37">
        <v>36892</v>
      </c>
      <c r="N2" s="5" t="s">
        <v>25</v>
      </c>
      <c r="O2" s="9">
        <v>16</v>
      </c>
      <c r="P2" s="5" t="s">
        <v>26</v>
      </c>
      <c r="Q2" s="2"/>
      <c r="R2" s="5" t="s">
        <v>27</v>
      </c>
      <c r="S2" s="5" t="s">
        <v>28</v>
      </c>
      <c r="T2" s="39">
        <v>385.2</v>
      </c>
    </row>
    <row r="3" spans="1:20" ht="20.100000000000001" hidden="1" customHeight="1" x14ac:dyDescent="0.25">
      <c r="A3" s="26" t="str">
        <f>CONCATENATE(RIGHT(LEFT(RecebimentoConcreto[[#This Row],[Obra]],5),4),"RCBC",TEXT(RecebimentoConcreto[[#This Row],[Ordem]],"0000"))</f>
        <v>0184RCBC0015</v>
      </c>
      <c r="B3" s="1">
        <v>15</v>
      </c>
      <c r="C3" s="1" t="s">
        <v>21</v>
      </c>
      <c r="D3" s="35">
        <v>44615</v>
      </c>
      <c r="E3" s="1" t="s">
        <v>29</v>
      </c>
      <c r="F3" s="2" t="s">
        <v>30</v>
      </c>
      <c r="G3" s="2">
        <v>5408</v>
      </c>
      <c r="H3" s="2" t="s">
        <v>31</v>
      </c>
      <c r="K3" s="32">
        <f>_xlfn.MAXIFS(ConsumoConcreto[Fim do Bombeamento],ConsumoConcreto[RecebimentoID],RecebimentoConcreto[[#This Row],[RecebimentoID]])</f>
        <v>0</v>
      </c>
      <c r="M3" s="37">
        <v>36892</v>
      </c>
      <c r="N3" s="5" t="s">
        <v>25</v>
      </c>
      <c r="O3" s="9">
        <v>18</v>
      </c>
      <c r="P3" s="5" t="s">
        <v>26</v>
      </c>
      <c r="Q3" s="2">
        <v>1</v>
      </c>
      <c r="R3" s="5" t="s">
        <v>27</v>
      </c>
      <c r="S3" s="5" t="s">
        <v>32</v>
      </c>
      <c r="T3" s="39">
        <v>385.2</v>
      </c>
    </row>
    <row r="4" spans="1:20" ht="20.100000000000001" hidden="1" customHeight="1" x14ac:dyDescent="0.25">
      <c r="A4" s="26" t="str">
        <f>CONCATENATE(RIGHT(LEFT(RecebimentoConcreto[[#This Row],[Obra]],5),4),"RCBC",TEXT(RecebimentoConcreto[[#This Row],[Ordem]],"0000"))</f>
        <v>0184RCBC0016</v>
      </c>
      <c r="B4" s="1">
        <v>16</v>
      </c>
      <c r="C4" s="1" t="s">
        <v>21</v>
      </c>
      <c r="D4" s="35">
        <v>44618</v>
      </c>
      <c r="E4" s="1" t="s">
        <v>33</v>
      </c>
      <c r="F4" s="2" t="s">
        <v>34</v>
      </c>
      <c r="G4" s="2">
        <v>5408</v>
      </c>
      <c r="H4" s="2" t="s">
        <v>35</v>
      </c>
      <c r="K4" s="32">
        <f>_xlfn.MAXIFS(ConsumoConcreto[Fim do Bombeamento],ConsumoConcreto[RecebimentoID],RecebimentoConcreto[[#This Row],[RecebimentoID]])</f>
        <v>0</v>
      </c>
      <c r="M4" s="37">
        <v>36892</v>
      </c>
      <c r="N4" s="5" t="s">
        <v>25</v>
      </c>
      <c r="O4" s="9">
        <v>18</v>
      </c>
      <c r="P4" s="5" t="s">
        <v>26</v>
      </c>
      <c r="Q4" s="2">
        <v>1</v>
      </c>
      <c r="R4" s="5" t="s">
        <v>27</v>
      </c>
      <c r="S4" s="5" t="s">
        <v>32</v>
      </c>
      <c r="T4" s="39">
        <v>385.2</v>
      </c>
    </row>
    <row r="5" spans="1:20" ht="20.100000000000001" hidden="1" customHeight="1" x14ac:dyDescent="0.25">
      <c r="A5" s="26" t="str">
        <f>CONCATENATE(RIGHT(LEFT(RecebimentoConcreto[[#This Row],[Obra]],5),4),"RCBC",TEXT(RecebimentoConcreto[[#This Row],[Ordem]],"0000"))</f>
        <v>0184RCBC0017</v>
      </c>
      <c r="B5" s="1">
        <v>17</v>
      </c>
      <c r="C5" s="1" t="s">
        <v>21</v>
      </c>
      <c r="D5" s="35">
        <v>44644</v>
      </c>
      <c r="E5" s="1" t="s">
        <v>36</v>
      </c>
      <c r="F5" s="2">
        <v>14129</v>
      </c>
      <c r="G5" s="2">
        <v>5408</v>
      </c>
      <c r="H5" s="2">
        <v>10655</v>
      </c>
      <c r="K5" s="32">
        <f>_xlfn.MAXIFS(ConsumoConcreto[Fim do Bombeamento],ConsumoConcreto[RecebimentoID],RecebimentoConcreto[[#This Row],[RecebimentoID]])</f>
        <v>0</v>
      </c>
      <c r="M5" s="37">
        <v>36892</v>
      </c>
      <c r="N5" s="5" t="s">
        <v>25</v>
      </c>
      <c r="O5" s="9">
        <v>0.12</v>
      </c>
      <c r="P5" s="5" t="s">
        <v>26</v>
      </c>
      <c r="Q5" s="2">
        <v>2</v>
      </c>
      <c r="R5" s="5" t="s">
        <v>27</v>
      </c>
      <c r="S5" s="5" t="s">
        <v>32</v>
      </c>
      <c r="T5" s="39">
        <v>385.2</v>
      </c>
    </row>
    <row r="6" spans="1:20" ht="20.100000000000001" hidden="1" customHeight="1" x14ac:dyDescent="0.25">
      <c r="A6" s="26" t="str">
        <f>CONCATENATE(RIGHT(LEFT(RecebimentoConcreto[[#This Row],[Obra]],5),4),"RCBC",TEXT(RecebimentoConcreto[[#This Row],[Ordem]],"0000"))</f>
        <v>0184RCBC0018</v>
      </c>
      <c r="B6" s="1">
        <v>18</v>
      </c>
      <c r="C6" s="1" t="s">
        <v>21</v>
      </c>
      <c r="D6" s="35">
        <v>44644</v>
      </c>
      <c r="E6" s="1" t="s">
        <v>36</v>
      </c>
      <c r="F6" s="2">
        <v>14129</v>
      </c>
      <c r="G6" s="2">
        <v>5408</v>
      </c>
      <c r="H6" s="2">
        <v>10655</v>
      </c>
      <c r="K6" s="32">
        <f>_xlfn.MAXIFS(ConsumoConcreto[Fim do Bombeamento],ConsumoConcreto[RecebimentoID],RecebimentoConcreto[[#This Row],[RecebimentoID]])</f>
        <v>0</v>
      </c>
      <c r="M6" s="37">
        <v>36892</v>
      </c>
      <c r="N6" s="5" t="s">
        <v>25</v>
      </c>
      <c r="O6" s="9">
        <v>0.12</v>
      </c>
      <c r="P6" s="5" t="s">
        <v>26</v>
      </c>
      <c r="Q6" s="2">
        <v>2</v>
      </c>
      <c r="R6" s="5" t="s">
        <v>27</v>
      </c>
      <c r="S6" s="5" t="s">
        <v>32</v>
      </c>
      <c r="T6" s="39">
        <v>385.2</v>
      </c>
    </row>
    <row r="7" spans="1:20" ht="20.100000000000001" hidden="1" customHeight="1" x14ac:dyDescent="0.25">
      <c r="A7" s="26" t="str">
        <f>CONCATENATE(RIGHT(LEFT(RecebimentoConcreto[[#This Row],[Obra]],5),4),"RCBC",TEXT(RecebimentoConcreto[[#This Row],[Ordem]],"0000"))</f>
        <v>0184RCBC0019</v>
      </c>
      <c r="B7" s="1">
        <v>19</v>
      </c>
      <c r="C7" s="1" t="s">
        <v>21</v>
      </c>
      <c r="D7" s="35">
        <v>44644</v>
      </c>
      <c r="E7" s="1" t="s">
        <v>36</v>
      </c>
      <c r="F7" s="2">
        <v>14129</v>
      </c>
      <c r="G7" s="2">
        <v>5408</v>
      </c>
      <c r="H7" s="2">
        <v>10655</v>
      </c>
      <c r="K7" s="32">
        <f>_xlfn.MAXIFS(ConsumoConcreto[Fim do Bombeamento],ConsumoConcreto[RecebimentoID],RecebimentoConcreto[[#This Row],[RecebimentoID]])</f>
        <v>0</v>
      </c>
      <c r="M7" s="37">
        <v>36892</v>
      </c>
      <c r="N7" s="5" t="s">
        <v>25</v>
      </c>
      <c r="O7" s="9">
        <v>0.12</v>
      </c>
      <c r="P7" s="5" t="s">
        <v>26</v>
      </c>
      <c r="Q7" s="2">
        <v>2</v>
      </c>
      <c r="R7" s="5" t="s">
        <v>27</v>
      </c>
      <c r="S7" s="5" t="s">
        <v>32</v>
      </c>
      <c r="T7" s="39">
        <v>385.2</v>
      </c>
    </row>
    <row r="8" spans="1:20" ht="20.100000000000001" hidden="1" customHeight="1" x14ac:dyDescent="0.25">
      <c r="A8" s="26" t="str">
        <f>CONCATENATE(RIGHT(LEFT(RecebimentoConcreto[[#This Row],[Obra]],5),4),"RCBC",TEXT(RecebimentoConcreto[[#This Row],[Ordem]],"0000"))</f>
        <v>0184RCBC0020</v>
      </c>
      <c r="B8" s="1">
        <v>20</v>
      </c>
      <c r="C8" s="1" t="s">
        <v>21</v>
      </c>
      <c r="D8" s="35">
        <v>44650</v>
      </c>
      <c r="E8" s="1" t="s">
        <v>37</v>
      </c>
      <c r="F8" s="2">
        <v>7741</v>
      </c>
      <c r="G8" s="2">
        <v>5408</v>
      </c>
      <c r="H8" s="2">
        <v>10775</v>
      </c>
      <c r="K8" s="32">
        <f>_xlfn.MAXIFS(ConsumoConcreto[Fim do Bombeamento],ConsumoConcreto[RecebimentoID],RecebimentoConcreto[[#This Row],[RecebimentoID]])</f>
        <v>0</v>
      </c>
      <c r="M8" s="37">
        <v>36892</v>
      </c>
      <c r="N8" s="5" t="s">
        <v>25</v>
      </c>
      <c r="O8" s="9">
        <v>0.17</v>
      </c>
      <c r="P8" s="5" t="s">
        <v>26</v>
      </c>
      <c r="Q8" s="2">
        <v>2</v>
      </c>
      <c r="R8" s="5" t="s">
        <v>27</v>
      </c>
      <c r="S8" s="5" t="s">
        <v>32</v>
      </c>
      <c r="T8" s="39">
        <v>385.2</v>
      </c>
    </row>
    <row r="9" spans="1:20" ht="20.100000000000001" hidden="1" customHeight="1" x14ac:dyDescent="0.25">
      <c r="A9" s="26" t="str">
        <f>CONCATENATE(RIGHT(LEFT(RecebimentoConcreto[[#This Row],[Obra]],5),4),"RCBC",TEXT(RecebimentoConcreto[[#This Row],[Ordem]],"0000"))</f>
        <v>0184RCBC0021</v>
      </c>
      <c r="B9" s="1">
        <v>21</v>
      </c>
      <c r="C9" s="1" t="s">
        <v>21</v>
      </c>
      <c r="D9" s="35">
        <v>44650</v>
      </c>
      <c r="E9" s="1" t="s">
        <v>37</v>
      </c>
      <c r="F9" s="2">
        <v>7741</v>
      </c>
      <c r="G9" s="2">
        <v>5408</v>
      </c>
      <c r="H9" s="2">
        <v>10775</v>
      </c>
      <c r="K9" s="32">
        <f>_xlfn.MAXIFS(ConsumoConcreto[Fim do Bombeamento],ConsumoConcreto[RecebimentoID],RecebimentoConcreto[[#This Row],[RecebimentoID]])</f>
        <v>0</v>
      </c>
      <c r="M9" s="37">
        <v>36892</v>
      </c>
      <c r="N9" s="5" t="s">
        <v>25</v>
      </c>
      <c r="O9" s="9">
        <v>0.17</v>
      </c>
      <c r="P9" s="5" t="s">
        <v>26</v>
      </c>
      <c r="Q9" s="2">
        <v>2</v>
      </c>
      <c r="R9" s="5" t="s">
        <v>27</v>
      </c>
      <c r="S9" s="5" t="s">
        <v>32</v>
      </c>
      <c r="T9" s="39">
        <v>385.2</v>
      </c>
    </row>
    <row r="10" spans="1:20" ht="20.100000000000001" hidden="1" customHeight="1" x14ac:dyDescent="0.25">
      <c r="A10" s="26" t="str">
        <f>CONCATENATE(RIGHT(LEFT(RecebimentoConcreto[[#This Row],[Obra]],5),4),"RCBC",TEXT(RecebimentoConcreto[[#This Row],[Ordem]],"0000"))</f>
        <v>0184RCBC0022</v>
      </c>
      <c r="B10" s="1">
        <v>22</v>
      </c>
      <c r="C10" s="1" t="s">
        <v>21</v>
      </c>
      <c r="D10" s="35">
        <v>44650</v>
      </c>
      <c r="E10" s="1" t="s">
        <v>37</v>
      </c>
      <c r="F10" s="2">
        <v>7741</v>
      </c>
      <c r="G10" s="2">
        <v>5408</v>
      </c>
      <c r="H10" s="2">
        <v>10775</v>
      </c>
      <c r="K10" s="32">
        <f>_xlfn.MAXIFS(ConsumoConcreto[Fim do Bombeamento],ConsumoConcreto[RecebimentoID],RecebimentoConcreto[[#This Row],[RecebimentoID]])</f>
        <v>0</v>
      </c>
      <c r="M10" s="37">
        <v>36892</v>
      </c>
      <c r="N10" s="5" t="s">
        <v>25</v>
      </c>
      <c r="O10" s="9">
        <v>0.17</v>
      </c>
      <c r="P10" s="5" t="s">
        <v>26</v>
      </c>
      <c r="Q10" s="2">
        <v>2</v>
      </c>
      <c r="R10" s="5" t="s">
        <v>27</v>
      </c>
      <c r="S10" s="5" t="s">
        <v>32</v>
      </c>
      <c r="T10" s="39">
        <v>385.2</v>
      </c>
    </row>
    <row r="11" spans="1:20" ht="20.100000000000001" hidden="1" customHeight="1" x14ac:dyDescent="0.25">
      <c r="A11" s="26" t="str">
        <f>CONCATENATE(RIGHT(LEFT(RecebimentoConcreto[[#This Row],[Obra]],5),4),"RCBC",TEXT(RecebimentoConcreto[[#This Row],[Ordem]],"0000"))</f>
        <v>0184RCBC0023</v>
      </c>
      <c r="B11" s="1">
        <v>23</v>
      </c>
      <c r="C11" s="1" t="s">
        <v>21</v>
      </c>
      <c r="D11" s="35">
        <v>44658</v>
      </c>
      <c r="E11" s="1" t="s">
        <v>38</v>
      </c>
      <c r="F11" s="2">
        <v>16752</v>
      </c>
      <c r="G11" s="2">
        <v>5408</v>
      </c>
      <c r="H11" s="2">
        <v>10889</v>
      </c>
      <c r="K11" s="32">
        <f>_xlfn.MAXIFS(ConsumoConcreto[Fim do Bombeamento],ConsumoConcreto[RecebimentoID],RecebimentoConcreto[[#This Row],[RecebimentoID]])</f>
        <v>0</v>
      </c>
      <c r="M11" s="37">
        <v>36892</v>
      </c>
      <c r="N11" s="5" t="s">
        <v>25</v>
      </c>
      <c r="O11" s="9">
        <v>0.2</v>
      </c>
      <c r="P11" s="5" t="s">
        <v>26</v>
      </c>
      <c r="Q11" s="2">
        <v>3</v>
      </c>
      <c r="R11" s="5" t="s">
        <v>27</v>
      </c>
      <c r="S11" s="5" t="s">
        <v>32</v>
      </c>
      <c r="T11" s="39">
        <v>412.16399999999999</v>
      </c>
    </row>
    <row r="12" spans="1:20" ht="20.100000000000001" hidden="1" customHeight="1" x14ac:dyDescent="0.25">
      <c r="A12" s="26" t="str">
        <f>CONCATENATE(RIGHT(LEFT(RecebimentoConcreto[[#This Row],[Obra]],5),4),"RCBC",TEXT(RecebimentoConcreto[[#This Row],[Ordem]],"0000"))</f>
        <v>0184RCBC0024</v>
      </c>
      <c r="B12" s="1">
        <v>24</v>
      </c>
      <c r="C12" s="1" t="s">
        <v>21</v>
      </c>
      <c r="D12" s="35">
        <v>44658</v>
      </c>
      <c r="E12" s="1" t="s">
        <v>38</v>
      </c>
      <c r="F12" s="2">
        <v>16752</v>
      </c>
      <c r="G12" s="2">
        <v>5408</v>
      </c>
      <c r="H12" s="2">
        <v>10889</v>
      </c>
      <c r="K12" s="32">
        <f>_xlfn.MAXIFS(ConsumoConcreto[Fim do Bombeamento],ConsumoConcreto[RecebimentoID],RecebimentoConcreto[[#This Row],[RecebimentoID]])</f>
        <v>0</v>
      </c>
      <c r="M12" s="37">
        <v>36892</v>
      </c>
      <c r="N12" s="5" t="s">
        <v>25</v>
      </c>
      <c r="O12" s="9">
        <v>0.2</v>
      </c>
      <c r="P12" s="5" t="s">
        <v>26</v>
      </c>
      <c r="Q12" s="2">
        <v>3</v>
      </c>
      <c r="R12" s="5" t="s">
        <v>27</v>
      </c>
      <c r="S12" s="5" t="s">
        <v>32</v>
      </c>
      <c r="T12" s="39">
        <v>412.16399999999999</v>
      </c>
    </row>
    <row r="13" spans="1:20" ht="20.100000000000001" hidden="1" customHeight="1" x14ac:dyDescent="0.25">
      <c r="A13" s="26" t="str">
        <f>CONCATENATE(RIGHT(LEFT(RecebimentoConcreto[[#This Row],[Obra]],5),4),"RCBC",TEXT(RecebimentoConcreto[[#This Row],[Ordem]],"0000"))</f>
        <v>0184RCBC0049</v>
      </c>
      <c r="B13" s="1">
        <v>49</v>
      </c>
      <c r="C13" s="1" t="s">
        <v>21</v>
      </c>
      <c r="D13" s="35">
        <v>44594</v>
      </c>
      <c r="E13" s="1" t="s">
        <v>39</v>
      </c>
      <c r="F13" s="2" t="s">
        <v>40</v>
      </c>
      <c r="G13" s="2">
        <v>5408</v>
      </c>
      <c r="H13" s="2" t="s">
        <v>41</v>
      </c>
      <c r="K13" s="32">
        <f>_xlfn.MAXIFS(ConsumoConcreto[Fim do Bombeamento],ConsumoConcreto[RecebimentoID],RecebimentoConcreto[[#This Row],[RecebimentoID]])</f>
        <v>0</v>
      </c>
      <c r="M13" s="37">
        <v>36892</v>
      </c>
      <c r="N13" s="5" t="s">
        <v>25</v>
      </c>
      <c r="O13" s="9">
        <v>15.5</v>
      </c>
      <c r="P13" s="5" t="s">
        <v>26</v>
      </c>
      <c r="Q13" s="2">
        <v>1</v>
      </c>
      <c r="R13" s="5" t="s">
        <v>27</v>
      </c>
      <c r="S13" s="5" t="s">
        <v>32</v>
      </c>
      <c r="T13" s="39">
        <v>385.2</v>
      </c>
    </row>
    <row r="14" spans="1:20" ht="20.100000000000001" hidden="1" customHeight="1" x14ac:dyDescent="0.25">
      <c r="A14" s="26" t="str">
        <f>CONCATENATE(RIGHT(LEFT(RecebimentoConcreto[[#This Row],[Obra]],5),4),"RCBC",TEXT(RecebimentoConcreto[[#This Row],[Ordem]],"0000"))</f>
        <v>0184RCBC0050</v>
      </c>
      <c r="B14" s="1">
        <v>50</v>
      </c>
      <c r="C14" s="1" t="s">
        <v>21</v>
      </c>
      <c r="D14" s="35">
        <v>44596</v>
      </c>
      <c r="E14" s="1" t="s">
        <v>42</v>
      </c>
      <c r="F14" s="2" t="s">
        <v>43</v>
      </c>
      <c r="G14" s="2">
        <v>5408</v>
      </c>
      <c r="H14" s="2" t="s">
        <v>44</v>
      </c>
      <c r="K14" s="32">
        <f>_xlfn.MAXIFS(ConsumoConcreto[Fim do Bombeamento],ConsumoConcreto[RecebimentoID],RecebimentoConcreto[[#This Row],[RecebimentoID]])</f>
        <v>0</v>
      </c>
      <c r="M14" s="37">
        <v>36892</v>
      </c>
      <c r="N14" s="5" t="s">
        <v>25</v>
      </c>
      <c r="O14" s="9">
        <v>14</v>
      </c>
      <c r="P14" s="5" t="s">
        <v>26</v>
      </c>
      <c r="Q14" s="2">
        <v>1</v>
      </c>
      <c r="R14" s="5" t="s">
        <v>27</v>
      </c>
      <c r="S14" s="5" t="s">
        <v>32</v>
      </c>
      <c r="T14" s="39">
        <v>385.2</v>
      </c>
    </row>
    <row r="15" spans="1:20" ht="20.100000000000001" hidden="1" customHeight="1" x14ac:dyDescent="0.25">
      <c r="A15" s="26" t="str">
        <f>CONCATENATE(RIGHT(LEFT(RecebimentoConcreto[[#This Row],[Obra]],5),4),"RCBC",TEXT(RecebimentoConcreto[[#This Row],[Ordem]],"0000"))</f>
        <v>0184RCBC0051</v>
      </c>
      <c r="B15" s="1">
        <v>51</v>
      </c>
      <c r="C15" s="1" t="s">
        <v>21</v>
      </c>
      <c r="D15" s="35">
        <v>44599</v>
      </c>
      <c r="E15" s="1" t="s">
        <v>45</v>
      </c>
      <c r="F15" s="2" t="s">
        <v>46</v>
      </c>
      <c r="G15" s="2">
        <v>5408</v>
      </c>
      <c r="H15" s="2" t="s">
        <v>47</v>
      </c>
      <c r="K15" s="32">
        <f>_xlfn.MAXIFS(ConsumoConcreto[Fim do Bombeamento],ConsumoConcreto[RecebimentoID],RecebimentoConcreto[[#This Row],[RecebimentoID]])</f>
        <v>0</v>
      </c>
      <c r="M15" s="37">
        <v>36892</v>
      </c>
      <c r="N15" s="5" t="s">
        <v>25</v>
      </c>
      <c r="O15" s="9">
        <v>14</v>
      </c>
      <c r="P15" s="5" t="s">
        <v>26</v>
      </c>
      <c r="Q15" s="2">
        <v>1</v>
      </c>
      <c r="R15" s="5" t="s">
        <v>27</v>
      </c>
      <c r="S15" s="5" t="s">
        <v>32</v>
      </c>
      <c r="T15" s="39">
        <v>385.2</v>
      </c>
    </row>
    <row r="16" spans="1:20" ht="20.100000000000001" hidden="1" customHeight="1" x14ac:dyDescent="0.25">
      <c r="A16" s="26" t="str">
        <f>CONCATENATE(RIGHT(LEFT(RecebimentoConcreto[[#This Row],[Obra]],5),4),"RCBC",TEXT(RecebimentoConcreto[[#This Row],[Ordem]],"0000"))</f>
        <v>0184RCBC0052</v>
      </c>
      <c r="B16" s="1">
        <v>52</v>
      </c>
      <c r="C16" s="1" t="s">
        <v>21</v>
      </c>
      <c r="D16" s="35">
        <v>44601</v>
      </c>
      <c r="E16" s="1" t="s">
        <v>48</v>
      </c>
      <c r="F16" s="2" t="s">
        <v>49</v>
      </c>
      <c r="G16" s="2">
        <v>5408</v>
      </c>
      <c r="H16" s="2" t="s">
        <v>50</v>
      </c>
      <c r="K16" s="32">
        <f>_xlfn.MAXIFS(ConsumoConcreto[Fim do Bombeamento],ConsumoConcreto[RecebimentoID],RecebimentoConcreto[[#This Row],[RecebimentoID]])</f>
        <v>0</v>
      </c>
      <c r="M16" s="37">
        <v>36892</v>
      </c>
      <c r="N16" s="5" t="s">
        <v>25</v>
      </c>
      <c r="O16" s="9">
        <v>14</v>
      </c>
      <c r="P16" s="5" t="s">
        <v>26</v>
      </c>
      <c r="Q16" s="2">
        <v>1</v>
      </c>
      <c r="R16" s="5" t="s">
        <v>27</v>
      </c>
      <c r="S16" s="5" t="s">
        <v>32</v>
      </c>
      <c r="T16" s="39">
        <v>385.2</v>
      </c>
    </row>
    <row r="17" spans="1:20" ht="20.100000000000001" hidden="1" customHeight="1" x14ac:dyDescent="0.25">
      <c r="A17" s="26" t="str">
        <f>CONCATENATE(RIGHT(LEFT(RecebimentoConcreto[[#This Row],[Obra]],5),4),"RCBC",TEXT(RecebimentoConcreto[[#This Row],[Ordem]],"0000"))</f>
        <v>0184RCBC0053</v>
      </c>
      <c r="B17" s="1">
        <v>53</v>
      </c>
      <c r="C17" s="1" t="s">
        <v>21</v>
      </c>
      <c r="D17" s="35">
        <v>44603</v>
      </c>
      <c r="E17" s="1" t="s">
        <v>51</v>
      </c>
      <c r="F17" s="2" t="s">
        <v>52</v>
      </c>
      <c r="G17" s="2">
        <v>5408</v>
      </c>
      <c r="H17" s="2" t="s">
        <v>53</v>
      </c>
      <c r="K17" s="32">
        <f>_xlfn.MAXIFS(ConsumoConcreto[Fim do Bombeamento],ConsumoConcreto[RecebimentoID],RecebimentoConcreto[[#This Row],[RecebimentoID]])</f>
        <v>0</v>
      </c>
      <c r="M17" s="37">
        <v>36892</v>
      </c>
      <c r="N17" s="5" t="s">
        <v>25</v>
      </c>
      <c r="O17" s="9">
        <v>14</v>
      </c>
      <c r="P17" s="5" t="s">
        <v>26</v>
      </c>
      <c r="Q17" s="2">
        <v>1</v>
      </c>
      <c r="R17" s="5" t="s">
        <v>27</v>
      </c>
      <c r="S17" s="5" t="s">
        <v>32</v>
      </c>
      <c r="T17" s="39">
        <v>385.2</v>
      </c>
    </row>
    <row r="18" spans="1:20" ht="20.100000000000001" hidden="1" customHeight="1" x14ac:dyDescent="0.25">
      <c r="A18" s="26" t="str">
        <f>CONCATENATE(RIGHT(LEFT(RecebimentoConcreto[[#This Row],[Obra]],5),4),"RCBC",TEXT(RecebimentoConcreto[[#This Row],[Ordem]],"0000"))</f>
        <v>0184RCBC0054</v>
      </c>
      <c r="B18" s="1">
        <v>54</v>
      </c>
      <c r="C18" s="1" t="s">
        <v>21</v>
      </c>
      <c r="D18" s="35">
        <v>44606</v>
      </c>
      <c r="E18" s="1" t="s">
        <v>54</v>
      </c>
      <c r="F18" s="2" t="s">
        <v>55</v>
      </c>
      <c r="G18" s="2">
        <v>5408</v>
      </c>
      <c r="H18" s="2" t="s">
        <v>56</v>
      </c>
      <c r="K18" s="32">
        <f>_xlfn.MAXIFS(ConsumoConcreto[Fim do Bombeamento],ConsumoConcreto[RecebimentoID],RecebimentoConcreto[[#This Row],[RecebimentoID]])</f>
        <v>0</v>
      </c>
      <c r="M18" s="37">
        <v>36892</v>
      </c>
      <c r="N18" s="5" t="s">
        <v>25</v>
      </c>
      <c r="O18" s="9">
        <v>14.5</v>
      </c>
      <c r="P18" s="5" t="s">
        <v>26</v>
      </c>
      <c r="Q18" s="2">
        <v>1</v>
      </c>
      <c r="R18" s="5" t="s">
        <v>27</v>
      </c>
      <c r="S18" s="5" t="s">
        <v>32</v>
      </c>
      <c r="T18" s="39">
        <v>385.2</v>
      </c>
    </row>
    <row r="19" spans="1:20" ht="20.100000000000001" hidden="1" customHeight="1" x14ac:dyDescent="0.25">
      <c r="A19" s="26" t="str">
        <f>CONCATENATE(RIGHT(LEFT(RecebimentoConcreto[[#This Row],[Obra]],5),4),"RCBC",TEXT(RecebimentoConcreto[[#This Row],[Ordem]],"0000"))</f>
        <v>0184RCBC0055</v>
      </c>
      <c r="B19" s="1">
        <v>55</v>
      </c>
      <c r="C19" s="1" t="s">
        <v>21</v>
      </c>
      <c r="D19" s="35">
        <v>44607</v>
      </c>
      <c r="E19" s="1" t="s">
        <v>57</v>
      </c>
      <c r="F19" s="2" t="s">
        <v>58</v>
      </c>
      <c r="G19" s="2">
        <v>5408</v>
      </c>
      <c r="H19" s="2" t="s">
        <v>59</v>
      </c>
      <c r="K19" s="32">
        <f>_xlfn.MAXIFS(ConsumoConcreto[Fim do Bombeamento],ConsumoConcreto[RecebimentoID],RecebimentoConcreto[[#This Row],[RecebimentoID]])</f>
        <v>0</v>
      </c>
      <c r="M19" s="37">
        <v>36892</v>
      </c>
      <c r="N19" s="5" t="s">
        <v>25</v>
      </c>
      <c r="O19" s="9">
        <v>14.5</v>
      </c>
      <c r="P19" s="5" t="s">
        <v>26</v>
      </c>
      <c r="Q19" s="2">
        <v>1</v>
      </c>
      <c r="R19" s="5" t="s">
        <v>27</v>
      </c>
      <c r="S19" s="5" t="s">
        <v>32</v>
      </c>
      <c r="T19" s="39">
        <v>385.2</v>
      </c>
    </row>
    <row r="20" spans="1:20" ht="20.100000000000001" hidden="1" customHeight="1" x14ac:dyDescent="0.25">
      <c r="A20" s="26" t="str">
        <f>CONCATENATE(RIGHT(LEFT(RecebimentoConcreto[[#This Row],[Obra]],5),4),"RCBC",TEXT(RecebimentoConcreto[[#This Row],[Ordem]],"0000"))</f>
        <v>0184RCBC0056</v>
      </c>
      <c r="B20" s="1">
        <v>56</v>
      </c>
      <c r="C20" s="1" t="s">
        <v>21</v>
      </c>
      <c r="D20" s="35">
        <v>44608</v>
      </c>
      <c r="E20" s="1" t="s">
        <v>60</v>
      </c>
      <c r="F20" s="2" t="s">
        <v>61</v>
      </c>
      <c r="G20" s="2">
        <v>5408</v>
      </c>
      <c r="H20" s="2" t="s">
        <v>62</v>
      </c>
      <c r="K20" s="32">
        <f>_xlfn.MAXIFS(ConsumoConcreto[Fim do Bombeamento],ConsumoConcreto[RecebimentoID],RecebimentoConcreto[[#This Row],[RecebimentoID]])</f>
        <v>0</v>
      </c>
      <c r="M20" s="37">
        <v>36892</v>
      </c>
      <c r="N20" s="5" t="s">
        <v>25</v>
      </c>
      <c r="O20" s="9">
        <v>14.5</v>
      </c>
      <c r="P20" s="5" t="s">
        <v>26</v>
      </c>
      <c r="Q20" s="2">
        <v>1</v>
      </c>
      <c r="R20" s="5" t="s">
        <v>27</v>
      </c>
      <c r="S20" s="5" t="s">
        <v>32</v>
      </c>
      <c r="T20" s="39">
        <v>385.2</v>
      </c>
    </row>
    <row r="21" spans="1:20" ht="20.100000000000001" hidden="1" customHeight="1" x14ac:dyDescent="0.25">
      <c r="A21" s="26" t="str">
        <f>CONCATENATE(RIGHT(LEFT(RecebimentoConcreto[[#This Row],[Obra]],5),4),"RCBC",TEXT(RecebimentoConcreto[[#This Row],[Ordem]],"0000"))</f>
        <v>0184RCBC0057</v>
      </c>
      <c r="B21" s="1">
        <v>57</v>
      </c>
      <c r="C21" s="1" t="s">
        <v>21</v>
      </c>
      <c r="D21" s="35">
        <v>44609</v>
      </c>
      <c r="E21" s="1" t="s">
        <v>63</v>
      </c>
      <c r="F21" s="2" t="s">
        <v>64</v>
      </c>
      <c r="G21" s="2">
        <v>5408</v>
      </c>
      <c r="H21" s="2" t="s">
        <v>65</v>
      </c>
      <c r="K21" s="32">
        <f>_xlfn.MAXIFS(ConsumoConcreto[Fim do Bombeamento],ConsumoConcreto[RecebimentoID],RecebimentoConcreto[[#This Row],[RecebimentoID]])</f>
        <v>0</v>
      </c>
      <c r="M21" s="37">
        <v>36892</v>
      </c>
      <c r="N21" s="5" t="s">
        <v>25</v>
      </c>
      <c r="O21" s="9">
        <v>14.5</v>
      </c>
      <c r="P21" s="5" t="s">
        <v>26</v>
      </c>
      <c r="Q21" s="2">
        <v>1</v>
      </c>
      <c r="R21" s="5" t="s">
        <v>27</v>
      </c>
      <c r="S21" s="5" t="s">
        <v>32</v>
      </c>
      <c r="T21" s="39">
        <v>385.2</v>
      </c>
    </row>
    <row r="22" spans="1:20" ht="20.100000000000001" hidden="1" customHeight="1" x14ac:dyDescent="0.25">
      <c r="A22" s="26" t="str">
        <f>CONCATENATE(RIGHT(LEFT(RecebimentoConcreto[[#This Row],[Obra]],5),4),"RCBC",TEXT(RecebimentoConcreto[[#This Row],[Ordem]],"0000"))</f>
        <v>0184RCBC0058</v>
      </c>
      <c r="B22" s="1">
        <v>58</v>
      </c>
      <c r="C22" s="1" t="s">
        <v>21</v>
      </c>
      <c r="D22" s="35">
        <v>44610</v>
      </c>
      <c r="E22" s="1" t="s">
        <v>63</v>
      </c>
      <c r="F22" s="2" t="s">
        <v>66</v>
      </c>
      <c r="G22" s="2">
        <v>5408</v>
      </c>
      <c r="H22" s="2" t="s">
        <v>67</v>
      </c>
      <c r="K22" s="32">
        <f>_xlfn.MAXIFS(ConsumoConcreto[Fim do Bombeamento],ConsumoConcreto[RecebimentoID],RecebimentoConcreto[[#This Row],[RecebimentoID]])</f>
        <v>0</v>
      </c>
      <c r="M22" s="37">
        <v>36892</v>
      </c>
      <c r="N22" s="5" t="s">
        <v>25</v>
      </c>
      <c r="O22" s="9">
        <v>14.5</v>
      </c>
      <c r="P22" s="5" t="s">
        <v>26</v>
      </c>
      <c r="Q22" s="2">
        <v>1</v>
      </c>
      <c r="R22" s="5" t="s">
        <v>27</v>
      </c>
      <c r="S22" s="5" t="s">
        <v>32</v>
      </c>
      <c r="T22" s="39">
        <v>385.2</v>
      </c>
    </row>
    <row r="23" spans="1:20" ht="20.100000000000001" hidden="1" customHeight="1" x14ac:dyDescent="0.25">
      <c r="A23" s="26" t="str">
        <f>CONCATENATE(RIGHT(LEFT(RecebimentoConcreto[[#This Row],[Obra]],5),4),"RCBC",TEXT(RecebimentoConcreto[[#This Row],[Ordem]],"0000"))</f>
        <v>0184RCBC0059</v>
      </c>
      <c r="B23" s="1">
        <v>59</v>
      </c>
      <c r="C23" s="1" t="s">
        <v>21</v>
      </c>
      <c r="D23" s="35">
        <v>44613</v>
      </c>
      <c r="E23" s="1" t="s">
        <v>63</v>
      </c>
      <c r="F23" s="2" t="s">
        <v>68</v>
      </c>
      <c r="G23" s="2">
        <v>5408</v>
      </c>
      <c r="H23" s="2" t="s">
        <v>69</v>
      </c>
      <c r="K23" s="32">
        <f>_xlfn.MAXIFS(ConsumoConcreto[Fim do Bombeamento],ConsumoConcreto[RecebimentoID],RecebimentoConcreto[[#This Row],[RecebimentoID]])</f>
        <v>0</v>
      </c>
      <c r="M23" s="37">
        <v>36892</v>
      </c>
      <c r="N23" s="5" t="s">
        <v>25</v>
      </c>
      <c r="O23" s="9">
        <v>14.5</v>
      </c>
      <c r="P23" s="5" t="s">
        <v>26</v>
      </c>
      <c r="Q23" s="2">
        <v>1</v>
      </c>
      <c r="R23" s="5" t="s">
        <v>27</v>
      </c>
      <c r="S23" s="5" t="s">
        <v>32</v>
      </c>
      <c r="T23" s="39">
        <v>385.2</v>
      </c>
    </row>
    <row r="24" spans="1:20" ht="20.100000000000001" hidden="1" customHeight="1" x14ac:dyDescent="0.25">
      <c r="A24" s="26" t="str">
        <f>CONCATENATE(RIGHT(LEFT(RecebimentoConcreto[[#This Row],[Obra]],5),4),"RCBC",TEXT(RecebimentoConcreto[[#This Row],[Ordem]],"0000"))</f>
        <v>0184RCBC0060</v>
      </c>
      <c r="B24" s="1">
        <v>60</v>
      </c>
      <c r="C24" s="1" t="s">
        <v>21</v>
      </c>
      <c r="D24" s="35">
        <v>44614</v>
      </c>
      <c r="E24" s="1" t="s">
        <v>70</v>
      </c>
      <c r="F24" s="2" t="s">
        <v>71</v>
      </c>
      <c r="G24" s="2">
        <v>5408</v>
      </c>
      <c r="H24" s="2" t="s">
        <v>72</v>
      </c>
      <c r="K24" s="32">
        <f>_xlfn.MAXIFS(ConsumoConcreto[Fim do Bombeamento],ConsumoConcreto[RecebimentoID],RecebimentoConcreto[[#This Row],[RecebimentoID]])</f>
        <v>0</v>
      </c>
      <c r="M24" s="37">
        <v>36892</v>
      </c>
      <c r="N24" s="5" t="s">
        <v>25</v>
      </c>
      <c r="O24" s="9">
        <v>14.5</v>
      </c>
      <c r="P24" s="5" t="s">
        <v>26</v>
      </c>
      <c r="Q24" s="2">
        <v>1</v>
      </c>
      <c r="R24" s="5" t="s">
        <v>27</v>
      </c>
      <c r="S24" s="5" t="s">
        <v>32</v>
      </c>
      <c r="T24" s="39">
        <v>385.2</v>
      </c>
    </row>
    <row r="25" spans="1:20" ht="20.100000000000001" hidden="1" customHeight="1" x14ac:dyDescent="0.25">
      <c r="A25" s="26" t="str">
        <f>CONCATENATE(RIGHT(LEFT(RecebimentoConcreto[[#This Row],[Obra]],5),4),"RCBC",TEXT(RecebimentoConcreto[[#This Row],[Ordem]],"0000"))</f>
        <v>0184RCBC0061</v>
      </c>
      <c r="B25" s="1">
        <v>61</v>
      </c>
      <c r="C25" s="1" t="s">
        <v>21</v>
      </c>
      <c r="D25" s="35">
        <v>44615</v>
      </c>
      <c r="E25" s="1" t="s">
        <v>54</v>
      </c>
      <c r="F25" s="2" t="s">
        <v>73</v>
      </c>
      <c r="G25" s="2">
        <v>5408</v>
      </c>
      <c r="H25" s="2" t="s">
        <v>74</v>
      </c>
      <c r="K25" s="32">
        <f>_xlfn.MAXIFS(ConsumoConcreto[Fim do Bombeamento],ConsumoConcreto[RecebimentoID],RecebimentoConcreto[[#This Row],[RecebimentoID]])</f>
        <v>0</v>
      </c>
      <c r="M25" s="37">
        <v>36892</v>
      </c>
      <c r="N25" s="5" t="s">
        <v>25</v>
      </c>
      <c r="O25" s="9">
        <v>16</v>
      </c>
      <c r="P25" s="5" t="s">
        <v>26</v>
      </c>
      <c r="Q25" s="2">
        <v>1</v>
      </c>
      <c r="R25" s="5" t="s">
        <v>27</v>
      </c>
      <c r="S25" s="5" t="s">
        <v>32</v>
      </c>
      <c r="T25" s="39">
        <v>385.2</v>
      </c>
    </row>
    <row r="26" spans="1:20" ht="20.100000000000001" hidden="1" customHeight="1" x14ac:dyDescent="0.25">
      <c r="A26" s="26" t="str">
        <f>CONCATENATE(RIGHT(LEFT(RecebimentoConcreto[[#This Row],[Obra]],5),4),"RCBC",TEXT(RecebimentoConcreto[[#This Row],[Ordem]],"0000"))</f>
        <v>0184RCBC0062</v>
      </c>
      <c r="B26" s="1">
        <v>62</v>
      </c>
      <c r="C26" s="1" t="s">
        <v>21</v>
      </c>
      <c r="D26" s="35">
        <v>44616</v>
      </c>
      <c r="E26" s="1" t="s">
        <v>57</v>
      </c>
      <c r="F26" s="2" t="s">
        <v>75</v>
      </c>
      <c r="G26" s="2">
        <v>5408</v>
      </c>
      <c r="H26" s="2" t="s">
        <v>76</v>
      </c>
      <c r="K26" s="32">
        <f>_xlfn.MAXIFS(ConsumoConcreto[Fim do Bombeamento],ConsumoConcreto[RecebimentoID],RecebimentoConcreto[[#This Row],[RecebimentoID]])</f>
        <v>0</v>
      </c>
      <c r="M26" s="37">
        <v>36892</v>
      </c>
      <c r="N26" s="5" t="s">
        <v>25</v>
      </c>
      <c r="O26" s="9">
        <v>14.5</v>
      </c>
      <c r="P26" s="5" t="s">
        <v>26</v>
      </c>
      <c r="Q26" s="2">
        <v>1</v>
      </c>
      <c r="R26" s="5" t="s">
        <v>27</v>
      </c>
      <c r="S26" s="5" t="s">
        <v>32</v>
      </c>
      <c r="T26" s="39">
        <v>385.2</v>
      </c>
    </row>
    <row r="27" spans="1:20" ht="20.100000000000001" hidden="1" customHeight="1" x14ac:dyDescent="0.25">
      <c r="A27" s="26" t="str">
        <f>CONCATENATE(RIGHT(LEFT(RecebimentoConcreto[[#This Row],[Obra]],5),4),"RCBC",TEXT(RecebimentoConcreto[[#This Row],[Ordem]],"0000"))</f>
        <v>0184RCBC0063</v>
      </c>
      <c r="B27" s="1">
        <v>63</v>
      </c>
      <c r="C27" s="1" t="s">
        <v>21</v>
      </c>
      <c r="D27" s="35">
        <v>44618</v>
      </c>
      <c r="E27" s="1" t="s">
        <v>77</v>
      </c>
      <c r="F27" s="2" t="s">
        <v>78</v>
      </c>
      <c r="G27" s="2">
        <v>5408</v>
      </c>
      <c r="H27" s="2" t="s">
        <v>79</v>
      </c>
      <c r="K27" s="32">
        <f>_xlfn.MAXIFS(ConsumoConcreto[Fim do Bombeamento],ConsumoConcreto[RecebimentoID],RecebimentoConcreto[[#This Row],[RecebimentoID]])</f>
        <v>0</v>
      </c>
      <c r="M27" s="37">
        <v>36892</v>
      </c>
      <c r="N27" s="5" t="s">
        <v>25</v>
      </c>
      <c r="O27" s="9">
        <v>14.5</v>
      </c>
      <c r="P27" s="5" t="s">
        <v>26</v>
      </c>
      <c r="Q27" s="2">
        <v>1</v>
      </c>
      <c r="R27" s="5" t="s">
        <v>27</v>
      </c>
      <c r="S27" s="5" t="s">
        <v>32</v>
      </c>
      <c r="T27" s="39">
        <v>385.2</v>
      </c>
    </row>
    <row r="28" spans="1:20" ht="20.100000000000001" hidden="1" customHeight="1" x14ac:dyDescent="0.25">
      <c r="A28" s="26" t="str">
        <f>CONCATENATE(RIGHT(LEFT(RecebimentoConcreto[[#This Row],[Obra]],5),4),"RCBC",TEXT(RecebimentoConcreto[[#This Row],[Ordem]],"0000"))</f>
        <v>0184RCBC0064</v>
      </c>
      <c r="B28" s="1">
        <v>64</v>
      </c>
      <c r="C28" s="1" t="s">
        <v>21</v>
      </c>
      <c r="D28" s="35">
        <v>44620</v>
      </c>
      <c r="E28" s="1" t="s">
        <v>60</v>
      </c>
      <c r="F28" s="2" t="s">
        <v>80</v>
      </c>
      <c r="G28" s="2">
        <v>5408</v>
      </c>
      <c r="H28" s="2" t="s">
        <v>81</v>
      </c>
      <c r="K28" s="32">
        <f>_xlfn.MAXIFS(ConsumoConcreto[Fim do Bombeamento],ConsumoConcreto[RecebimentoID],RecebimentoConcreto[[#This Row],[RecebimentoID]])</f>
        <v>0</v>
      </c>
      <c r="M28" s="37">
        <v>36892</v>
      </c>
      <c r="N28" s="5" t="s">
        <v>25</v>
      </c>
      <c r="O28" s="9">
        <v>14.5</v>
      </c>
      <c r="P28" s="5" t="s">
        <v>26</v>
      </c>
      <c r="Q28" s="2">
        <v>1</v>
      </c>
      <c r="R28" s="5" t="s">
        <v>27</v>
      </c>
      <c r="S28" s="5" t="s">
        <v>32</v>
      </c>
      <c r="T28" s="39">
        <v>385.2</v>
      </c>
    </row>
    <row r="29" spans="1:20" ht="20.100000000000001" hidden="1" customHeight="1" x14ac:dyDescent="0.25">
      <c r="A29" s="26" t="str">
        <f>CONCATENATE(RIGHT(LEFT(RecebimentoConcreto[[#This Row],[Obra]],5),4),"RCBC",TEXT(RecebimentoConcreto[[#This Row],[Ordem]],"0000"))</f>
        <v>0184RCBC0065</v>
      </c>
      <c r="B29" s="1">
        <v>65</v>
      </c>
      <c r="C29" s="1" t="s">
        <v>21</v>
      </c>
      <c r="D29" s="35">
        <v>44622</v>
      </c>
      <c r="E29" s="1" t="s">
        <v>82</v>
      </c>
      <c r="F29" s="2" t="s">
        <v>83</v>
      </c>
      <c r="G29" s="2">
        <v>5408</v>
      </c>
      <c r="H29" s="2" t="s">
        <v>84</v>
      </c>
      <c r="K29" s="32">
        <f>_xlfn.MAXIFS(ConsumoConcreto[Fim do Bombeamento],ConsumoConcreto[RecebimentoID],RecebimentoConcreto[[#This Row],[RecebimentoID]])</f>
        <v>0</v>
      </c>
      <c r="M29" s="37">
        <v>36892</v>
      </c>
      <c r="N29" s="5" t="s">
        <v>25</v>
      </c>
      <c r="O29" s="9">
        <v>15</v>
      </c>
      <c r="P29" s="5" t="s">
        <v>26</v>
      </c>
      <c r="Q29" s="2">
        <v>2</v>
      </c>
      <c r="R29" s="5" t="s">
        <v>27</v>
      </c>
      <c r="S29" s="5" t="s">
        <v>32</v>
      </c>
      <c r="T29" s="39">
        <v>385.2</v>
      </c>
    </row>
    <row r="30" spans="1:20" ht="20.100000000000001" hidden="1" customHeight="1" x14ac:dyDescent="0.25">
      <c r="A30" s="26" t="str">
        <f>CONCATENATE(RIGHT(LEFT(RecebimentoConcreto[[#This Row],[Obra]],5),4),"RCBC",TEXT(RecebimentoConcreto[[#This Row],[Ordem]],"0000"))</f>
        <v>0184RCBC0066</v>
      </c>
      <c r="B30" s="1">
        <v>66</v>
      </c>
      <c r="C30" s="1" t="s">
        <v>21</v>
      </c>
      <c r="D30" s="35">
        <v>44623</v>
      </c>
      <c r="E30" s="1" t="s">
        <v>85</v>
      </c>
      <c r="F30" s="2" t="s">
        <v>86</v>
      </c>
      <c r="G30" s="2">
        <v>5408</v>
      </c>
      <c r="H30" s="2" t="s">
        <v>87</v>
      </c>
      <c r="K30" s="32">
        <f>_xlfn.MAXIFS(ConsumoConcreto[Fim do Bombeamento],ConsumoConcreto[RecebimentoID],RecebimentoConcreto[[#This Row],[RecebimentoID]])</f>
        <v>0</v>
      </c>
      <c r="M30" s="37">
        <v>36892</v>
      </c>
      <c r="N30" s="5" t="s">
        <v>25</v>
      </c>
      <c r="O30" s="9">
        <v>14</v>
      </c>
      <c r="P30" s="5" t="s">
        <v>26</v>
      </c>
      <c r="Q30" s="2">
        <v>2</v>
      </c>
      <c r="R30" s="5" t="s">
        <v>27</v>
      </c>
      <c r="S30" s="5" t="s">
        <v>32</v>
      </c>
      <c r="T30" s="39">
        <v>385.2</v>
      </c>
    </row>
    <row r="31" spans="1:20" ht="20.100000000000001" hidden="1" customHeight="1" x14ac:dyDescent="0.25">
      <c r="A31" s="26" t="str">
        <f>CONCATENATE(RIGHT(LEFT(RecebimentoConcreto[[#This Row],[Obra]],5),4),"RCBC",TEXT(RecebimentoConcreto[[#This Row],[Ordem]],"0000"))</f>
        <v>0184RCBC0067</v>
      </c>
      <c r="B31" s="1">
        <v>67</v>
      </c>
      <c r="C31" s="1" t="s">
        <v>21</v>
      </c>
      <c r="D31" s="35">
        <v>44623</v>
      </c>
      <c r="E31" s="1" t="s">
        <v>88</v>
      </c>
      <c r="F31" s="2" t="s">
        <v>89</v>
      </c>
      <c r="G31" s="2">
        <v>5408</v>
      </c>
      <c r="H31" s="2" t="s">
        <v>90</v>
      </c>
      <c r="K31" s="32">
        <f>_xlfn.MAXIFS(ConsumoConcreto[Fim do Bombeamento],ConsumoConcreto[RecebimentoID],RecebimentoConcreto[[#This Row],[RecebimentoID]])</f>
        <v>0</v>
      </c>
      <c r="M31" s="37">
        <v>36892</v>
      </c>
      <c r="N31" s="5" t="s">
        <v>25</v>
      </c>
      <c r="O31" s="9">
        <v>18</v>
      </c>
      <c r="P31" s="5" t="s">
        <v>26</v>
      </c>
      <c r="Q31" s="2">
        <v>2</v>
      </c>
      <c r="R31" s="5" t="s">
        <v>27</v>
      </c>
      <c r="S31" s="5" t="s">
        <v>32</v>
      </c>
      <c r="T31" s="39">
        <v>385.2</v>
      </c>
    </row>
    <row r="32" spans="1:20" ht="20.100000000000001" hidden="1" customHeight="1" x14ac:dyDescent="0.25">
      <c r="A32" s="26" t="str">
        <f>CONCATENATE(RIGHT(LEFT(RecebimentoConcreto[[#This Row],[Obra]],5),4),"RCBC",TEXT(RecebimentoConcreto[[#This Row],[Ordem]],"0000"))</f>
        <v>0184RCBC0068</v>
      </c>
      <c r="B32" s="1">
        <v>68</v>
      </c>
      <c r="C32" s="1" t="s">
        <v>21</v>
      </c>
      <c r="D32" s="35">
        <v>44624</v>
      </c>
      <c r="E32" s="1" t="s">
        <v>91</v>
      </c>
      <c r="F32" s="2" t="s">
        <v>92</v>
      </c>
      <c r="G32" s="2">
        <v>5408</v>
      </c>
      <c r="H32" s="2" t="s">
        <v>93</v>
      </c>
      <c r="K32" s="32">
        <f>_xlfn.MAXIFS(ConsumoConcreto[Fim do Bombeamento],ConsumoConcreto[RecebimentoID],RecebimentoConcreto[[#This Row],[RecebimentoID]])</f>
        <v>0</v>
      </c>
      <c r="M32" s="37">
        <v>36892</v>
      </c>
      <c r="N32" s="5" t="s">
        <v>25</v>
      </c>
      <c r="O32" s="9">
        <v>15</v>
      </c>
      <c r="P32" s="5" t="s">
        <v>26</v>
      </c>
      <c r="Q32" s="2">
        <v>2</v>
      </c>
      <c r="R32" s="5" t="s">
        <v>27</v>
      </c>
      <c r="S32" s="5" t="s">
        <v>32</v>
      </c>
      <c r="T32" s="39">
        <v>385.2</v>
      </c>
    </row>
    <row r="33" spans="1:20" ht="20.100000000000001" hidden="1" customHeight="1" x14ac:dyDescent="0.25">
      <c r="A33" s="26" t="str">
        <f>CONCATENATE(RIGHT(LEFT(RecebimentoConcreto[[#This Row],[Obra]],5),4),"RCBC",TEXT(RecebimentoConcreto[[#This Row],[Ordem]],"0000"))</f>
        <v>0184RCBC0069</v>
      </c>
      <c r="B33" s="1">
        <v>69</v>
      </c>
      <c r="C33" s="1" t="s">
        <v>21</v>
      </c>
      <c r="D33" s="35">
        <v>44627</v>
      </c>
      <c r="E33" s="1" t="s">
        <v>94</v>
      </c>
      <c r="F33" s="2" t="s">
        <v>95</v>
      </c>
      <c r="G33" s="2">
        <v>5408</v>
      </c>
      <c r="H33" s="2" t="s">
        <v>96</v>
      </c>
      <c r="K33" s="32">
        <f>_xlfn.MAXIFS(ConsumoConcreto[Fim do Bombeamento],ConsumoConcreto[RecebimentoID],RecebimentoConcreto[[#This Row],[RecebimentoID]])</f>
        <v>0</v>
      </c>
      <c r="M33" s="37">
        <v>36892</v>
      </c>
      <c r="N33" s="5" t="s">
        <v>25</v>
      </c>
      <c r="O33" s="9">
        <v>14.5</v>
      </c>
      <c r="P33" s="5" t="s">
        <v>26</v>
      </c>
      <c r="Q33" s="2">
        <v>2</v>
      </c>
      <c r="R33" s="5" t="s">
        <v>27</v>
      </c>
      <c r="S33" s="5" t="s">
        <v>32</v>
      </c>
      <c r="T33" s="39">
        <v>385.2</v>
      </c>
    </row>
    <row r="34" spans="1:20" ht="20.100000000000001" hidden="1" customHeight="1" x14ac:dyDescent="0.25">
      <c r="A34" s="26" t="str">
        <f>CONCATENATE(RIGHT(LEFT(RecebimentoConcreto[[#This Row],[Obra]],5),4),"RCBC",TEXT(RecebimentoConcreto[[#This Row],[Ordem]],"0000"))</f>
        <v>0184RCBC0070</v>
      </c>
      <c r="B34" s="1">
        <v>70</v>
      </c>
      <c r="C34" s="1" t="s">
        <v>21</v>
      </c>
      <c r="D34" s="35">
        <v>44627</v>
      </c>
      <c r="E34" s="1" t="s">
        <v>97</v>
      </c>
      <c r="F34" s="2" t="s">
        <v>98</v>
      </c>
      <c r="G34" s="2">
        <v>5408</v>
      </c>
      <c r="H34" s="2" t="s">
        <v>99</v>
      </c>
      <c r="K34" s="32">
        <f>_xlfn.MAXIFS(ConsumoConcreto[Fim do Bombeamento],ConsumoConcreto[RecebimentoID],RecebimentoConcreto[[#This Row],[RecebimentoID]])</f>
        <v>0</v>
      </c>
      <c r="M34" s="37">
        <v>36892</v>
      </c>
      <c r="N34" s="5" t="s">
        <v>25</v>
      </c>
      <c r="O34" s="9">
        <v>18</v>
      </c>
      <c r="P34" s="5" t="s">
        <v>26</v>
      </c>
      <c r="Q34" s="2">
        <v>2</v>
      </c>
      <c r="R34" s="5" t="s">
        <v>27</v>
      </c>
      <c r="S34" s="5" t="s">
        <v>32</v>
      </c>
      <c r="T34" s="39">
        <v>385.2</v>
      </c>
    </row>
    <row r="35" spans="1:20" ht="20.100000000000001" hidden="1" customHeight="1" x14ac:dyDescent="0.25">
      <c r="A35" s="26" t="str">
        <f>CONCATENATE(RIGHT(LEFT(RecebimentoConcreto[[#This Row],[Obra]],5),4),"RCBC",TEXT(RecebimentoConcreto[[#This Row],[Ordem]],"0000"))</f>
        <v>0184RCBC0071</v>
      </c>
      <c r="B35" s="1">
        <v>71</v>
      </c>
      <c r="C35" s="1" t="s">
        <v>21</v>
      </c>
      <c r="D35" s="35">
        <v>44628</v>
      </c>
      <c r="E35" s="1" t="s">
        <v>100</v>
      </c>
      <c r="F35" s="2" t="s">
        <v>101</v>
      </c>
      <c r="G35" s="2">
        <v>5408</v>
      </c>
      <c r="H35" s="2" t="s">
        <v>102</v>
      </c>
      <c r="K35" s="32">
        <f>_xlfn.MAXIFS(ConsumoConcreto[Fim do Bombeamento],ConsumoConcreto[RecebimentoID],RecebimentoConcreto[[#This Row],[RecebimentoID]])</f>
        <v>0</v>
      </c>
      <c r="M35" s="37">
        <v>36892</v>
      </c>
      <c r="N35" s="5" t="s">
        <v>25</v>
      </c>
      <c r="O35" s="9">
        <v>15</v>
      </c>
      <c r="P35" s="5" t="s">
        <v>26</v>
      </c>
      <c r="Q35" s="2">
        <v>2</v>
      </c>
      <c r="R35" s="5" t="s">
        <v>27</v>
      </c>
      <c r="S35" s="5" t="s">
        <v>32</v>
      </c>
      <c r="T35" s="39">
        <v>385.2</v>
      </c>
    </row>
    <row r="36" spans="1:20" ht="20.100000000000001" hidden="1" customHeight="1" x14ac:dyDescent="0.25">
      <c r="A36" s="26" t="str">
        <f>CONCATENATE(RIGHT(LEFT(RecebimentoConcreto[[#This Row],[Obra]],5),4),"RCBC",TEXT(RecebimentoConcreto[[#This Row],[Ordem]],"0000"))</f>
        <v>0184RCBC0072</v>
      </c>
      <c r="B36" s="1">
        <v>72</v>
      </c>
      <c r="C36" s="1" t="s">
        <v>21</v>
      </c>
      <c r="D36" s="35">
        <v>44629</v>
      </c>
      <c r="E36" s="1" t="s">
        <v>103</v>
      </c>
      <c r="F36" s="2" t="s">
        <v>104</v>
      </c>
      <c r="G36" s="2">
        <v>5408</v>
      </c>
      <c r="H36" s="2" t="s">
        <v>105</v>
      </c>
      <c r="K36" s="32">
        <f>_xlfn.MAXIFS(ConsumoConcreto[Fim do Bombeamento],ConsumoConcreto[RecebimentoID],RecebimentoConcreto[[#This Row],[RecebimentoID]])</f>
        <v>0</v>
      </c>
      <c r="M36" s="37">
        <v>36892</v>
      </c>
      <c r="N36" s="5" t="s">
        <v>25</v>
      </c>
      <c r="O36" s="9">
        <v>18</v>
      </c>
      <c r="P36" s="5" t="s">
        <v>26</v>
      </c>
      <c r="Q36" s="2">
        <v>2</v>
      </c>
      <c r="R36" s="5" t="s">
        <v>27</v>
      </c>
      <c r="S36" s="5" t="s">
        <v>32</v>
      </c>
      <c r="T36" s="39">
        <v>385.2</v>
      </c>
    </row>
    <row r="37" spans="1:20" ht="20.100000000000001" hidden="1" customHeight="1" x14ac:dyDescent="0.25">
      <c r="A37" s="26" t="str">
        <f>CONCATENATE(RIGHT(LEFT(RecebimentoConcreto[[#This Row],[Obra]],5),4),"RCBC",TEXT(RecebimentoConcreto[[#This Row],[Ordem]],"0000"))</f>
        <v>0184RCBC0073</v>
      </c>
      <c r="B37" s="1">
        <v>73</v>
      </c>
      <c r="C37" s="1" t="s">
        <v>21</v>
      </c>
      <c r="D37" s="35">
        <v>44658</v>
      </c>
      <c r="E37" s="1" t="s">
        <v>38</v>
      </c>
      <c r="F37" s="2">
        <v>16752</v>
      </c>
      <c r="G37" s="2">
        <v>5408</v>
      </c>
      <c r="H37" s="2">
        <v>10889</v>
      </c>
      <c r="K37" s="32">
        <f>_xlfn.MAXIFS(ConsumoConcreto[Fim do Bombeamento],ConsumoConcreto[RecebimentoID],RecebimentoConcreto[[#This Row],[RecebimentoID]])</f>
        <v>0</v>
      </c>
      <c r="M37" s="37">
        <v>36892</v>
      </c>
      <c r="N37" s="5" t="s">
        <v>25</v>
      </c>
      <c r="O37" s="9">
        <v>0.2</v>
      </c>
      <c r="P37" s="5" t="s">
        <v>26</v>
      </c>
      <c r="Q37" s="2">
        <v>3</v>
      </c>
      <c r="R37" s="5" t="s">
        <v>27</v>
      </c>
      <c r="S37" s="5" t="s">
        <v>32</v>
      </c>
      <c r="T37" s="39">
        <v>412.16399999999999</v>
      </c>
    </row>
    <row r="38" spans="1:20" ht="20.100000000000001" hidden="1" customHeight="1" x14ac:dyDescent="0.25">
      <c r="A38" s="26" t="str">
        <f>CONCATENATE(RIGHT(LEFT(RecebimentoConcreto[[#This Row],[Obra]],5),4),"RCBC",TEXT(RecebimentoConcreto[[#This Row],[Ordem]],"0000"))</f>
        <v>0184RCBC0074</v>
      </c>
      <c r="B38" s="1">
        <v>74</v>
      </c>
      <c r="C38" s="1" t="s">
        <v>21</v>
      </c>
      <c r="D38" s="35">
        <v>44677</v>
      </c>
      <c r="E38" s="1" t="s">
        <v>106</v>
      </c>
      <c r="F38" s="2">
        <v>14396</v>
      </c>
      <c r="G38" s="2">
        <v>5408</v>
      </c>
      <c r="H38" s="2">
        <v>11758</v>
      </c>
      <c r="K38" s="32">
        <f>_xlfn.MAXIFS(ConsumoConcreto[Fim do Bombeamento],ConsumoConcreto[RecebimentoID],RecebimentoConcreto[[#This Row],[RecebimentoID]])</f>
        <v>0</v>
      </c>
      <c r="M38" s="37">
        <v>36892</v>
      </c>
      <c r="N38" s="5" t="s">
        <v>25</v>
      </c>
      <c r="O38" s="9">
        <v>0.3</v>
      </c>
      <c r="P38" s="5" t="s">
        <v>26</v>
      </c>
      <c r="Q38" s="2">
        <v>3</v>
      </c>
      <c r="R38" s="5" t="s">
        <v>27</v>
      </c>
      <c r="S38" s="5" t="s">
        <v>32</v>
      </c>
      <c r="T38" s="39">
        <v>412.16399999999999</v>
      </c>
    </row>
    <row r="39" spans="1:20" ht="20.100000000000001" hidden="1" customHeight="1" x14ac:dyDescent="0.25">
      <c r="A39" s="26" t="str">
        <f>CONCATENATE(RIGHT(LEFT(RecebimentoConcreto[[#This Row],[Obra]],5),4),"RCBC",TEXT(RecebimentoConcreto[[#This Row],[Ordem]],"0000"))</f>
        <v>0184RCBC0075</v>
      </c>
      <c r="B39" s="1">
        <v>75</v>
      </c>
      <c r="C39" s="1" t="s">
        <v>21</v>
      </c>
      <c r="D39" s="35">
        <v>44677</v>
      </c>
      <c r="E39" s="1" t="s">
        <v>106</v>
      </c>
      <c r="F39" s="2">
        <v>14396</v>
      </c>
      <c r="G39" s="2">
        <v>5408</v>
      </c>
      <c r="H39" s="2">
        <v>11758</v>
      </c>
      <c r="K39" s="32">
        <f>_xlfn.MAXIFS(ConsumoConcreto[Fim do Bombeamento],ConsumoConcreto[RecebimentoID],RecebimentoConcreto[[#This Row],[RecebimentoID]])</f>
        <v>0</v>
      </c>
      <c r="M39" s="37">
        <v>36892</v>
      </c>
      <c r="N39" s="5" t="s">
        <v>25</v>
      </c>
      <c r="O39" s="9">
        <v>0.3</v>
      </c>
      <c r="P39" s="5" t="s">
        <v>26</v>
      </c>
      <c r="Q39" s="2">
        <v>3</v>
      </c>
      <c r="R39" s="5" t="s">
        <v>27</v>
      </c>
      <c r="S39" s="5" t="s">
        <v>32</v>
      </c>
      <c r="T39" s="39">
        <v>412.16399999999999</v>
      </c>
    </row>
    <row r="40" spans="1:20" ht="20.100000000000001" hidden="1" customHeight="1" x14ac:dyDescent="0.25">
      <c r="A40" s="26" t="str">
        <f>CONCATENATE(RIGHT(LEFT(RecebimentoConcreto[[#This Row],[Obra]],5),4),"RCBC",TEXT(RecebimentoConcreto[[#This Row],[Ordem]],"0000"))</f>
        <v>0184RCBC0076</v>
      </c>
      <c r="B40" s="1">
        <v>76</v>
      </c>
      <c r="C40" s="1" t="s">
        <v>21</v>
      </c>
      <c r="D40" s="35">
        <v>44677</v>
      </c>
      <c r="E40" s="1" t="s">
        <v>106</v>
      </c>
      <c r="F40" s="2">
        <v>14396</v>
      </c>
      <c r="G40" s="2">
        <v>5408</v>
      </c>
      <c r="H40" s="2">
        <v>11758</v>
      </c>
      <c r="K40" s="32">
        <f>_xlfn.MAXIFS(ConsumoConcreto[Fim do Bombeamento],ConsumoConcreto[RecebimentoID],RecebimentoConcreto[[#This Row],[RecebimentoID]])</f>
        <v>0</v>
      </c>
      <c r="M40" s="37">
        <v>36892</v>
      </c>
      <c r="N40" s="5" t="s">
        <v>25</v>
      </c>
      <c r="O40" s="9">
        <v>0.3</v>
      </c>
      <c r="P40" s="5" t="s">
        <v>26</v>
      </c>
      <c r="Q40" s="2">
        <v>3</v>
      </c>
      <c r="R40" s="5" t="s">
        <v>27</v>
      </c>
      <c r="S40" s="5" t="s">
        <v>32</v>
      </c>
      <c r="T40" s="39">
        <v>412.16399999999999</v>
      </c>
    </row>
    <row r="41" spans="1:20" ht="20.100000000000001" hidden="1" customHeight="1" x14ac:dyDescent="0.25">
      <c r="A41" s="26" t="str">
        <f>CONCATENATE(RIGHT(LEFT(RecebimentoConcreto[[#This Row],[Obra]],5),4),"RCBC",TEXT(RecebimentoConcreto[[#This Row],[Ordem]],"0000"))</f>
        <v>0184RCBC0077</v>
      </c>
      <c r="B41" s="1">
        <v>77</v>
      </c>
      <c r="C41" s="1" t="s">
        <v>21</v>
      </c>
      <c r="D41" s="35">
        <v>44732</v>
      </c>
      <c r="E41" s="1" t="s">
        <v>38</v>
      </c>
      <c r="F41" s="2">
        <v>9013</v>
      </c>
      <c r="G41" s="2">
        <v>5408</v>
      </c>
      <c r="H41" s="2">
        <v>15115</v>
      </c>
      <c r="K41" s="32">
        <f>_xlfn.MAXIFS(ConsumoConcreto[Fim do Bombeamento],ConsumoConcreto[RecebimentoID],RecebimentoConcreto[[#This Row],[RecebimentoID]])</f>
        <v>0</v>
      </c>
      <c r="M41" s="37">
        <v>36892</v>
      </c>
      <c r="N41" s="5" t="s">
        <v>25</v>
      </c>
      <c r="O41" s="9">
        <v>0.17</v>
      </c>
      <c r="P41" s="5" t="s">
        <v>26</v>
      </c>
      <c r="Q41" s="2">
        <v>3</v>
      </c>
      <c r="R41" s="5" t="s">
        <v>27</v>
      </c>
      <c r="S41" s="5" t="s">
        <v>32</v>
      </c>
      <c r="T41" s="39">
        <v>450</v>
      </c>
    </row>
    <row r="42" spans="1:20" ht="20.100000000000001" hidden="1" customHeight="1" x14ac:dyDescent="0.25">
      <c r="A42" s="26" t="str">
        <f>CONCATENATE(RIGHT(LEFT(RecebimentoConcreto[[#This Row],[Obra]],5),4),"RCBC",TEXT(RecebimentoConcreto[[#This Row],[Ordem]],"0000"))</f>
        <v>0184RCBC0078</v>
      </c>
      <c r="B42" s="1">
        <v>78</v>
      </c>
      <c r="C42" s="1" t="s">
        <v>21</v>
      </c>
      <c r="D42" s="35">
        <v>44732</v>
      </c>
      <c r="E42" s="1" t="s">
        <v>38</v>
      </c>
      <c r="F42" s="2">
        <v>9013</v>
      </c>
      <c r="G42" s="2">
        <v>5408</v>
      </c>
      <c r="H42" s="2">
        <v>15115</v>
      </c>
      <c r="K42" s="32">
        <f>_xlfn.MAXIFS(ConsumoConcreto[Fim do Bombeamento],ConsumoConcreto[RecebimentoID],RecebimentoConcreto[[#This Row],[RecebimentoID]])</f>
        <v>0</v>
      </c>
      <c r="M42" s="37">
        <v>36892</v>
      </c>
      <c r="N42" s="5" t="s">
        <v>25</v>
      </c>
      <c r="O42" s="9">
        <v>0.17</v>
      </c>
      <c r="P42" s="5" t="s">
        <v>26</v>
      </c>
      <c r="Q42" s="2">
        <v>3</v>
      </c>
      <c r="R42" s="5" t="s">
        <v>27</v>
      </c>
      <c r="S42" s="5" t="s">
        <v>32</v>
      </c>
      <c r="T42" s="39">
        <v>450</v>
      </c>
    </row>
    <row r="43" spans="1:20" ht="20.100000000000001" hidden="1" customHeight="1" x14ac:dyDescent="0.25">
      <c r="A43" s="26" t="str">
        <f>CONCATENATE(RIGHT(LEFT(RecebimentoConcreto[[#This Row],[Obra]],5),4),"RCBC",TEXT(RecebimentoConcreto[[#This Row],[Ordem]],"0000"))</f>
        <v>0184RCBC0079</v>
      </c>
      <c r="B43" s="1">
        <v>79</v>
      </c>
      <c r="C43" s="1" t="s">
        <v>21</v>
      </c>
      <c r="D43" s="35">
        <v>44732</v>
      </c>
      <c r="E43" s="1" t="s">
        <v>38</v>
      </c>
      <c r="F43" s="2">
        <v>9013</v>
      </c>
      <c r="G43" s="2">
        <v>5408</v>
      </c>
      <c r="H43" s="2">
        <v>15115</v>
      </c>
      <c r="K43" s="32">
        <f>_xlfn.MAXIFS(ConsumoConcreto[Fim do Bombeamento],ConsumoConcreto[RecebimentoID],RecebimentoConcreto[[#This Row],[RecebimentoID]])</f>
        <v>0</v>
      </c>
      <c r="M43" s="37">
        <v>36892</v>
      </c>
      <c r="N43" s="5" t="s">
        <v>25</v>
      </c>
      <c r="O43" s="9">
        <v>0.17</v>
      </c>
      <c r="P43" s="5" t="s">
        <v>26</v>
      </c>
      <c r="Q43" s="2">
        <v>3</v>
      </c>
      <c r="R43" s="5" t="s">
        <v>27</v>
      </c>
      <c r="S43" s="5" t="s">
        <v>32</v>
      </c>
      <c r="T43" s="39">
        <v>450</v>
      </c>
    </row>
    <row r="44" spans="1:20" ht="20.100000000000001" hidden="1" customHeight="1" x14ac:dyDescent="0.25">
      <c r="A44" s="26" t="str">
        <f>CONCATENATE(RIGHT(LEFT(RecebimentoConcreto[[#This Row],[Obra]],5),4),"RCBC",TEXT(RecebimentoConcreto[[#This Row],[Ordem]],"0000"))</f>
        <v>0184RCBC0082</v>
      </c>
      <c r="B44" s="1">
        <v>82</v>
      </c>
      <c r="C44" s="1" t="s">
        <v>21</v>
      </c>
      <c r="D44" s="35">
        <v>44746</v>
      </c>
      <c r="E44" s="1" t="s">
        <v>107</v>
      </c>
      <c r="F44" s="2" t="s">
        <v>108</v>
      </c>
      <c r="G44" s="2">
        <v>5408</v>
      </c>
      <c r="H44" s="2" t="s">
        <v>109</v>
      </c>
      <c r="K44" s="32">
        <f>_xlfn.MAXIFS(ConsumoConcreto[Fim do Bombeamento],ConsumoConcreto[RecebimentoID],RecebimentoConcreto[[#This Row],[RecebimentoID]])</f>
        <v>0</v>
      </c>
      <c r="M44" s="37">
        <v>36892</v>
      </c>
      <c r="N44" s="5" t="s">
        <v>25</v>
      </c>
      <c r="O44" s="9">
        <v>0.1</v>
      </c>
      <c r="P44" s="5" t="s">
        <v>26</v>
      </c>
      <c r="Q44" s="2">
        <v>3</v>
      </c>
      <c r="R44" s="5" t="s">
        <v>27</v>
      </c>
      <c r="S44" s="5" t="s">
        <v>32</v>
      </c>
      <c r="T44" s="39">
        <v>450</v>
      </c>
    </row>
    <row r="45" spans="1:20" ht="20.100000000000001" hidden="1" customHeight="1" x14ac:dyDescent="0.25">
      <c r="A45" s="26" t="str">
        <f>CONCATENATE(RIGHT(LEFT(RecebimentoConcreto[[#This Row],[Obra]],5),4),"RCBC",TEXT(RecebimentoConcreto[[#This Row],[Ordem]],"0000"))</f>
        <v>0184RCBC0083</v>
      </c>
      <c r="B45" s="1">
        <v>83</v>
      </c>
      <c r="C45" s="1" t="s">
        <v>21</v>
      </c>
      <c r="D45" s="35">
        <v>44746</v>
      </c>
      <c r="E45" s="1" t="s">
        <v>107</v>
      </c>
      <c r="F45" s="2" t="s">
        <v>108</v>
      </c>
      <c r="G45" s="2">
        <v>5408</v>
      </c>
      <c r="H45" s="2" t="s">
        <v>109</v>
      </c>
      <c r="K45" s="32">
        <f>_xlfn.MAXIFS(ConsumoConcreto[Fim do Bombeamento],ConsumoConcreto[RecebimentoID],RecebimentoConcreto[[#This Row],[RecebimentoID]])</f>
        <v>0</v>
      </c>
      <c r="M45" s="37">
        <v>36892</v>
      </c>
      <c r="N45" s="5" t="s">
        <v>25</v>
      </c>
      <c r="O45" s="9">
        <v>0.1</v>
      </c>
      <c r="P45" s="5" t="s">
        <v>26</v>
      </c>
      <c r="Q45" s="2">
        <v>3</v>
      </c>
      <c r="R45" s="5" t="s">
        <v>27</v>
      </c>
      <c r="S45" s="5" t="s">
        <v>32</v>
      </c>
      <c r="T45" s="39">
        <v>450</v>
      </c>
    </row>
    <row r="46" spans="1:20" ht="20.100000000000001" hidden="1" customHeight="1" x14ac:dyDescent="0.25">
      <c r="A46" s="26" t="str">
        <f>CONCATENATE(RIGHT(LEFT(RecebimentoConcreto[[#This Row],[Obra]],5),4),"RCBC",TEXT(RecebimentoConcreto[[#This Row],[Ordem]],"0000"))</f>
        <v>0184RCBC0084</v>
      </c>
      <c r="B46" s="1">
        <v>84</v>
      </c>
      <c r="C46" s="1" t="s">
        <v>21</v>
      </c>
      <c r="D46" s="35">
        <v>44746</v>
      </c>
      <c r="E46" s="1" t="s">
        <v>107</v>
      </c>
      <c r="F46" s="2" t="s">
        <v>108</v>
      </c>
      <c r="G46" s="2">
        <v>5408</v>
      </c>
      <c r="H46" s="2" t="s">
        <v>109</v>
      </c>
      <c r="K46" s="32">
        <f>_xlfn.MAXIFS(ConsumoConcreto[Fim do Bombeamento],ConsumoConcreto[RecebimentoID],RecebimentoConcreto[[#This Row],[RecebimentoID]])</f>
        <v>0</v>
      </c>
      <c r="M46" s="37">
        <v>36892</v>
      </c>
      <c r="N46" s="5" t="s">
        <v>25</v>
      </c>
      <c r="O46" s="9">
        <v>0.1</v>
      </c>
      <c r="P46" s="5" t="s">
        <v>26</v>
      </c>
      <c r="Q46" s="2">
        <v>3</v>
      </c>
      <c r="R46" s="5" t="s">
        <v>27</v>
      </c>
      <c r="S46" s="5" t="s">
        <v>32</v>
      </c>
      <c r="T46" s="39">
        <v>450</v>
      </c>
    </row>
    <row r="47" spans="1:20" ht="20.100000000000001" hidden="1" customHeight="1" x14ac:dyDescent="0.25">
      <c r="A47" s="26" t="str">
        <f>CONCATENATE(RIGHT(LEFT(RecebimentoConcreto[[#This Row],[Obra]],5),4),"RCBC",TEXT(RecebimentoConcreto[[#This Row],[Ordem]],"0000"))</f>
        <v>0184RCBC0085</v>
      </c>
      <c r="B47" s="1">
        <v>85</v>
      </c>
      <c r="C47" s="1" t="s">
        <v>21</v>
      </c>
      <c r="D47" s="35">
        <v>44747</v>
      </c>
      <c r="E47" s="1" t="s">
        <v>110</v>
      </c>
      <c r="F47" s="2" t="s">
        <v>111</v>
      </c>
      <c r="G47" s="2">
        <v>5408</v>
      </c>
      <c r="H47" s="2" t="s">
        <v>112</v>
      </c>
      <c r="K47" s="32">
        <f>_xlfn.MAXIFS(ConsumoConcreto[Fim do Bombeamento],ConsumoConcreto[RecebimentoID],RecebimentoConcreto[[#This Row],[RecebimentoID]])</f>
        <v>0</v>
      </c>
      <c r="M47" s="37">
        <v>36892</v>
      </c>
      <c r="N47" s="5" t="s">
        <v>25</v>
      </c>
      <c r="O47" s="9">
        <v>0.1</v>
      </c>
      <c r="P47" s="5" t="s">
        <v>26</v>
      </c>
      <c r="Q47" s="2">
        <v>3</v>
      </c>
      <c r="R47" s="5" t="s">
        <v>27</v>
      </c>
      <c r="S47" s="5" t="s">
        <v>32</v>
      </c>
      <c r="T47" s="39">
        <v>450</v>
      </c>
    </row>
    <row r="48" spans="1:20" ht="20.100000000000001" hidden="1" customHeight="1" x14ac:dyDescent="0.25">
      <c r="A48" s="26" t="str">
        <f>CONCATENATE(RIGHT(LEFT(RecebimentoConcreto[[#This Row],[Obra]],5),4),"RCBC",TEXT(RecebimentoConcreto[[#This Row],[Ordem]],"0000"))</f>
        <v>0184RCBC0086</v>
      </c>
      <c r="B48" s="1">
        <v>86</v>
      </c>
      <c r="C48" s="1" t="s">
        <v>21</v>
      </c>
      <c r="D48" s="35">
        <v>44747</v>
      </c>
      <c r="E48" s="1" t="s">
        <v>110</v>
      </c>
      <c r="F48" s="2" t="s">
        <v>111</v>
      </c>
      <c r="G48" s="2">
        <v>5408</v>
      </c>
      <c r="H48" s="2" t="s">
        <v>112</v>
      </c>
      <c r="K48" s="32">
        <f>_xlfn.MAXIFS(ConsumoConcreto[Fim do Bombeamento],ConsumoConcreto[RecebimentoID],RecebimentoConcreto[[#This Row],[RecebimentoID]])</f>
        <v>0</v>
      </c>
      <c r="M48" s="37">
        <v>36892</v>
      </c>
      <c r="N48" s="5" t="s">
        <v>25</v>
      </c>
      <c r="O48" s="9">
        <v>0.1</v>
      </c>
      <c r="P48" s="5" t="s">
        <v>26</v>
      </c>
      <c r="Q48" s="2">
        <v>3</v>
      </c>
      <c r="R48" s="5" t="s">
        <v>27</v>
      </c>
      <c r="S48" s="5" t="s">
        <v>32</v>
      </c>
      <c r="T48" s="39">
        <v>450</v>
      </c>
    </row>
    <row r="49" spans="1:20" ht="20.100000000000001" hidden="1" customHeight="1" x14ac:dyDescent="0.25">
      <c r="A49" s="26" t="str">
        <f>CONCATENATE(RIGHT(LEFT(RecebimentoConcreto[[#This Row],[Obra]],5),4),"RCBC",TEXT(RecebimentoConcreto[[#This Row],[Ordem]],"0000"))</f>
        <v>0184RCBC0087</v>
      </c>
      <c r="B49" s="1">
        <v>87</v>
      </c>
      <c r="C49" s="1" t="s">
        <v>21</v>
      </c>
      <c r="D49" s="35">
        <v>44747</v>
      </c>
      <c r="E49" s="1" t="s">
        <v>110</v>
      </c>
      <c r="F49" s="2" t="s">
        <v>111</v>
      </c>
      <c r="G49" s="2">
        <v>5408</v>
      </c>
      <c r="H49" s="2" t="s">
        <v>112</v>
      </c>
      <c r="K49" s="32">
        <f>_xlfn.MAXIFS(ConsumoConcreto[Fim do Bombeamento],ConsumoConcreto[RecebimentoID],RecebimentoConcreto[[#This Row],[RecebimentoID]])</f>
        <v>0</v>
      </c>
      <c r="M49" s="37">
        <v>36892</v>
      </c>
      <c r="N49" s="5" t="s">
        <v>25</v>
      </c>
      <c r="O49" s="9">
        <v>0.1</v>
      </c>
      <c r="P49" s="5" t="s">
        <v>26</v>
      </c>
      <c r="Q49" s="2">
        <v>3</v>
      </c>
      <c r="R49" s="5" t="s">
        <v>27</v>
      </c>
      <c r="S49" s="5" t="s">
        <v>32</v>
      </c>
      <c r="T49" s="39">
        <v>450</v>
      </c>
    </row>
    <row r="50" spans="1:20" ht="20.100000000000001" hidden="1" customHeight="1" x14ac:dyDescent="0.25">
      <c r="A50" s="26" t="str">
        <f>CONCATENATE(RIGHT(LEFT(RecebimentoConcreto[[#This Row],[Obra]],5),4),"RCBC",TEXT(RecebimentoConcreto[[#This Row],[Ordem]],"0000"))</f>
        <v>0184RCBC0088</v>
      </c>
      <c r="B50" s="1">
        <v>88</v>
      </c>
      <c r="C50" s="1" t="s">
        <v>21</v>
      </c>
      <c r="D50" s="35">
        <v>44748</v>
      </c>
      <c r="E50" s="1" t="s">
        <v>113</v>
      </c>
      <c r="F50" s="2" t="s">
        <v>114</v>
      </c>
      <c r="G50" s="2">
        <v>5408</v>
      </c>
      <c r="H50" s="2" t="s">
        <v>115</v>
      </c>
      <c r="K50" s="32">
        <f>_xlfn.MAXIFS(ConsumoConcreto[Fim do Bombeamento],ConsumoConcreto[RecebimentoID],RecebimentoConcreto[[#This Row],[RecebimentoID]])</f>
        <v>0</v>
      </c>
      <c r="M50" s="37">
        <v>36892</v>
      </c>
      <c r="N50" s="5" t="s">
        <v>25</v>
      </c>
      <c r="O50" s="9">
        <v>0.1</v>
      </c>
      <c r="P50" s="5" t="s">
        <v>26</v>
      </c>
      <c r="Q50" s="2">
        <v>3</v>
      </c>
      <c r="R50" s="5" t="s">
        <v>27</v>
      </c>
      <c r="S50" s="5" t="s">
        <v>32</v>
      </c>
      <c r="T50" s="39">
        <v>450</v>
      </c>
    </row>
    <row r="51" spans="1:20" ht="20.100000000000001" hidden="1" customHeight="1" x14ac:dyDescent="0.25">
      <c r="A51" s="26" t="str">
        <f>CONCATENATE(RIGHT(LEFT(RecebimentoConcreto[[#This Row],[Obra]],5),4),"RCBC",TEXT(RecebimentoConcreto[[#This Row],[Ordem]],"0000"))</f>
        <v>0184RCBC0089</v>
      </c>
      <c r="B51" s="1">
        <v>89</v>
      </c>
      <c r="C51" s="1" t="s">
        <v>21</v>
      </c>
      <c r="D51" s="35">
        <v>44748</v>
      </c>
      <c r="E51" s="1" t="s">
        <v>113</v>
      </c>
      <c r="F51" s="2" t="s">
        <v>114</v>
      </c>
      <c r="G51" s="2">
        <v>5408</v>
      </c>
      <c r="H51" s="2" t="s">
        <v>115</v>
      </c>
      <c r="K51" s="32">
        <f>_xlfn.MAXIFS(ConsumoConcreto[Fim do Bombeamento],ConsumoConcreto[RecebimentoID],RecebimentoConcreto[[#This Row],[RecebimentoID]])</f>
        <v>0</v>
      </c>
      <c r="M51" s="37">
        <v>36892</v>
      </c>
      <c r="N51" s="5" t="s">
        <v>25</v>
      </c>
      <c r="O51" s="9">
        <v>0.1</v>
      </c>
      <c r="P51" s="5" t="s">
        <v>26</v>
      </c>
      <c r="Q51" s="2">
        <v>3</v>
      </c>
      <c r="R51" s="5" t="s">
        <v>27</v>
      </c>
      <c r="S51" s="5" t="s">
        <v>32</v>
      </c>
      <c r="T51" s="39">
        <v>450</v>
      </c>
    </row>
    <row r="52" spans="1:20" ht="20.100000000000001" hidden="1" customHeight="1" x14ac:dyDescent="0.25">
      <c r="A52" s="26" t="str">
        <f>CONCATENATE(RIGHT(LEFT(RecebimentoConcreto[[#This Row],[Obra]],5),4),"RCBC",TEXT(RecebimentoConcreto[[#This Row],[Ordem]],"0000"))</f>
        <v>0184RCBC0090</v>
      </c>
      <c r="B52" s="1">
        <v>90</v>
      </c>
      <c r="C52" s="1" t="s">
        <v>21</v>
      </c>
      <c r="D52" s="35">
        <v>44748</v>
      </c>
      <c r="E52" s="1" t="s">
        <v>113</v>
      </c>
      <c r="F52" s="2" t="s">
        <v>114</v>
      </c>
      <c r="G52" s="2">
        <v>5408</v>
      </c>
      <c r="H52" s="2" t="s">
        <v>115</v>
      </c>
      <c r="K52" s="32">
        <f>_xlfn.MAXIFS(ConsumoConcreto[Fim do Bombeamento],ConsumoConcreto[RecebimentoID],RecebimentoConcreto[[#This Row],[RecebimentoID]])</f>
        <v>0</v>
      </c>
      <c r="M52" s="37">
        <v>36892</v>
      </c>
      <c r="N52" s="5" t="s">
        <v>25</v>
      </c>
      <c r="O52" s="9">
        <v>0.1</v>
      </c>
      <c r="P52" s="5" t="s">
        <v>26</v>
      </c>
      <c r="Q52" s="2">
        <v>3</v>
      </c>
      <c r="R52" s="5" t="s">
        <v>27</v>
      </c>
      <c r="S52" s="5" t="s">
        <v>32</v>
      </c>
      <c r="T52" s="39">
        <v>450</v>
      </c>
    </row>
    <row r="53" spans="1:20" ht="20.100000000000001" hidden="1" customHeight="1" x14ac:dyDescent="0.25">
      <c r="A53" s="26" t="str">
        <f>CONCATENATE(RIGHT(LEFT(RecebimentoConcreto[[#This Row],[Obra]],5),4),"RCBC",TEXT(RecebimentoConcreto[[#This Row],[Ordem]],"0000"))</f>
        <v>0184RCBC0091</v>
      </c>
      <c r="B53" s="1">
        <v>91</v>
      </c>
      <c r="C53" s="1" t="s">
        <v>21</v>
      </c>
      <c r="D53" s="35">
        <v>44750</v>
      </c>
      <c r="E53" s="1" t="s">
        <v>116</v>
      </c>
      <c r="F53" s="2" t="s">
        <v>117</v>
      </c>
      <c r="G53" s="2">
        <v>5408</v>
      </c>
      <c r="H53" s="2" t="s">
        <v>118</v>
      </c>
      <c r="K53" s="32">
        <f>_xlfn.MAXIFS(ConsumoConcreto[Fim do Bombeamento],ConsumoConcreto[RecebimentoID],RecebimentoConcreto[[#This Row],[RecebimentoID]])</f>
        <v>0</v>
      </c>
      <c r="M53" s="37">
        <v>36892</v>
      </c>
      <c r="N53" s="5" t="s">
        <v>25</v>
      </c>
      <c r="O53" s="9">
        <v>0.1</v>
      </c>
      <c r="P53" s="5" t="s">
        <v>26</v>
      </c>
      <c r="Q53" s="2">
        <v>3</v>
      </c>
      <c r="R53" s="5" t="s">
        <v>27</v>
      </c>
      <c r="S53" s="5" t="s">
        <v>32</v>
      </c>
      <c r="T53" s="39">
        <v>450</v>
      </c>
    </row>
    <row r="54" spans="1:20" ht="20.100000000000001" hidden="1" customHeight="1" x14ac:dyDescent="0.25">
      <c r="A54" s="26" t="str">
        <f>CONCATENATE(RIGHT(LEFT(RecebimentoConcreto[[#This Row],[Obra]],5),4),"RCBC",TEXT(RecebimentoConcreto[[#This Row],[Ordem]],"0000"))</f>
        <v>0184RCBC0092</v>
      </c>
      <c r="B54" s="1">
        <v>92</v>
      </c>
      <c r="C54" s="1" t="s">
        <v>21</v>
      </c>
      <c r="D54" s="35">
        <v>44750</v>
      </c>
      <c r="E54" s="1" t="s">
        <v>116</v>
      </c>
      <c r="F54" s="2" t="s">
        <v>117</v>
      </c>
      <c r="G54" s="2">
        <v>5408</v>
      </c>
      <c r="H54" s="2" t="s">
        <v>118</v>
      </c>
      <c r="K54" s="32">
        <f>_xlfn.MAXIFS(ConsumoConcreto[Fim do Bombeamento],ConsumoConcreto[RecebimentoID],RecebimentoConcreto[[#This Row],[RecebimentoID]])</f>
        <v>0</v>
      </c>
      <c r="M54" s="37">
        <v>36892</v>
      </c>
      <c r="N54" s="5" t="s">
        <v>25</v>
      </c>
      <c r="O54" s="9">
        <v>0.1</v>
      </c>
      <c r="P54" s="5" t="s">
        <v>26</v>
      </c>
      <c r="Q54" s="2">
        <v>3</v>
      </c>
      <c r="R54" s="5" t="s">
        <v>27</v>
      </c>
      <c r="S54" s="5" t="s">
        <v>32</v>
      </c>
      <c r="T54" s="39">
        <v>450</v>
      </c>
    </row>
    <row r="55" spans="1:20" ht="20.100000000000001" hidden="1" customHeight="1" x14ac:dyDescent="0.25">
      <c r="A55" s="26" t="str">
        <f>CONCATENATE(RIGHT(LEFT(RecebimentoConcreto[[#This Row],[Obra]],5),4),"RCBC",TEXT(RecebimentoConcreto[[#This Row],[Ordem]],"0000"))</f>
        <v>0184RCBC0093</v>
      </c>
      <c r="B55" s="1">
        <v>93</v>
      </c>
      <c r="C55" s="1" t="s">
        <v>21</v>
      </c>
      <c r="D55" s="35">
        <v>44750</v>
      </c>
      <c r="E55" s="1" t="s">
        <v>116</v>
      </c>
      <c r="F55" s="2" t="s">
        <v>117</v>
      </c>
      <c r="G55" s="2">
        <v>5408</v>
      </c>
      <c r="H55" s="2" t="s">
        <v>118</v>
      </c>
      <c r="K55" s="32">
        <f>_xlfn.MAXIFS(ConsumoConcreto[Fim do Bombeamento],ConsumoConcreto[RecebimentoID],RecebimentoConcreto[[#This Row],[RecebimentoID]])</f>
        <v>0</v>
      </c>
      <c r="M55" s="37">
        <v>36892</v>
      </c>
      <c r="N55" s="5" t="s">
        <v>25</v>
      </c>
      <c r="O55" s="9">
        <v>0.1</v>
      </c>
      <c r="P55" s="5" t="s">
        <v>26</v>
      </c>
      <c r="Q55" s="2">
        <v>3</v>
      </c>
      <c r="R55" s="5" t="s">
        <v>27</v>
      </c>
      <c r="S55" s="5" t="s">
        <v>32</v>
      </c>
      <c r="T55" s="39">
        <v>450</v>
      </c>
    </row>
    <row r="56" spans="1:20" ht="20.100000000000001" hidden="1" customHeight="1" x14ac:dyDescent="0.25">
      <c r="A56" s="26" t="str">
        <f>CONCATENATE(RIGHT(LEFT(RecebimentoConcreto[[#This Row],[Obra]],5),4),"RCBC",TEXT(RecebimentoConcreto[[#This Row],[Ordem]],"0000"))</f>
        <v>0184RCBC0094</v>
      </c>
      <c r="B56" s="1">
        <v>94</v>
      </c>
      <c r="C56" s="1" t="s">
        <v>21</v>
      </c>
      <c r="D56" s="35">
        <v>44768</v>
      </c>
      <c r="E56" s="1" t="s">
        <v>106</v>
      </c>
      <c r="F56" s="2">
        <v>20291</v>
      </c>
      <c r="G56" s="2">
        <v>5408</v>
      </c>
      <c r="H56" s="2">
        <v>15700</v>
      </c>
      <c r="K56" s="32">
        <f>_xlfn.MAXIFS(ConsumoConcreto[Fim do Bombeamento],ConsumoConcreto[RecebimentoID],RecebimentoConcreto[[#This Row],[RecebimentoID]])</f>
        <v>0</v>
      </c>
      <c r="M56" s="37">
        <v>36892</v>
      </c>
      <c r="N56" s="5" t="s">
        <v>25</v>
      </c>
      <c r="O56" s="9">
        <v>0.1</v>
      </c>
      <c r="P56" s="5" t="s">
        <v>26</v>
      </c>
      <c r="Q56" s="2">
        <v>3</v>
      </c>
      <c r="R56" s="5" t="s">
        <v>27</v>
      </c>
      <c r="S56" s="5" t="s">
        <v>32</v>
      </c>
      <c r="T56" s="39">
        <v>450</v>
      </c>
    </row>
    <row r="57" spans="1:20" ht="20.100000000000001" hidden="1" customHeight="1" x14ac:dyDescent="0.25">
      <c r="A57" s="26" t="str">
        <f>CONCATENATE(RIGHT(LEFT(RecebimentoConcreto[[#This Row],[Obra]],5),4),"RCBC",TEXT(RecebimentoConcreto[[#This Row],[Ordem]],"0000"))</f>
        <v>0184RCBC0095</v>
      </c>
      <c r="B57" s="1">
        <v>95</v>
      </c>
      <c r="C57" s="1" t="s">
        <v>21</v>
      </c>
      <c r="D57" s="35">
        <v>44768</v>
      </c>
      <c r="E57" s="1" t="s">
        <v>106</v>
      </c>
      <c r="F57" s="2">
        <v>20291</v>
      </c>
      <c r="G57" s="2">
        <v>5408</v>
      </c>
      <c r="H57" s="2">
        <v>15700</v>
      </c>
      <c r="K57" s="32">
        <f>_xlfn.MAXIFS(ConsumoConcreto[Fim do Bombeamento],ConsumoConcreto[RecebimentoID],RecebimentoConcreto[[#This Row],[RecebimentoID]])</f>
        <v>0</v>
      </c>
      <c r="M57" s="37">
        <v>36892</v>
      </c>
      <c r="N57" s="5" t="s">
        <v>25</v>
      </c>
      <c r="O57" s="9">
        <v>0.1</v>
      </c>
      <c r="P57" s="5" t="s">
        <v>26</v>
      </c>
      <c r="Q57" s="2">
        <v>3</v>
      </c>
      <c r="R57" s="5" t="s">
        <v>27</v>
      </c>
      <c r="S57" s="5" t="s">
        <v>32</v>
      </c>
      <c r="T57" s="39">
        <v>450</v>
      </c>
    </row>
    <row r="58" spans="1:20" ht="20.100000000000001" hidden="1" customHeight="1" x14ac:dyDescent="0.25">
      <c r="A58" s="26" t="str">
        <f>CONCATENATE(RIGHT(LEFT(RecebimentoConcreto[[#This Row],[Obra]],5),4),"RCBC",TEXT(RecebimentoConcreto[[#This Row],[Ordem]],"0000"))</f>
        <v>0184RCBC0126</v>
      </c>
      <c r="B58" s="1">
        <v>126</v>
      </c>
      <c r="C58" s="1" t="s">
        <v>21</v>
      </c>
      <c r="D58" s="35">
        <v>44630</v>
      </c>
      <c r="E58" s="1" t="s">
        <v>119</v>
      </c>
      <c r="F58" s="2" t="s">
        <v>120</v>
      </c>
      <c r="G58" s="2">
        <v>5408</v>
      </c>
      <c r="H58" s="2" t="s">
        <v>121</v>
      </c>
      <c r="K58" s="32">
        <f>_xlfn.MAXIFS(ConsumoConcreto[Fim do Bombeamento],ConsumoConcreto[RecebimentoID],RecebimentoConcreto[[#This Row],[RecebimentoID]])</f>
        <v>0</v>
      </c>
      <c r="M58" s="37">
        <v>36892</v>
      </c>
      <c r="N58" s="5" t="s">
        <v>25</v>
      </c>
      <c r="O58" s="9">
        <v>14.5</v>
      </c>
      <c r="P58" s="5" t="s">
        <v>26</v>
      </c>
      <c r="Q58" s="2">
        <v>2</v>
      </c>
      <c r="R58" s="5" t="s">
        <v>27</v>
      </c>
      <c r="S58" s="5" t="s">
        <v>32</v>
      </c>
      <c r="T58" s="39">
        <v>385.2</v>
      </c>
    </row>
    <row r="59" spans="1:20" ht="20.100000000000001" hidden="1" customHeight="1" x14ac:dyDescent="0.25">
      <c r="A59" s="26" t="str">
        <f>CONCATENATE(RIGHT(LEFT(RecebimentoConcreto[[#This Row],[Obra]],5),4),"RCBC",TEXT(RecebimentoConcreto[[#This Row],[Ordem]],"0000"))</f>
        <v>0184RCBC0127</v>
      </c>
      <c r="B59" s="1">
        <v>127</v>
      </c>
      <c r="C59" s="1" t="s">
        <v>21</v>
      </c>
      <c r="D59" s="35">
        <v>44630</v>
      </c>
      <c r="E59" s="1" t="s">
        <v>122</v>
      </c>
      <c r="F59" s="2" t="s">
        <v>123</v>
      </c>
      <c r="G59" s="2">
        <v>5408</v>
      </c>
      <c r="H59" s="2" t="s">
        <v>124</v>
      </c>
      <c r="K59" s="32">
        <f>_xlfn.MAXIFS(ConsumoConcreto[Fim do Bombeamento],ConsumoConcreto[RecebimentoID],RecebimentoConcreto[[#This Row],[RecebimentoID]])</f>
        <v>0</v>
      </c>
      <c r="M59" s="37">
        <v>36892</v>
      </c>
      <c r="N59" s="5" t="s">
        <v>25</v>
      </c>
      <c r="O59" s="9">
        <v>18</v>
      </c>
      <c r="P59" s="5" t="s">
        <v>26</v>
      </c>
      <c r="Q59" s="2">
        <v>2</v>
      </c>
      <c r="R59" s="5" t="s">
        <v>27</v>
      </c>
      <c r="S59" s="5" t="s">
        <v>32</v>
      </c>
      <c r="T59" s="39">
        <v>385.2</v>
      </c>
    </row>
    <row r="60" spans="1:20" ht="20.100000000000001" hidden="1" customHeight="1" x14ac:dyDescent="0.25">
      <c r="A60" s="26" t="str">
        <f>CONCATENATE(RIGHT(LEFT(RecebimentoConcreto[[#This Row],[Obra]],5),4),"RCBC",TEXT(RecebimentoConcreto[[#This Row],[Ordem]],"0000"))</f>
        <v>0184RCBC0128</v>
      </c>
      <c r="B60" s="1">
        <v>128</v>
      </c>
      <c r="C60" s="1" t="s">
        <v>21</v>
      </c>
      <c r="D60" s="35">
        <v>44631</v>
      </c>
      <c r="E60" s="1" t="s">
        <v>125</v>
      </c>
      <c r="F60" s="2" t="s">
        <v>126</v>
      </c>
      <c r="G60" s="2">
        <v>5408</v>
      </c>
      <c r="H60" s="2" t="s">
        <v>127</v>
      </c>
      <c r="K60" s="32">
        <f>_xlfn.MAXIFS(ConsumoConcreto[Fim do Bombeamento],ConsumoConcreto[RecebimentoID],RecebimentoConcreto[[#This Row],[RecebimentoID]])</f>
        <v>0</v>
      </c>
      <c r="M60" s="37">
        <v>36892</v>
      </c>
      <c r="N60" s="5" t="s">
        <v>25</v>
      </c>
      <c r="O60" s="9">
        <v>14.5</v>
      </c>
      <c r="P60" s="5" t="s">
        <v>26</v>
      </c>
      <c r="Q60" s="2">
        <v>2</v>
      </c>
      <c r="R60" s="5" t="s">
        <v>27</v>
      </c>
      <c r="S60" s="5" t="s">
        <v>32</v>
      </c>
      <c r="T60" s="39">
        <v>385.2</v>
      </c>
    </row>
    <row r="61" spans="1:20" ht="20.100000000000001" hidden="1" customHeight="1" x14ac:dyDescent="0.25">
      <c r="A61" s="26" t="str">
        <f>CONCATENATE(RIGHT(LEFT(RecebimentoConcreto[[#This Row],[Obra]],5),4),"RCBC",TEXT(RecebimentoConcreto[[#This Row],[Ordem]],"0000"))</f>
        <v>0184RCBC0129</v>
      </c>
      <c r="B61" s="1">
        <v>129</v>
      </c>
      <c r="C61" s="1" t="s">
        <v>21</v>
      </c>
      <c r="D61" s="35">
        <v>44631</v>
      </c>
      <c r="E61" s="1" t="s">
        <v>128</v>
      </c>
      <c r="F61" s="2" t="s">
        <v>129</v>
      </c>
      <c r="G61" s="2">
        <v>5408</v>
      </c>
      <c r="H61" s="2" t="s">
        <v>130</v>
      </c>
      <c r="K61" s="32">
        <f>_xlfn.MAXIFS(ConsumoConcreto[Fim do Bombeamento],ConsumoConcreto[RecebimentoID],RecebimentoConcreto[[#This Row],[RecebimentoID]])</f>
        <v>0</v>
      </c>
      <c r="M61" s="37">
        <v>36892</v>
      </c>
      <c r="N61" s="5" t="s">
        <v>25</v>
      </c>
      <c r="O61" s="9">
        <v>18</v>
      </c>
      <c r="P61" s="5" t="s">
        <v>26</v>
      </c>
      <c r="Q61" s="2">
        <v>2</v>
      </c>
      <c r="R61" s="5" t="s">
        <v>27</v>
      </c>
      <c r="S61" s="5" t="s">
        <v>32</v>
      </c>
      <c r="T61" s="39">
        <v>385.2</v>
      </c>
    </row>
    <row r="62" spans="1:20" ht="20.100000000000001" hidden="1" customHeight="1" x14ac:dyDescent="0.25">
      <c r="A62" s="26" t="str">
        <f>CONCATENATE(RIGHT(LEFT(RecebimentoConcreto[[#This Row],[Obra]],5),4),"RCBC",TEXT(RecebimentoConcreto[[#This Row],[Ordem]],"0000"))</f>
        <v>0184RCBC0130</v>
      </c>
      <c r="B62" s="1">
        <v>130</v>
      </c>
      <c r="C62" s="1" t="s">
        <v>21</v>
      </c>
      <c r="D62" s="35">
        <v>44634</v>
      </c>
      <c r="E62" s="1" t="s">
        <v>131</v>
      </c>
      <c r="F62" s="2" t="s">
        <v>132</v>
      </c>
      <c r="G62" s="2">
        <v>5408</v>
      </c>
      <c r="H62" s="2" t="s">
        <v>133</v>
      </c>
      <c r="K62" s="32">
        <f>_xlfn.MAXIFS(ConsumoConcreto[Fim do Bombeamento],ConsumoConcreto[RecebimentoID],RecebimentoConcreto[[#This Row],[RecebimentoID]])</f>
        <v>0</v>
      </c>
      <c r="M62" s="37">
        <v>36892</v>
      </c>
      <c r="N62" s="5" t="s">
        <v>25</v>
      </c>
      <c r="O62" s="9">
        <v>14.5</v>
      </c>
      <c r="P62" s="5" t="s">
        <v>26</v>
      </c>
      <c r="Q62" s="2">
        <v>2</v>
      </c>
      <c r="R62" s="5" t="s">
        <v>27</v>
      </c>
      <c r="S62" s="5" t="s">
        <v>32</v>
      </c>
      <c r="T62" s="39">
        <v>385.2</v>
      </c>
    </row>
    <row r="63" spans="1:20" ht="20.100000000000001" hidden="1" customHeight="1" x14ac:dyDescent="0.25">
      <c r="A63" s="26" t="str">
        <f>CONCATENATE(RIGHT(LEFT(RecebimentoConcreto[[#This Row],[Obra]],5),4),"RCBC",TEXT(RecebimentoConcreto[[#This Row],[Ordem]],"0000"))</f>
        <v>0184RCBC0131</v>
      </c>
      <c r="B63" s="1">
        <v>131</v>
      </c>
      <c r="C63" s="1" t="s">
        <v>21</v>
      </c>
      <c r="D63" s="35">
        <v>44635</v>
      </c>
      <c r="E63" s="1" t="s">
        <v>134</v>
      </c>
      <c r="F63" s="2" t="s">
        <v>135</v>
      </c>
      <c r="G63" s="2">
        <v>5408</v>
      </c>
      <c r="H63" s="2" t="s">
        <v>136</v>
      </c>
      <c r="K63" s="32">
        <f>_xlfn.MAXIFS(ConsumoConcreto[Fim do Bombeamento],ConsumoConcreto[RecebimentoID],RecebimentoConcreto[[#This Row],[RecebimentoID]])</f>
        <v>0</v>
      </c>
      <c r="M63" s="37">
        <v>36892</v>
      </c>
      <c r="N63" s="5" t="s">
        <v>25</v>
      </c>
      <c r="O63" s="9">
        <v>14.5</v>
      </c>
      <c r="P63" s="5" t="s">
        <v>26</v>
      </c>
      <c r="Q63" s="2">
        <v>2</v>
      </c>
      <c r="R63" s="5" t="s">
        <v>27</v>
      </c>
      <c r="S63" s="5" t="s">
        <v>32</v>
      </c>
      <c r="T63" s="39">
        <v>385.2</v>
      </c>
    </row>
    <row r="64" spans="1:20" ht="20.100000000000001" hidden="1" customHeight="1" x14ac:dyDescent="0.25">
      <c r="A64" s="26" t="str">
        <f>CONCATENATE(RIGHT(LEFT(RecebimentoConcreto[[#This Row],[Obra]],5),4),"RCBC",TEXT(RecebimentoConcreto[[#This Row],[Ordem]],"0000"))</f>
        <v>0184RCBC0132</v>
      </c>
      <c r="B64" s="1">
        <v>132</v>
      </c>
      <c r="C64" s="1" t="s">
        <v>21</v>
      </c>
      <c r="D64" s="35">
        <v>44635</v>
      </c>
      <c r="E64" s="1" t="s">
        <v>137</v>
      </c>
      <c r="F64" s="2" t="s">
        <v>138</v>
      </c>
      <c r="G64" s="2">
        <v>5408</v>
      </c>
      <c r="H64" s="2" t="s">
        <v>139</v>
      </c>
      <c r="K64" s="32">
        <f>_xlfn.MAXIFS(ConsumoConcreto[Fim do Bombeamento],ConsumoConcreto[RecebimentoID],RecebimentoConcreto[[#This Row],[RecebimentoID]])</f>
        <v>0</v>
      </c>
      <c r="M64" s="37">
        <v>36892</v>
      </c>
      <c r="N64" s="5" t="s">
        <v>25</v>
      </c>
      <c r="O64" s="9">
        <v>18</v>
      </c>
      <c r="P64" s="5" t="s">
        <v>26</v>
      </c>
      <c r="Q64" s="2">
        <v>2</v>
      </c>
      <c r="R64" s="5" t="s">
        <v>27</v>
      </c>
      <c r="S64" s="5" t="s">
        <v>32</v>
      </c>
      <c r="T64" s="39">
        <v>385.2</v>
      </c>
    </row>
    <row r="65" spans="1:20" ht="20.100000000000001" hidden="1" customHeight="1" x14ac:dyDescent="0.25">
      <c r="A65" s="26" t="str">
        <f>CONCATENATE(RIGHT(LEFT(RecebimentoConcreto[[#This Row],[Obra]],5),4),"RCBC",TEXT(RecebimentoConcreto[[#This Row],[Ordem]],"0000"))</f>
        <v>0184RCBC0133</v>
      </c>
      <c r="B65" s="1">
        <v>133</v>
      </c>
      <c r="C65" s="1" t="s">
        <v>21</v>
      </c>
      <c r="D65" s="35">
        <v>44636</v>
      </c>
      <c r="E65" s="1" t="s">
        <v>140</v>
      </c>
      <c r="F65" s="2" t="s">
        <v>141</v>
      </c>
      <c r="G65" s="2">
        <v>5408</v>
      </c>
      <c r="H65" s="2" t="s">
        <v>142</v>
      </c>
      <c r="K65" s="32">
        <f>_xlfn.MAXIFS(ConsumoConcreto[Fim do Bombeamento],ConsumoConcreto[RecebimentoID],RecebimentoConcreto[[#This Row],[RecebimentoID]])</f>
        <v>0</v>
      </c>
      <c r="M65" s="37">
        <v>36892</v>
      </c>
      <c r="N65" s="5" t="s">
        <v>25</v>
      </c>
      <c r="O65" s="9">
        <v>14.5</v>
      </c>
      <c r="P65" s="5" t="s">
        <v>26</v>
      </c>
      <c r="Q65" s="2">
        <v>2</v>
      </c>
      <c r="R65" s="5" t="s">
        <v>27</v>
      </c>
      <c r="S65" s="5" t="s">
        <v>32</v>
      </c>
      <c r="T65" s="39">
        <v>385.2</v>
      </c>
    </row>
    <row r="66" spans="1:20" ht="20.100000000000001" hidden="1" customHeight="1" x14ac:dyDescent="0.25">
      <c r="A66" s="26" t="str">
        <f>CONCATENATE(RIGHT(LEFT(RecebimentoConcreto[[#This Row],[Obra]],5),4),"RCBC",TEXT(RecebimentoConcreto[[#This Row],[Ordem]],"0000"))</f>
        <v>0184RCBC0134</v>
      </c>
      <c r="B66" s="1">
        <v>134</v>
      </c>
      <c r="C66" s="1" t="s">
        <v>21</v>
      </c>
      <c r="D66" s="35">
        <v>44636</v>
      </c>
      <c r="E66" s="1" t="s">
        <v>143</v>
      </c>
      <c r="F66" s="2" t="s">
        <v>144</v>
      </c>
      <c r="G66" s="2">
        <v>5408</v>
      </c>
      <c r="H66" s="2" t="s">
        <v>145</v>
      </c>
      <c r="K66" s="32">
        <f>_xlfn.MAXIFS(ConsumoConcreto[Fim do Bombeamento],ConsumoConcreto[RecebimentoID],RecebimentoConcreto[[#This Row],[RecebimentoID]])</f>
        <v>0</v>
      </c>
      <c r="M66" s="37">
        <v>36892</v>
      </c>
      <c r="N66" s="5" t="s">
        <v>25</v>
      </c>
      <c r="O66" s="9">
        <v>18</v>
      </c>
      <c r="P66" s="5" t="s">
        <v>26</v>
      </c>
      <c r="Q66" s="2">
        <v>2</v>
      </c>
      <c r="R66" s="5" t="s">
        <v>27</v>
      </c>
      <c r="S66" s="5" t="s">
        <v>32</v>
      </c>
      <c r="T66" s="39">
        <v>385.2</v>
      </c>
    </row>
    <row r="67" spans="1:20" ht="20.100000000000001" hidden="1" customHeight="1" x14ac:dyDescent="0.25">
      <c r="A67" s="26" t="str">
        <f>CONCATENATE(RIGHT(LEFT(RecebimentoConcreto[[#This Row],[Obra]],5),4),"RCBC",TEXT(RecebimentoConcreto[[#This Row],[Ordem]],"0000"))</f>
        <v>0184RCBC0135</v>
      </c>
      <c r="B67" s="1">
        <v>135</v>
      </c>
      <c r="C67" s="1" t="s">
        <v>21</v>
      </c>
      <c r="D67" s="35">
        <v>44637</v>
      </c>
      <c r="E67" s="1" t="s">
        <v>146</v>
      </c>
      <c r="F67" s="2" t="s">
        <v>147</v>
      </c>
      <c r="G67" s="2">
        <v>5408</v>
      </c>
      <c r="H67" s="2" t="s">
        <v>148</v>
      </c>
      <c r="K67" s="32">
        <f>_xlfn.MAXIFS(ConsumoConcreto[Fim do Bombeamento],ConsumoConcreto[RecebimentoID],RecebimentoConcreto[[#This Row],[RecebimentoID]])</f>
        <v>0</v>
      </c>
      <c r="M67" s="37">
        <v>36892</v>
      </c>
      <c r="N67" s="5" t="s">
        <v>25</v>
      </c>
      <c r="O67" s="9">
        <v>14.5</v>
      </c>
      <c r="P67" s="5" t="s">
        <v>26</v>
      </c>
      <c r="Q67" s="2">
        <v>2</v>
      </c>
      <c r="R67" s="5" t="s">
        <v>27</v>
      </c>
      <c r="S67" s="5" t="s">
        <v>32</v>
      </c>
      <c r="T67" s="39">
        <v>385.2</v>
      </c>
    </row>
    <row r="68" spans="1:20" ht="20.100000000000001" hidden="1" customHeight="1" x14ac:dyDescent="0.25">
      <c r="A68" s="26" t="str">
        <f>CONCATENATE(RIGHT(LEFT(RecebimentoConcreto[[#This Row],[Obra]],5),4),"RCBC",TEXT(RecebimentoConcreto[[#This Row],[Ordem]],"0000"))</f>
        <v>0184RCBC0136</v>
      </c>
      <c r="B68" s="1">
        <v>136</v>
      </c>
      <c r="C68" s="1" t="s">
        <v>21</v>
      </c>
      <c r="D68" s="35">
        <v>44638</v>
      </c>
      <c r="E68" s="1" t="s">
        <v>149</v>
      </c>
      <c r="F68" s="2" t="s">
        <v>150</v>
      </c>
      <c r="G68" s="2">
        <v>5408</v>
      </c>
      <c r="H68" s="2" t="s">
        <v>151</v>
      </c>
      <c r="K68" s="32">
        <f>_xlfn.MAXIFS(ConsumoConcreto[Fim do Bombeamento],ConsumoConcreto[RecebimentoID],RecebimentoConcreto[[#This Row],[RecebimentoID]])</f>
        <v>0</v>
      </c>
      <c r="M68" s="37">
        <v>36892</v>
      </c>
      <c r="N68" s="5" t="s">
        <v>25</v>
      </c>
      <c r="O68" s="9">
        <v>14.5</v>
      </c>
      <c r="P68" s="5" t="s">
        <v>26</v>
      </c>
      <c r="Q68" s="2">
        <v>2</v>
      </c>
      <c r="R68" s="5" t="s">
        <v>27</v>
      </c>
      <c r="S68" s="5" t="s">
        <v>32</v>
      </c>
      <c r="T68" s="39">
        <v>385.2</v>
      </c>
    </row>
    <row r="69" spans="1:20" ht="20.100000000000001" hidden="1" customHeight="1" x14ac:dyDescent="0.25">
      <c r="A69" s="26" t="str">
        <f>CONCATENATE(RIGHT(LEFT(RecebimentoConcreto[[#This Row],[Obra]],5),4),"RCBC",TEXT(RecebimentoConcreto[[#This Row],[Ordem]],"0000"))</f>
        <v>0184RCBC0137</v>
      </c>
      <c r="B69" s="1">
        <v>137</v>
      </c>
      <c r="C69" s="1" t="s">
        <v>21</v>
      </c>
      <c r="D69" s="35">
        <v>44641</v>
      </c>
      <c r="E69" s="1" t="s">
        <v>152</v>
      </c>
      <c r="F69" s="2" t="s">
        <v>153</v>
      </c>
      <c r="G69" s="2">
        <v>5408</v>
      </c>
      <c r="H69" s="2" t="s">
        <v>154</v>
      </c>
      <c r="K69" s="32">
        <f>_xlfn.MAXIFS(ConsumoConcreto[Fim do Bombeamento],ConsumoConcreto[RecebimentoID],RecebimentoConcreto[[#This Row],[RecebimentoID]])</f>
        <v>0</v>
      </c>
      <c r="M69" s="37">
        <v>36892</v>
      </c>
      <c r="N69" s="5" t="s">
        <v>25</v>
      </c>
      <c r="O69" s="9">
        <v>14.5</v>
      </c>
      <c r="P69" s="5" t="s">
        <v>26</v>
      </c>
      <c r="Q69" s="2">
        <v>2</v>
      </c>
      <c r="R69" s="5" t="s">
        <v>27</v>
      </c>
      <c r="S69" s="5" t="s">
        <v>32</v>
      </c>
      <c r="T69" s="39">
        <v>385.2</v>
      </c>
    </row>
    <row r="70" spans="1:20" ht="20.100000000000001" hidden="1" customHeight="1" x14ac:dyDescent="0.25">
      <c r="A70" s="26" t="str">
        <f>CONCATENATE(RIGHT(LEFT(RecebimentoConcreto[[#This Row],[Obra]],5),4),"RCBC",TEXT(RecebimentoConcreto[[#This Row],[Ordem]],"0000"))</f>
        <v>0184RCBC0138</v>
      </c>
      <c r="B70" s="1">
        <v>138</v>
      </c>
      <c r="C70" s="1" t="s">
        <v>21</v>
      </c>
      <c r="D70" s="35">
        <v>44643</v>
      </c>
      <c r="E70" s="1" t="s">
        <v>152</v>
      </c>
      <c r="F70" s="2" t="s">
        <v>155</v>
      </c>
      <c r="G70" s="2">
        <v>5408</v>
      </c>
      <c r="H70" s="2" t="s">
        <v>156</v>
      </c>
      <c r="K70" s="32">
        <f>_xlfn.MAXIFS(ConsumoConcreto[Fim do Bombeamento],ConsumoConcreto[RecebimentoID],RecebimentoConcreto[[#This Row],[RecebimentoID]])</f>
        <v>0</v>
      </c>
      <c r="M70" s="37">
        <v>36892</v>
      </c>
      <c r="N70" s="5" t="s">
        <v>25</v>
      </c>
      <c r="O70" s="9">
        <v>14.5</v>
      </c>
      <c r="P70" s="5" t="s">
        <v>26</v>
      </c>
      <c r="Q70" s="2">
        <v>2</v>
      </c>
      <c r="R70" s="5" t="s">
        <v>27</v>
      </c>
      <c r="S70" s="5" t="s">
        <v>32</v>
      </c>
      <c r="T70" s="39">
        <v>385.2</v>
      </c>
    </row>
    <row r="71" spans="1:20" ht="20.100000000000001" hidden="1" customHeight="1" x14ac:dyDescent="0.25">
      <c r="A71" s="26" t="str">
        <f>CONCATENATE(RIGHT(LEFT(RecebimentoConcreto[[#This Row],[Obra]],5),4),"RCBC",TEXT(RecebimentoConcreto[[#This Row],[Ordem]],"0000"))</f>
        <v>0184RCBC0139</v>
      </c>
      <c r="B71" s="1">
        <v>139</v>
      </c>
      <c r="C71" s="1" t="s">
        <v>21</v>
      </c>
      <c r="D71" s="35">
        <v>44644</v>
      </c>
      <c r="E71" s="1" t="s">
        <v>157</v>
      </c>
      <c r="F71" s="2" t="s">
        <v>158</v>
      </c>
      <c r="G71" s="2">
        <v>5408</v>
      </c>
      <c r="H71" s="2" t="s">
        <v>159</v>
      </c>
      <c r="K71" s="32">
        <f>_xlfn.MAXIFS(ConsumoConcreto[Fim do Bombeamento],ConsumoConcreto[RecebimentoID],RecebimentoConcreto[[#This Row],[RecebimentoID]])</f>
        <v>0</v>
      </c>
      <c r="M71" s="37">
        <v>36892</v>
      </c>
      <c r="N71" s="5" t="s">
        <v>25</v>
      </c>
      <c r="O71" s="9">
        <v>14.5</v>
      </c>
      <c r="P71" s="5" t="s">
        <v>26</v>
      </c>
      <c r="Q71" s="2">
        <v>2</v>
      </c>
      <c r="R71" s="5" t="s">
        <v>27</v>
      </c>
      <c r="S71" s="5" t="s">
        <v>32</v>
      </c>
      <c r="T71" s="39">
        <v>385.2</v>
      </c>
    </row>
    <row r="72" spans="1:20" ht="20.100000000000001" hidden="1" customHeight="1" x14ac:dyDescent="0.25">
      <c r="A72" s="26" t="str">
        <f>CONCATENATE(RIGHT(LEFT(RecebimentoConcreto[[#This Row],[Obra]],5),4),"RCBC",TEXT(RecebimentoConcreto[[#This Row],[Ordem]],"0000"))</f>
        <v>0184RCBC0140</v>
      </c>
      <c r="B72" s="1">
        <v>140</v>
      </c>
      <c r="C72" s="1" t="s">
        <v>21</v>
      </c>
      <c r="D72" s="35">
        <v>44645</v>
      </c>
      <c r="E72" s="1" t="s">
        <v>160</v>
      </c>
      <c r="F72" s="2" t="s">
        <v>161</v>
      </c>
      <c r="G72" s="2">
        <v>5408</v>
      </c>
      <c r="H72" s="2" t="s">
        <v>162</v>
      </c>
      <c r="K72" s="32">
        <f>_xlfn.MAXIFS(ConsumoConcreto[Fim do Bombeamento],ConsumoConcreto[RecebimentoID],RecebimentoConcreto[[#This Row],[RecebimentoID]])</f>
        <v>0</v>
      </c>
      <c r="M72" s="37">
        <v>36892</v>
      </c>
      <c r="N72" s="5" t="s">
        <v>25</v>
      </c>
      <c r="O72" s="9">
        <v>14.5</v>
      </c>
      <c r="P72" s="5" t="s">
        <v>26</v>
      </c>
      <c r="Q72" s="2">
        <v>2</v>
      </c>
      <c r="R72" s="5" t="s">
        <v>27</v>
      </c>
      <c r="S72" s="5" t="s">
        <v>32</v>
      </c>
      <c r="T72" s="39">
        <v>385.2</v>
      </c>
    </row>
    <row r="73" spans="1:20" ht="20.100000000000001" hidden="1" customHeight="1" x14ac:dyDescent="0.25">
      <c r="A73" s="26" t="str">
        <f>CONCATENATE(RIGHT(LEFT(RecebimentoConcreto[[#This Row],[Obra]],5),4),"RCBC",TEXT(RecebimentoConcreto[[#This Row],[Ordem]],"0000"))</f>
        <v>0184RCBC0141</v>
      </c>
      <c r="B73" s="1">
        <v>141</v>
      </c>
      <c r="C73" s="1" t="s">
        <v>21</v>
      </c>
      <c r="D73" s="35">
        <v>44648</v>
      </c>
      <c r="E73" s="1" t="s">
        <v>163</v>
      </c>
      <c r="F73" s="2" t="s">
        <v>164</v>
      </c>
      <c r="G73" s="2">
        <v>5408</v>
      </c>
      <c r="H73" s="2" t="s">
        <v>165</v>
      </c>
      <c r="K73" s="32">
        <f>_xlfn.MAXIFS(ConsumoConcreto[Fim do Bombeamento],ConsumoConcreto[RecebimentoID],RecebimentoConcreto[[#This Row],[RecebimentoID]])</f>
        <v>0</v>
      </c>
      <c r="M73" s="37">
        <v>36892</v>
      </c>
      <c r="N73" s="5" t="s">
        <v>25</v>
      </c>
      <c r="O73" s="9">
        <v>14.5</v>
      </c>
      <c r="P73" s="5" t="s">
        <v>26</v>
      </c>
      <c r="Q73" s="2">
        <v>2</v>
      </c>
      <c r="R73" s="5" t="s">
        <v>27</v>
      </c>
      <c r="S73" s="5" t="s">
        <v>32</v>
      </c>
      <c r="T73" s="39">
        <v>385.2</v>
      </c>
    </row>
    <row r="74" spans="1:20" ht="20.100000000000001" hidden="1" customHeight="1" x14ac:dyDescent="0.25">
      <c r="A74" s="26" t="str">
        <f>CONCATENATE(RIGHT(LEFT(RecebimentoConcreto[[#This Row],[Obra]],5),4),"RCBC",TEXT(RecebimentoConcreto[[#This Row],[Ordem]],"0000"))</f>
        <v>0184RCBC0142</v>
      </c>
      <c r="B74" s="1">
        <v>142</v>
      </c>
      <c r="C74" s="1" t="s">
        <v>21</v>
      </c>
      <c r="D74" s="35">
        <v>44650</v>
      </c>
      <c r="E74" s="1" t="s">
        <v>166</v>
      </c>
      <c r="F74" s="2" t="s">
        <v>167</v>
      </c>
      <c r="G74" s="2">
        <v>5408</v>
      </c>
      <c r="H74" s="2" t="s">
        <v>168</v>
      </c>
      <c r="K74" s="32">
        <f>_xlfn.MAXIFS(ConsumoConcreto[Fim do Bombeamento],ConsumoConcreto[RecebimentoID],RecebimentoConcreto[[#This Row],[RecebimentoID]])</f>
        <v>0</v>
      </c>
      <c r="M74" s="37">
        <v>36892</v>
      </c>
      <c r="N74" s="5" t="s">
        <v>25</v>
      </c>
      <c r="O74" s="9">
        <v>16.5</v>
      </c>
      <c r="P74" s="5" t="s">
        <v>26</v>
      </c>
      <c r="Q74" s="2">
        <v>2</v>
      </c>
      <c r="R74" s="5" t="s">
        <v>27</v>
      </c>
      <c r="S74" s="5" t="s">
        <v>32</v>
      </c>
      <c r="T74" s="39">
        <v>385.2</v>
      </c>
    </row>
    <row r="75" spans="1:20" ht="20.100000000000001" hidden="1" customHeight="1" x14ac:dyDescent="0.25">
      <c r="A75" s="26" t="str">
        <f>CONCATENATE(RIGHT(LEFT(RecebimentoConcreto[[#This Row],[Obra]],5),4),"RCBC",TEXT(RecebimentoConcreto[[#This Row],[Ordem]],"0000"))</f>
        <v>0184RCBC0143</v>
      </c>
      <c r="B75" s="1">
        <v>143</v>
      </c>
      <c r="C75" s="1" t="s">
        <v>21</v>
      </c>
      <c r="D75" s="35">
        <v>44651</v>
      </c>
      <c r="E75" s="1" t="s">
        <v>169</v>
      </c>
      <c r="F75" s="2" t="s">
        <v>170</v>
      </c>
      <c r="G75" s="2">
        <v>5408</v>
      </c>
      <c r="H75" s="2" t="s">
        <v>171</v>
      </c>
      <c r="K75" s="32">
        <f>_xlfn.MAXIFS(ConsumoConcreto[Fim do Bombeamento],ConsumoConcreto[RecebimentoID],RecebimentoConcreto[[#This Row],[RecebimentoID]])</f>
        <v>0</v>
      </c>
      <c r="M75" s="37">
        <v>36892</v>
      </c>
      <c r="N75" s="5" t="s">
        <v>25</v>
      </c>
      <c r="O75" s="9">
        <v>15.5</v>
      </c>
      <c r="P75" s="5" t="s">
        <v>26</v>
      </c>
      <c r="Q75" s="2">
        <v>2</v>
      </c>
      <c r="R75" s="5" t="s">
        <v>27</v>
      </c>
      <c r="S75" s="5" t="s">
        <v>32</v>
      </c>
      <c r="T75" s="39">
        <v>385.2</v>
      </c>
    </row>
    <row r="76" spans="1:20" ht="20.100000000000001" hidden="1" customHeight="1" x14ac:dyDescent="0.25">
      <c r="A76" s="26" t="str">
        <f>CONCATENATE(RIGHT(LEFT(RecebimentoConcreto[[#This Row],[Obra]],5),4),"RCBC",TEXT(RecebimentoConcreto[[#This Row],[Ordem]],"0000"))</f>
        <v>0184RCBC0144</v>
      </c>
      <c r="B76" s="1">
        <v>144</v>
      </c>
      <c r="C76" s="1" t="s">
        <v>21</v>
      </c>
      <c r="D76" s="35">
        <v>44652</v>
      </c>
      <c r="E76" s="1" t="s">
        <v>172</v>
      </c>
      <c r="F76" s="2" t="s">
        <v>173</v>
      </c>
      <c r="G76" s="2">
        <v>5408</v>
      </c>
      <c r="H76" s="2" t="s">
        <v>174</v>
      </c>
      <c r="J76" s="5">
        <v>0.73958333333333337</v>
      </c>
      <c r="K76" s="32">
        <f>_xlfn.MAXIFS(ConsumoConcreto[Fim do Bombeamento],ConsumoConcreto[RecebimentoID],RecebimentoConcreto[[#This Row],[RecebimentoID]])</f>
        <v>0.80208333333333337</v>
      </c>
      <c r="M76" s="37">
        <v>36892</v>
      </c>
      <c r="N76" s="5" t="s">
        <v>25</v>
      </c>
      <c r="O76" s="9">
        <v>14.5</v>
      </c>
      <c r="P76" s="5" t="s">
        <v>26</v>
      </c>
      <c r="Q76" s="2">
        <v>3</v>
      </c>
      <c r="R76" s="5" t="s">
        <v>27</v>
      </c>
      <c r="S76" s="5" t="s">
        <v>32</v>
      </c>
      <c r="T76" s="39">
        <v>412.16399999999999</v>
      </c>
    </row>
    <row r="77" spans="1:20" ht="20.100000000000001" hidden="1" customHeight="1" x14ac:dyDescent="0.25">
      <c r="A77" s="26" t="str">
        <f>CONCATENATE(RIGHT(LEFT(RecebimentoConcreto[[#This Row],[Obra]],5),4),"RCBC",TEXT(RecebimentoConcreto[[#This Row],[Ordem]],"0000"))</f>
        <v>0184RCBC0145</v>
      </c>
      <c r="B77" s="1">
        <v>145</v>
      </c>
      <c r="C77" s="1" t="s">
        <v>21</v>
      </c>
      <c r="D77" s="35">
        <v>44656</v>
      </c>
      <c r="E77" s="1" t="s">
        <v>175</v>
      </c>
      <c r="F77" s="2" t="s">
        <v>176</v>
      </c>
      <c r="G77" s="2">
        <v>5408</v>
      </c>
      <c r="H77" s="2" t="s">
        <v>177</v>
      </c>
      <c r="J77" s="5">
        <v>0.39930555555555558</v>
      </c>
      <c r="K77" s="32">
        <f>_xlfn.MAXIFS(ConsumoConcreto[Fim do Bombeamento],ConsumoConcreto[RecebimentoID],RecebimentoConcreto[[#This Row],[RecebimentoID]])</f>
        <v>0.42708333333333331</v>
      </c>
      <c r="M77" s="37">
        <v>36892</v>
      </c>
      <c r="N77" s="5" t="s">
        <v>25</v>
      </c>
      <c r="O77" s="9">
        <v>14.5</v>
      </c>
      <c r="P77" s="5" t="s">
        <v>26</v>
      </c>
      <c r="Q77" s="2">
        <v>3</v>
      </c>
      <c r="R77" s="5" t="s">
        <v>27</v>
      </c>
      <c r="S77" s="5" t="s">
        <v>32</v>
      </c>
      <c r="T77" s="39">
        <v>412.16399999999999</v>
      </c>
    </row>
    <row r="78" spans="1:20" ht="20.100000000000001" hidden="1" customHeight="1" x14ac:dyDescent="0.25">
      <c r="A78" s="26" t="str">
        <f>CONCATENATE(RIGHT(LEFT(RecebimentoConcreto[[#This Row],[Obra]],5),4),"RCBC",TEXT(RecebimentoConcreto[[#This Row],[Ordem]],"0000"))</f>
        <v>0184RCBC0146</v>
      </c>
      <c r="B78" s="1">
        <v>146</v>
      </c>
      <c r="C78" s="1" t="s">
        <v>21</v>
      </c>
      <c r="D78" s="35">
        <v>44657</v>
      </c>
      <c r="E78" s="1" t="s">
        <v>178</v>
      </c>
      <c r="F78" s="2" t="s">
        <v>179</v>
      </c>
      <c r="G78" s="2">
        <v>5408</v>
      </c>
      <c r="H78" s="2" t="s">
        <v>180</v>
      </c>
      <c r="J78" s="5">
        <v>0.71527777777777779</v>
      </c>
      <c r="K78" s="32">
        <f>_xlfn.MAXIFS(ConsumoConcreto[Fim do Bombeamento],ConsumoConcreto[RecebimentoID],RecebimentoConcreto[[#This Row],[RecebimentoID]])</f>
        <v>0.75</v>
      </c>
      <c r="M78" s="37">
        <v>36892</v>
      </c>
      <c r="N78" s="5" t="s">
        <v>25</v>
      </c>
      <c r="O78" s="9">
        <v>14.5</v>
      </c>
      <c r="P78" s="5" t="s">
        <v>26</v>
      </c>
      <c r="Q78" s="2">
        <v>3</v>
      </c>
      <c r="R78" s="5" t="s">
        <v>27</v>
      </c>
      <c r="S78" s="5" t="s">
        <v>32</v>
      </c>
      <c r="T78" s="39">
        <v>412.16399999999999</v>
      </c>
    </row>
    <row r="79" spans="1:20" ht="20.100000000000001" hidden="1" customHeight="1" x14ac:dyDescent="0.25">
      <c r="A79" s="26" t="str">
        <f>CONCATENATE(RIGHT(LEFT(RecebimentoConcreto[[#This Row],[Obra]],5),4),"RCBC",TEXT(RecebimentoConcreto[[#This Row],[Ordem]],"0000"))</f>
        <v>0184RCBC0147</v>
      </c>
      <c r="B79" s="1">
        <v>147</v>
      </c>
      <c r="C79" s="1" t="s">
        <v>21</v>
      </c>
      <c r="D79" s="35">
        <v>44658</v>
      </c>
      <c r="E79" s="1" t="s">
        <v>181</v>
      </c>
      <c r="F79" s="2" t="s">
        <v>182</v>
      </c>
      <c r="G79" s="2">
        <v>5408</v>
      </c>
      <c r="H79" s="2" t="s">
        <v>183</v>
      </c>
      <c r="J79" s="5">
        <v>0.76388888888888884</v>
      </c>
      <c r="K79" s="32">
        <f>_xlfn.MAXIFS(ConsumoConcreto[Fim do Bombeamento],ConsumoConcreto[RecebimentoID],RecebimentoConcreto[[#This Row],[RecebimentoID]])</f>
        <v>0.79513888888888884</v>
      </c>
      <c r="M79" s="37">
        <v>36892</v>
      </c>
      <c r="N79" s="5" t="s">
        <v>25</v>
      </c>
      <c r="O79" s="9">
        <v>14.5</v>
      </c>
      <c r="P79" s="5" t="s">
        <v>26</v>
      </c>
      <c r="Q79" s="2">
        <v>3</v>
      </c>
      <c r="R79" s="5" t="s">
        <v>27</v>
      </c>
      <c r="S79" s="5" t="s">
        <v>32</v>
      </c>
      <c r="T79" s="39">
        <v>412.16399999999999</v>
      </c>
    </row>
    <row r="80" spans="1:20" ht="20.100000000000001" hidden="1" customHeight="1" x14ac:dyDescent="0.25">
      <c r="A80" s="26" t="str">
        <f>CONCATENATE(RIGHT(LEFT(RecebimentoConcreto[[#This Row],[Obra]],5),4),"RCBC",TEXT(RecebimentoConcreto[[#This Row],[Ordem]],"0000"))</f>
        <v>0184RCBC0148</v>
      </c>
      <c r="B80" s="1">
        <v>148</v>
      </c>
      <c r="C80" s="1" t="s">
        <v>21</v>
      </c>
      <c r="D80" s="35">
        <v>44659</v>
      </c>
      <c r="E80" s="1" t="s">
        <v>184</v>
      </c>
      <c r="F80" s="2" t="s">
        <v>185</v>
      </c>
      <c r="G80" s="2">
        <v>5408</v>
      </c>
      <c r="H80" s="2" t="s">
        <v>186</v>
      </c>
      <c r="J80" s="5">
        <v>0.71527777777777779</v>
      </c>
      <c r="K80" s="32">
        <f>_xlfn.MAXIFS(ConsumoConcreto[Fim do Bombeamento],ConsumoConcreto[RecebimentoID],RecebimentoConcreto[[#This Row],[RecebimentoID]])</f>
        <v>0.75</v>
      </c>
      <c r="M80" s="37">
        <v>36892</v>
      </c>
      <c r="N80" s="5" t="s">
        <v>25</v>
      </c>
      <c r="O80" s="9">
        <v>14.5</v>
      </c>
      <c r="P80" s="5" t="s">
        <v>26</v>
      </c>
      <c r="Q80" s="2">
        <v>3</v>
      </c>
      <c r="R80" s="5" t="s">
        <v>27</v>
      </c>
      <c r="S80" s="5" t="s">
        <v>32</v>
      </c>
      <c r="T80" s="39">
        <v>412.16399999999999</v>
      </c>
    </row>
    <row r="81" spans="1:20" ht="20.100000000000001" hidden="1" customHeight="1" x14ac:dyDescent="0.25">
      <c r="A81" s="26" t="str">
        <f>CONCATENATE(RIGHT(LEFT(RecebimentoConcreto[[#This Row],[Obra]],5),4),"RCBC",TEXT(RecebimentoConcreto[[#This Row],[Ordem]],"0000"))</f>
        <v>0184RCBC0149</v>
      </c>
      <c r="B81" s="1">
        <v>149</v>
      </c>
      <c r="C81" s="1" t="s">
        <v>21</v>
      </c>
      <c r="D81" s="35">
        <v>44662</v>
      </c>
      <c r="E81" s="1" t="s">
        <v>187</v>
      </c>
      <c r="F81" s="2" t="s">
        <v>188</v>
      </c>
      <c r="G81" s="2">
        <v>5408</v>
      </c>
      <c r="H81" s="2" t="s">
        <v>189</v>
      </c>
      <c r="J81" s="5">
        <v>0.6875</v>
      </c>
      <c r="K81" s="32">
        <f>_xlfn.MAXIFS(ConsumoConcreto[Fim do Bombeamento],ConsumoConcreto[RecebimentoID],RecebimentoConcreto[[#This Row],[RecebimentoID]])</f>
        <v>0.72222222222222221</v>
      </c>
      <c r="M81" s="37">
        <v>36892</v>
      </c>
      <c r="N81" s="5" t="s">
        <v>25</v>
      </c>
      <c r="O81" s="9">
        <v>14.5</v>
      </c>
      <c r="P81" s="5" t="s">
        <v>26</v>
      </c>
      <c r="Q81" s="2">
        <v>3</v>
      </c>
      <c r="R81" s="5" t="s">
        <v>27</v>
      </c>
      <c r="S81" s="5" t="s">
        <v>32</v>
      </c>
      <c r="T81" s="39">
        <v>412.16399999999999</v>
      </c>
    </row>
    <row r="82" spans="1:20" ht="20.100000000000001" hidden="1" customHeight="1" x14ac:dyDescent="0.25">
      <c r="A82" s="26" t="str">
        <f>CONCATENATE(RIGHT(LEFT(RecebimentoConcreto[[#This Row],[Obra]],5),4),"RCBC",TEXT(RecebimentoConcreto[[#This Row],[Ordem]],"0000"))</f>
        <v>0184RCBC0150</v>
      </c>
      <c r="B82" s="1">
        <v>150</v>
      </c>
      <c r="C82" s="1" t="s">
        <v>21</v>
      </c>
      <c r="D82" s="35">
        <v>44663</v>
      </c>
      <c r="E82" s="1" t="s">
        <v>190</v>
      </c>
      <c r="F82" s="2" t="s">
        <v>191</v>
      </c>
      <c r="G82" s="2">
        <v>5408</v>
      </c>
      <c r="H82" s="2" t="s">
        <v>192</v>
      </c>
      <c r="J82" s="5">
        <v>0.71180555555555547</v>
      </c>
      <c r="K82" s="32">
        <f>_xlfn.MAXIFS(ConsumoConcreto[Fim do Bombeamento],ConsumoConcreto[RecebimentoID],RecebimentoConcreto[[#This Row],[RecebimentoID]])</f>
        <v>0.75</v>
      </c>
      <c r="M82" s="37">
        <v>36892</v>
      </c>
      <c r="N82" s="5" t="s">
        <v>25</v>
      </c>
      <c r="O82" s="9">
        <v>14.5</v>
      </c>
      <c r="P82" s="5" t="s">
        <v>26</v>
      </c>
      <c r="Q82" s="2">
        <v>3</v>
      </c>
      <c r="R82" s="5" t="s">
        <v>27</v>
      </c>
      <c r="S82" s="5" t="s">
        <v>32</v>
      </c>
      <c r="T82" s="39">
        <v>412.16399999999999</v>
      </c>
    </row>
    <row r="83" spans="1:20" ht="20.100000000000001" hidden="1" customHeight="1" x14ac:dyDescent="0.25">
      <c r="A83" s="26" t="str">
        <f>CONCATENATE(RIGHT(LEFT(RecebimentoConcreto[[#This Row],[Obra]],5),4),"RCBC",TEXT(RecebimentoConcreto[[#This Row],[Ordem]],"0000"))</f>
        <v>0184RCBC0151</v>
      </c>
      <c r="B83" s="1">
        <v>151</v>
      </c>
      <c r="C83" s="1" t="s">
        <v>21</v>
      </c>
      <c r="D83" s="35">
        <v>44664</v>
      </c>
      <c r="E83" s="1" t="s">
        <v>116</v>
      </c>
      <c r="F83" s="2" t="s">
        <v>193</v>
      </c>
      <c r="G83" s="2">
        <v>5408</v>
      </c>
      <c r="H83" s="2" t="s">
        <v>194</v>
      </c>
      <c r="J83" s="5">
        <v>0.6875</v>
      </c>
      <c r="K83" s="32">
        <f>_xlfn.MAXIFS(ConsumoConcreto[Fim do Bombeamento],ConsumoConcreto[RecebimentoID],RecebimentoConcreto[[#This Row],[RecebimentoID]])</f>
        <v>0.71527777777777779</v>
      </c>
      <c r="M83" s="37">
        <v>36892</v>
      </c>
      <c r="N83" s="5" t="s">
        <v>25</v>
      </c>
      <c r="O83" s="9">
        <v>15</v>
      </c>
      <c r="P83" s="5" t="s">
        <v>26</v>
      </c>
      <c r="Q83" s="2">
        <v>3</v>
      </c>
      <c r="R83" s="5" t="s">
        <v>27</v>
      </c>
      <c r="S83" s="5" t="s">
        <v>32</v>
      </c>
      <c r="T83" s="39">
        <v>412.16399999999999</v>
      </c>
    </row>
    <row r="84" spans="1:20" ht="20.100000000000001" hidden="1" customHeight="1" x14ac:dyDescent="0.25">
      <c r="A84" s="26" t="str">
        <f>CONCATENATE(RIGHT(LEFT(RecebimentoConcreto[[#This Row],[Obra]],5),4),"RCBC",TEXT(RecebimentoConcreto[[#This Row],[Ordem]],"0000"))</f>
        <v>0184RCBC0152</v>
      </c>
      <c r="B84" s="1">
        <v>152</v>
      </c>
      <c r="C84" s="1" t="s">
        <v>21</v>
      </c>
      <c r="D84" s="35">
        <v>44665</v>
      </c>
      <c r="E84" s="1" t="s">
        <v>195</v>
      </c>
      <c r="F84" s="2" t="s">
        <v>196</v>
      </c>
      <c r="G84" s="2">
        <v>5408</v>
      </c>
      <c r="H84" s="2" t="s">
        <v>197</v>
      </c>
      <c r="J84" s="5">
        <v>0.6875</v>
      </c>
      <c r="K84" s="32">
        <f>_xlfn.MAXIFS(ConsumoConcreto[Fim do Bombeamento],ConsumoConcreto[RecebimentoID],RecebimentoConcreto[[#This Row],[RecebimentoID]])</f>
        <v>0.69444444444444453</v>
      </c>
      <c r="M84" s="37">
        <v>36892</v>
      </c>
      <c r="N84" s="5" t="s">
        <v>25</v>
      </c>
      <c r="O84" s="9">
        <v>15</v>
      </c>
      <c r="P84" s="5" t="s">
        <v>26</v>
      </c>
      <c r="Q84" s="2">
        <v>3</v>
      </c>
      <c r="R84" s="5" t="s">
        <v>27</v>
      </c>
      <c r="S84" s="5" t="s">
        <v>32</v>
      </c>
      <c r="T84" s="39">
        <v>412.16399999999999</v>
      </c>
    </row>
    <row r="85" spans="1:20" ht="20.100000000000001" hidden="1" customHeight="1" x14ac:dyDescent="0.25">
      <c r="A85" s="26" t="str">
        <f>CONCATENATE(RIGHT(LEFT(RecebimentoConcreto[[#This Row],[Obra]],5),4),"RCBC",TEXT(RecebimentoConcreto[[#This Row],[Ordem]],"0000"))</f>
        <v>0184RCBC0153</v>
      </c>
      <c r="B85" s="1">
        <v>153</v>
      </c>
      <c r="C85" s="1" t="s">
        <v>21</v>
      </c>
      <c r="D85" s="35">
        <v>44669</v>
      </c>
      <c r="E85" s="1" t="s">
        <v>38</v>
      </c>
      <c r="F85" s="2">
        <v>10491</v>
      </c>
      <c r="G85" s="2">
        <v>5408</v>
      </c>
      <c r="H85" s="2">
        <v>11685</v>
      </c>
      <c r="K85" s="32">
        <f>_xlfn.MAXIFS(ConsumoConcreto[Fim do Bombeamento],ConsumoConcreto[RecebimentoID],RecebimentoConcreto[[#This Row],[RecebimentoID]])</f>
        <v>0</v>
      </c>
      <c r="M85" s="37">
        <v>36892</v>
      </c>
      <c r="N85" s="5" t="s">
        <v>25</v>
      </c>
      <c r="O85" s="9">
        <v>8</v>
      </c>
      <c r="P85" s="5" t="s">
        <v>26</v>
      </c>
      <c r="Q85" s="2">
        <v>3</v>
      </c>
      <c r="R85" s="5" t="s">
        <v>27</v>
      </c>
      <c r="S85" s="5" t="s">
        <v>32</v>
      </c>
      <c r="T85" s="39">
        <v>412.16399999999999</v>
      </c>
    </row>
    <row r="86" spans="1:20" ht="20.100000000000001" hidden="1" customHeight="1" x14ac:dyDescent="0.25">
      <c r="A86" s="26" t="str">
        <f>CONCATENATE(RIGHT(LEFT(RecebimentoConcreto[[#This Row],[Obra]],5),4),"RCBC",TEXT(RecebimentoConcreto[[#This Row],[Ordem]],"0000"))</f>
        <v>0184RCBC0154</v>
      </c>
      <c r="B86" s="1">
        <v>154</v>
      </c>
      <c r="C86" s="1" t="s">
        <v>21</v>
      </c>
      <c r="D86" s="35">
        <v>44671</v>
      </c>
      <c r="E86" s="1" t="s">
        <v>198</v>
      </c>
      <c r="F86" s="2" t="s">
        <v>199</v>
      </c>
      <c r="G86" s="2">
        <v>5408</v>
      </c>
      <c r="H86" s="2" t="s">
        <v>200</v>
      </c>
      <c r="J86" s="5">
        <v>0.83333333333333337</v>
      </c>
      <c r="K86" s="32">
        <f>_xlfn.MAXIFS(ConsumoConcreto[Fim do Bombeamento],ConsumoConcreto[RecebimentoID],RecebimentoConcreto[[#This Row],[RecebimentoID]])</f>
        <v>0.88888888888888884</v>
      </c>
      <c r="M86" s="37">
        <v>36892</v>
      </c>
      <c r="N86" s="5" t="s">
        <v>25</v>
      </c>
      <c r="O86" s="9">
        <v>15</v>
      </c>
      <c r="P86" s="5" t="s">
        <v>26</v>
      </c>
      <c r="Q86" s="2">
        <v>3</v>
      </c>
      <c r="R86" s="5" t="s">
        <v>27</v>
      </c>
      <c r="S86" s="5" t="s">
        <v>32</v>
      </c>
      <c r="T86" s="39">
        <v>412.16399999999999</v>
      </c>
    </row>
    <row r="87" spans="1:20" ht="20.100000000000001" hidden="1" customHeight="1" x14ac:dyDescent="0.25">
      <c r="A87" s="26" t="str">
        <f>CONCATENATE(RIGHT(LEFT(RecebimentoConcreto[[#This Row],[Obra]],5),4),"RCBC",TEXT(RecebimentoConcreto[[#This Row],[Ordem]],"0000"))</f>
        <v>0184RCBC0155</v>
      </c>
      <c r="B87" s="1">
        <v>155</v>
      </c>
      <c r="C87" s="1" t="s">
        <v>21</v>
      </c>
      <c r="D87" s="35">
        <v>44673</v>
      </c>
      <c r="E87" s="1" t="s">
        <v>201</v>
      </c>
      <c r="F87" s="2" t="s">
        <v>202</v>
      </c>
      <c r="G87" s="2">
        <v>5408</v>
      </c>
      <c r="H87" s="2" t="s">
        <v>203</v>
      </c>
      <c r="J87" s="5">
        <v>0.79166666666666663</v>
      </c>
      <c r="K87" s="32">
        <f>_xlfn.MAXIFS(ConsumoConcreto[Fim do Bombeamento],ConsumoConcreto[RecebimentoID],RecebimentoConcreto[[#This Row],[RecebimentoID]])</f>
        <v>0.84027777777777779</v>
      </c>
      <c r="M87" s="37">
        <v>36892</v>
      </c>
      <c r="N87" s="5" t="s">
        <v>25</v>
      </c>
      <c r="O87" s="9">
        <v>15</v>
      </c>
      <c r="P87" s="5" t="s">
        <v>26</v>
      </c>
      <c r="Q87" s="2">
        <v>3</v>
      </c>
      <c r="R87" s="5" t="s">
        <v>27</v>
      </c>
      <c r="S87" s="5" t="s">
        <v>32</v>
      </c>
      <c r="T87" s="39">
        <v>412.16399999999999</v>
      </c>
    </row>
    <row r="88" spans="1:20" ht="20.100000000000001" hidden="1" customHeight="1" x14ac:dyDescent="0.25">
      <c r="A88" s="26" t="str">
        <f>CONCATENATE(RIGHT(LEFT(RecebimentoConcreto[[#This Row],[Obra]],5),4),"RCBC",TEXT(RecebimentoConcreto[[#This Row],[Ordem]],"0000"))</f>
        <v>0184RCBC0156</v>
      </c>
      <c r="B88" s="1">
        <v>156</v>
      </c>
      <c r="C88" s="1" t="s">
        <v>21</v>
      </c>
      <c r="D88" s="35">
        <v>44677</v>
      </c>
      <c r="E88" s="1" t="s">
        <v>204</v>
      </c>
      <c r="F88" s="2" t="s">
        <v>205</v>
      </c>
      <c r="G88" s="2">
        <v>5408</v>
      </c>
      <c r="H88" s="2" t="s">
        <v>206</v>
      </c>
      <c r="J88" s="5">
        <v>0.59305555555555556</v>
      </c>
      <c r="K88" s="32">
        <f>_xlfn.MAXIFS(ConsumoConcreto[Fim do Bombeamento],ConsumoConcreto[RecebimentoID],RecebimentoConcreto[[#This Row],[RecebimentoID]])</f>
        <v>0.63680555555555551</v>
      </c>
      <c r="M88" s="37">
        <v>36892</v>
      </c>
      <c r="N88" s="5" t="s">
        <v>25</v>
      </c>
      <c r="O88" s="9">
        <v>15</v>
      </c>
      <c r="P88" s="5" t="s">
        <v>26</v>
      </c>
      <c r="Q88" s="2">
        <v>3</v>
      </c>
      <c r="R88" s="5" t="s">
        <v>27</v>
      </c>
      <c r="S88" s="5" t="s">
        <v>32</v>
      </c>
      <c r="T88" s="39">
        <v>412.16399999999999</v>
      </c>
    </row>
    <row r="89" spans="1:20" ht="20.100000000000001" hidden="1" customHeight="1" x14ac:dyDescent="0.25">
      <c r="A89" s="26" t="str">
        <f>CONCATENATE(RIGHT(LEFT(RecebimentoConcreto[[#This Row],[Obra]],5),4),"RCBC",TEXT(RecebimentoConcreto[[#This Row],[Ordem]],"0000"))</f>
        <v>0184RCBC0165</v>
      </c>
      <c r="B89" s="1">
        <v>165</v>
      </c>
      <c r="C89" s="1" t="s">
        <v>21</v>
      </c>
      <c r="D89" s="35">
        <v>44747</v>
      </c>
      <c r="E89" s="1" t="s">
        <v>36</v>
      </c>
      <c r="F89" s="2">
        <v>10245</v>
      </c>
      <c r="G89" s="2">
        <v>5408</v>
      </c>
      <c r="H89" s="2">
        <v>15352</v>
      </c>
      <c r="K89" s="32">
        <f>_xlfn.MAXIFS(ConsumoConcreto[Fim do Bombeamento],ConsumoConcreto[RecebimentoID],RecebimentoConcreto[[#This Row],[RecebimentoID]])</f>
        <v>0</v>
      </c>
      <c r="M89" s="37">
        <v>36892</v>
      </c>
      <c r="N89" s="5" t="s">
        <v>25</v>
      </c>
      <c r="O89" s="9">
        <v>0.1</v>
      </c>
      <c r="P89" s="5" t="s">
        <v>26</v>
      </c>
      <c r="Q89" s="2">
        <v>3</v>
      </c>
      <c r="R89" s="5" t="s">
        <v>27</v>
      </c>
      <c r="S89" s="5" t="s">
        <v>32</v>
      </c>
      <c r="T89" s="39">
        <v>450</v>
      </c>
    </row>
    <row r="90" spans="1:20" ht="20.100000000000001" hidden="1" customHeight="1" x14ac:dyDescent="0.25">
      <c r="A90" s="26" t="str">
        <f>CONCATENATE(RIGHT(LEFT(RecebimentoConcreto[[#This Row],[Obra]],5),4),"RCBC",TEXT(RecebimentoConcreto[[#This Row],[Ordem]],"0000"))</f>
        <v>0184RCBC0166</v>
      </c>
      <c r="B90" s="1">
        <v>166</v>
      </c>
      <c r="C90" s="1" t="s">
        <v>21</v>
      </c>
      <c r="D90" s="35">
        <v>44747</v>
      </c>
      <c r="E90" s="1" t="s">
        <v>36</v>
      </c>
      <c r="F90" s="2">
        <v>10245</v>
      </c>
      <c r="G90" s="2">
        <v>5408</v>
      </c>
      <c r="H90" s="2">
        <v>15352</v>
      </c>
      <c r="K90" s="32">
        <f>_xlfn.MAXIFS(ConsumoConcreto[Fim do Bombeamento],ConsumoConcreto[RecebimentoID],RecebimentoConcreto[[#This Row],[RecebimentoID]])</f>
        <v>0</v>
      </c>
      <c r="M90" s="37">
        <v>36892</v>
      </c>
      <c r="N90" s="5" t="s">
        <v>25</v>
      </c>
      <c r="O90" s="9">
        <v>0.1</v>
      </c>
      <c r="P90" s="5" t="s">
        <v>26</v>
      </c>
      <c r="Q90" s="2">
        <v>3</v>
      </c>
      <c r="R90" s="5" t="s">
        <v>27</v>
      </c>
      <c r="S90" s="5" t="s">
        <v>32</v>
      </c>
      <c r="T90" s="39">
        <v>450</v>
      </c>
    </row>
    <row r="91" spans="1:20" ht="20.100000000000001" hidden="1" customHeight="1" x14ac:dyDescent="0.25">
      <c r="A91" s="26" t="str">
        <f>CONCATENATE(RIGHT(LEFT(RecebimentoConcreto[[#This Row],[Obra]],5),4),"RCBC",TEXT(RecebimentoConcreto[[#This Row],[Ordem]],"0000"))</f>
        <v>0184RCBC0167</v>
      </c>
      <c r="B91" s="1">
        <v>167</v>
      </c>
      <c r="C91" s="1" t="s">
        <v>21</v>
      </c>
      <c r="D91" s="35">
        <v>44747</v>
      </c>
      <c r="E91" s="1" t="s">
        <v>36</v>
      </c>
      <c r="F91" s="2">
        <v>10245</v>
      </c>
      <c r="G91" s="2">
        <v>5408</v>
      </c>
      <c r="H91" s="2">
        <v>15352</v>
      </c>
      <c r="K91" s="32">
        <f>_xlfn.MAXIFS(ConsumoConcreto[Fim do Bombeamento],ConsumoConcreto[RecebimentoID],RecebimentoConcreto[[#This Row],[RecebimentoID]])</f>
        <v>0</v>
      </c>
      <c r="M91" s="37">
        <v>36892</v>
      </c>
      <c r="N91" s="5" t="s">
        <v>25</v>
      </c>
      <c r="O91" s="9">
        <v>0.1</v>
      </c>
      <c r="P91" s="5" t="s">
        <v>26</v>
      </c>
      <c r="Q91" s="2">
        <v>3</v>
      </c>
      <c r="R91" s="5" t="s">
        <v>27</v>
      </c>
      <c r="S91" s="5" t="s">
        <v>32</v>
      </c>
      <c r="T91" s="39">
        <v>450</v>
      </c>
    </row>
    <row r="92" spans="1:20" ht="20.100000000000001" hidden="1" customHeight="1" x14ac:dyDescent="0.25">
      <c r="A92" s="26" t="str">
        <f>CONCATENATE(RIGHT(LEFT(RecebimentoConcreto[[#This Row],[Obra]],5),4),"RCBC",TEXT(RecebimentoConcreto[[#This Row],[Ordem]],"0000"))</f>
        <v>0184RCBC0168</v>
      </c>
      <c r="B92" s="1">
        <v>168</v>
      </c>
      <c r="C92" s="1" t="s">
        <v>21</v>
      </c>
      <c r="D92" s="35">
        <v>44747</v>
      </c>
      <c r="E92" s="1" t="s">
        <v>36</v>
      </c>
      <c r="F92" s="2">
        <v>10245</v>
      </c>
      <c r="G92" s="2">
        <v>5408</v>
      </c>
      <c r="H92" s="2">
        <v>15352</v>
      </c>
      <c r="K92" s="32">
        <f>_xlfn.MAXIFS(ConsumoConcreto[Fim do Bombeamento],ConsumoConcreto[RecebimentoID],RecebimentoConcreto[[#This Row],[RecebimentoID]])</f>
        <v>0</v>
      </c>
      <c r="M92" s="37">
        <v>36892</v>
      </c>
      <c r="N92" s="5" t="s">
        <v>25</v>
      </c>
      <c r="O92" s="9">
        <v>0.1</v>
      </c>
      <c r="P92" s="5" t="s">
        <v>26</v>
      </c>
      <c r="Q92" s="2">
        <v>3</v>
      </c>
      <c r="R92" s="5" t="s">
        <v>27</v>
      </c>
      <c r="S92" s="5" t="s">
        <v>32</v>
      </c>
      <c r="T92" s="39">
        <v>450</v>
      </c>
    </row>
    <row r="93" spans="1:20" ht="20.100000000000001" hidden="1" customHeight="1" x14ac:dyDescent="0.25">
      <c r="A93" s="26" t="str">
        <f>CONCATENATE(RIGHT(LEFT(RecebimentoConcreto[[#This Row],[Obra]],5),4),"RCBC",TEXT(RecebimentoConcreto[[#This Row],[Ordem]],"0000"))</f>
        <v>0184RCBC0169</v>
      </c>
      <c r="B93" s="1">
        <v>169</v>
      </c>
      <c r="C93" s="1" t="s">
        <v>21</v>
      </c>
      <c r="D93" s="35">
        <v>44747</v>
      </c>
      <c r="E93" s="1" t="s">
        <v>36</v>
      </c>
      <c r="F93" s="2">
        <v>10245</v>
      </c>
      <c r="G93" s="2">
        <v>5408</v>
      </c>
      <c r="H93" s="2">
        <v>15352</v>
      </c>
      <c r="K93" s="32">
        <f>_xlfn.MAXIFS(ConsumoConcreto[Fim do Bombeamento],ConsumoConcreto[RecebimentoID],RecebimentoConcreto[[#This Row],[RecebimentoID]])</f>
        <v>0</v>
      </c>
      <c r="M93" s="37">
        <v>36892</v>
      </c>
      <c r="N93" s="5" t="s">
        <v>25</v>
      </c>
      <c r="O93" s="9">
        <v>0.1</v>
      </c>
      <c r="P93" s="5" t="s">
        <v>26</v>
      </c>
      <c r="Q93" s="2">
        <v>3</v>
      </c>
      <c r="R93" s="5" t="s">
        <v>27</v>
      </c>
      <c r="S93" s="5" t="s">
        <v>32</v>
      </c>
      <c r="T93" s="39">
        <v>450</v>
      </c>
    </row>
    <row r="94" spans="1:20" ht="20.100000000000001" hidden="1" customHeight="1" x14ac:dyDescent="0.25">
      <c r="A94" s="26" t="str">
        <f>CONCATENATE(RIGHT(LEFT(RecebimentoConcreto[[#This Row],[Obra]],5),4),"RCBC",TEXT(RecebimentoConcreto[[#This Row],[Ordem]],"0000"))</f>
        <v>0184RCBC0170</v>
      </c>
      <c r="B94" s="1">
        <v>170</v>
      </c>
      <c r="C94" s="1" t="s">
        <v>21</v>
      </c>
      <c r="D94" s="35">
        <v>44754</v>
      </c>
      <c r="E94" s="1" t="s">
        <v>37</v>
      </c>
      <c r="F94" s="2">
        <v>9234</v>
      </c>
      <c r="G94" s="2">
        <v>5408</v>
      </c>
      <c r="H94" s="2">
        <v>15441</v>
      </c>
      <c r="K94" s="32">
        <f>_xlfn.MAXIFS(ConsumoConcreto[Fim do Bombeamento],ConsumoConcreto[RecebimentoID],RecebimentoConcreto[[#This Row],[RecebimentoID]])</f>
        <v>0</v>
      </c>
      <c r="M94" s="37">
        <v>36892</v>
      </c>
      <c r="N94" s="5" t="s">
        <v>25</v>
      </c>
      <c r="O94" s="9">
        <v>0.1</v>
      </c>
      <c r="P94" s="5" t="s">
        <v>26</v>
      </c>
      <c r="Q94" s="2">
        <v>3</v>
      </c>
      <c r="R94" s="5" t="s">
        <v>27</v>
      </c>
      <c r="S94" s="5" t="s">
        <v>32</v>
      </c>
      <c r="T94" s="39">
        <v>450</v>
      </c>
    </row>
    <row r="95" spans="1:20" ht="20.100000000000001" hidden="1" customHeight="1" x14ac:dyDescent="0.25">
      <c r="A95" s="26" t="str">
        <f>CONCATENATE(RIGHT(LEFT(RecebimentoConcreto[[#This Row],[Obra]],5),4),"RCBC",TEXT(RecebimentoConcreto[[#This Row],[Ordem]],"0000"))</f>
        <v>0184RCBC0171</v>
      </c>
      <c r="B95" s="1">
        <v>171</v>
      </c>
      <c r="C95" s="1" t="s">
        <v>21</v>
      </c>
      <c r="D95" s="35">
        <v>44754</v>
      </c>
      <c r="E95" s="1" t="s">
        <v>37</v>
      </c>
      <c r="F95" s="2">
        <v>9234</v>
      </c>
      <c r="G95" s="2">
        <v>5408</v>
      </c>
      <c r="H95" s="2">
        <v>15441</v>
      </c>
      <c r="K95" s="32">
        <f>_xlfn.MAXIFS(ConsumoConcreto[Fim do Bombeamento],ConsumoConcreto[RecebimentoID],RecebimentoConcreto[[#This Row],[RecebimentoID]])</f>
        <v>0</v>
      </c>
      <c r="M95" s="37">
        <v>36892</v>
      </c>
      <c r="N95" s="5" t="s">
        <v>25</v>
      </c>
      <c r="O95" s="9">
        <v>0.1</v>
      </c>
      <c r="P95" s="5" t="s">
        <v>26</v>
      </c>
      <c r="Q95" s="2">
        <v>3</v>
      </c>
      <c r="R95" s="5" t="s">
        <v>27</v>
      </c>
      <c r="S95" s="5" t="s">
        <v>32</v>
      </c>
      <c r="T95" s="39">
        <v>450</v>
      </c>
    </row>
    <row r="96" spans="1:20" ht="20.100000000000001" hidden="1" customHeight="1" x14ac:dyDescent="0.25">
      <c r="A96" s="26" t="str">
        <f>CONCATENATE(RIGHT(LEFT(RecebimentoConcreto[[#This Row],[Obra]],5),4),"RCBC",TEXT(RecebimentoConcreto[[#This Row],[Ordem]],"0000"))</f>
        <v>0184RCBC0172</v>
      </c>
      <c r="B96" s="1">
        <v>172</v>
      </c>
      <c r="C96" s="1" t="s">
        <v>21</v>
      </c>
      <c r="D96" s="35">
        <v>44754</v>
      </c>
      <c r="E96" s="1" t="s">
        <v>207</v>
      </c>
      <c r="F96" s="2">
        <v>9236</v>
      </c>
      <c r="G96" s="2">
        <v>5408</v>
      </c>
      <c r="H96" s="2">
        <v>15443</v>
      </c>
      <c r="K96" s="32">
        <f>_xlfn.MAXIFS(ConsumoConcreto[Fim do Bombeamento],ConsumoConcreto[RecebimentoID],RecebimentoConcreto[[#This Row],[RecebimentoID]])</f>
        <v>0</v>
      </c>
      <c r="M96" s="37">
        <v>36892</v>
      </c>
      <c r="N96" s="5" t="s">
        <v>25</v>
      </c>
      <c r="O96" s="9">
        <v>0.1</v>
      </c>
      <c r="P96" s="5" t="s">
        <v>26</v>
      </c>
      <c r="Q96" s="2">
        <v>3</v>
      </c>
      <c r="R96" s="5" t="s">
        <v>27</v>
      </c>
      <c r="S96" s="5" t="s">
        <v>32</v>
      </c>
      <c r="T96" s="39">
        <v>450</v>
      </c>
    </row>
    <row r="97" spans="1:20" ht="20.100000000000001" hidden="1" customHeight="1" x14ac:dyDescent="0.25">
      <c r="A97" s="26" t="str">
        <f>CONCATENATE(RIGHT(LEFT(RecebimentoConcreto[[#This Row],[Obra]],5),4),"RCBC",TEXT(RecebimentoConcreto[[#This Row],[Ordem]],"0000"))</f>
        <v>0184RCBC0173</v>
      </c>
      <c r="B97" s="1">
        <v>173</v>
      </c>
      <c r="C97" s="1" t="s">
        <v>21</v>
      </c>
      <c r="D97" s="35">
        <v>44754</v>
      </c>
      <c r="E97" s="1" t="s">
        <v>37</v>
      </c>
      <c r="F97" s="2">
        <v>9234</v>
      </c>
      <c r="G97" s="2">
        <v>5408</v>
      </c>
      <c r="H97" s="2">
        <v>15441</v>
      </c>
      <c r="K97" s="32">
        <f>_xlfn.MAXIFS(ConsumoConcreto[Fim do Bombeamento],ConsumoConcreto[RecebimentoID],RecebimentoConcreto[[#This Row],[RecebimentoID]])</f>
        <v>0</v>
      </c>
      <c r="M97" s="37">
        <v>36892</v>
      </c>
      <c r="N97" s="5" t="s">
        <v>25</v>
      </c>
      <c r="O97" s="9">
        <v>0.1</v>
      </c>
      <c r="P97" s="5" t="s">
        <v>26</v>
      </c>
      <c r="Q97" s="2">
        <v>3</v>
      </c>
      <c r="R97" s="5" t="s">
        <v>27</v>
      </c>
      <c r="S97" s="5" t="s">
        <v>32</v>
      </c>
      <c r="T97" s="39">
        <v>450</v>
      </c>
    </row>
    <row r="98" spans="1:20" ht="20.100000000000001" hidden="1" customHeight="1" x14ac:dyDescent="0.25">
      <c r="A98" s="26" t="str">
        <f>CONCATENATE(RIGHT(LEFT(RecebimentoConcreto[[#This Row],[Obra]],5),4),"RCBC",TEXT(RecebimentoConcreto[[#This Row],[Ordem]],"0000"))</f>
        <v>0184RCBC0174</v>
      </c>
      <c r="B98" s="1">
        <v>174</v>
      </c>
      <c r="C98" s="1" t="s">
        <v>21</v>
      </c>
      <c r="D98" s="35">
        <v>44754</v>
      </c>
      <c r="E98" s="1" t="s">
        <v>207</v>
      </c>
      <c r="F98" s="2">
        <v>9236</v>
      </c>
      <c r="G98" s="2">
        <v>5408</v>
      </c>
      <c r="H98" s="2">
        <v>15443</v>
      </c>
      <c r="K98" s="32">
        <f>_xlfn.MAXIFS(ConsumoConcreto[Fim do Bombeamento],ConsumoConcreto[RecebimentoID],RecebimentoConcreto[[#This Row],[RecebimentoID]])</f>
        <v>0</v>
      </c>
      <c r="M98" s="37">
        <v>36892</v>
      </c>
      <c r="N98" s="5" t="s">
        <v>25</v>
      </c>
      <c r="O98" s="9">
        <v>0.1</v>
      </c>
      <c r="P98" s="5" t="s">
        <v>26</v>
      </c>
      <c r="Q98" s="2">
        <v>3</v>
      </c>
      <c r="R98" s="5" t="s">
        <v>27</v>
      </c>
      <c r="S98" s="5" t="s">
        <v>32</v>
      </c>
      <c r="T98" s="39">
        <v>450</v>
      </c>
    </row>
    <row r="99" spans="1:20" ht="20.100000000000001" hidden="1" customHeight="1" x14ac:dyDescent="0.25">
      <c r="A99" s="26" t="str">
        <f>CONCATENATE(RIGHT(LEFT(RecebimentoConcreto[[#This Row],[Obra]],5),4),"RCBC",TEXT(RecebimentoConcreto[[#This Row],[Ordem]],"0000"))</f>
        <v>0184RCBC0175</v>
      </c>
      <c r="B99" s="1">
        <v>175</v>
      </c>
      <c r="C99" s="1" t="s">
        <v>21</v>
      </c>
      <c r="D99" s="35">
        <v>44754</v>
      </c>
      <c r="E99" s="1" t="s">
        <v>207</v>
      </c>
      <c r="F99" s="2">
        <v>9236</v>
      </c>
      <c r="G99" s="2">
        <v>5408</v>
      </c>
      <c r="H99" s="2">
        <v>15443</v>
      </c>
      <c r="K99" s="32">
        <f>_xlfn.MAXIFS(ConsumoConcreto[Fim do Bombeamento],ConsumoConcreto[RecebimentoID],RecebimentoConcreto[[#This Row],[RecebimentoID]])</f>
        <v>0</v>
      </c>
      <c r="M99" s="37">
        <v>36892</v>
      </c>
      <c r="N99" s="5" t="s">
        <v>25</v>
      </c>
      <c r="O99" s="9">
        <v>0.1</v>
      </c>
      <c r="P99" s="5" t="s">
        <v>26</v>
      </c>
      <c r="Q99" s="2">
        <v>3</v>
      </c>
      <c r="R99" s="5" t="s">
        <v>27</v>
      </c>
      <c r="S99" s="5" t="s">
        <v>32</v>
      </c>
      <c r="T99" s="39">
        <v>450</v>
      </c>
    </row>
    <row r="100" spans="1:20" ht="20.100000000000001" hidden="1" customHeight="1" x14ac:dyDescent="0.25">
      <c r="A100" s="26" t="str">
        <f>CONCATENATE(RIGHT(LEFT(RecebimentoConcreto[[#This Row],[Obra]],5),4),"RCBC",TEXT(RecebimentoConcreto[[#This Row],[Ordem]],"0000"))</f>
        <v>0184RCBC0176</v>
      </c>
      <c r="B100" s="1">
        <v>176</v>
      </c>
      <c r="C100" s="1" t="s">
        <v>21</v>
      </c>
      <c r="D100" s="35">
        <v>44768</v>
      </c>
      <c r="E100" s="1" t="s">
        <v>106</v>
      </c>
      <c r="F100" s="2">
        <v>20291</v>
      </c>
      <c r="G100" s="2">
        <v>5408</v>
      </c>
      <c r="H100" s="2">
        <v>15700</v>
      </c>
      <c r="K100" s="32">
        <f>_xlfn.MAXIFS(ConsumoConcreto[Fim do Bombeamento],ConsumoConcreto[RecebimentoID],RecebimentoConcreto[[#This Row],[RecebimentoID]])</f>
        <v>0</v>
      </c>
      <c r="M100" s="37">
        <v>36892</v>
      </c>
      <c r="N100" s="5" t="s">
        <v>25</v>
      </c>
      <c r="O100" s="9">
        <v>0.1</v>
      </c>
      <c r="P100" s="5" t="s">
        <v>26</v>
      </c>
      <c r="Q100" s="2">
        <v>3</v>
      </c>
      <c r="R100" s="5" t="s">
        <v>27</v>
      </c>
      <c r="S100" s="5" t="s">
        <v>32</v>
      </c>
      <c r="T100" s="39">
        <v>450</v>
      </c>
    </row>
    <row r="101" spans="1:20" ht="20.100000000000001" hidden="1" customHeight="1" x14ac:dyDescent="0.25">
      <c r="A101" s="26" t="str">
        <f>CONCATENATE(RIGHT(LEFT(RecebimentoConcreto[[#This Row],[Obra]],5),4),"RCBC",TEXT(RecebimentoConcreto[[#This Row],[Ordem]],"0000"))</f>
        <v>0184RCBC0177</v>
      </c>
      <c r="B101" s="1">
        <v>177</v>
      </c>
      <c r="C101" s="1" t="s">
        <v>21</v>
      </c>
      <c r="D101" s="35">
        <v>44777</v>
      </c>
      <c r="E101" s="1" t="s">
        <v>208</v>
      </c>
      <c r="F101" s="2">
        <v>8274</v>
      </c>
      <c r="G101" s="2">
        <v>5408</v>
      </c>
      <c r="H101" s="2">
        <v>15889</v>
      </c>
      <c r="K101" s="32">
        <f>_xlfn.MAXIFS(ConsumoConcreto[Fim do Bombeamento],ConsumoConcreto[RecebimentoID],RecebimentoConcreto[[#This Row],[RecebimentoID]])</f>
        <v>0</v>
      </c>
      <c r="M101" s="37">
        <v>36892</v>
      </c>
      <c r="N101" s="5" t="s">
        <v>25</v>
      </c>
      <c r="O101" s="9">
        <v>0.1</v>
      </c>
      <c r="P101" s="5" t="s">
        <v>26</v>
      </c>
      <c r="Q101" s="2">
        <v>3</v>
      </c>
      <c r="R101" s="5" t="s">
        <v>27</v>
      </c>
      <c r="S101" s="5" t="s">
        <v>32</v>
      </c>
      <c r="T101" s="39">
        <v>450</v>
      </c>
    </row>
    <row r="102" spans="1:20" ht="20.100000000000001" hidden="1" customHeight="1" x14ac:dyDescent="0.25">
      <c r="A102" s="26" t="str">
        <f>CONCATENATE(RIGHT(LEFT(RecebimentoConcreto[[#This Row],[Obra]],5),4),"RCBC",TEXT(RecebimentoConcreto[[#This Row],[Ordem]],"0000"))</f>
        <v>0184RCBC0178</v>
      </c>
      <c r="B102" s="1">
        <v>178</v>
      </c>
      <c r="C102" s="1" t="s">
        <v>21</v>
      </c>
      <c r="D102" s="35">
        <v>44777</v>
      </c>
      <c r="E102" s="1" t="s">
        <v>208</v>
      </c>
      <c r="F102" s="2">
        <v>8274</v>
      </c>
      <c r="G102" s="2">
        <v>5408</v>
      </c>
      <c r="H102" s="2">
        <v>15889</v>
      </c>
      <c r="K102" s="32">
        <f>_xlfn.MAXIFS(ConsumoConcreto[Fim do Bombeamento],ConsumoConcreto[RecebimentoID],RecebimentoConcreto[[#This Row],[RecebimentoID]])</f>
        <v>0</v>
      </c>
      <c r="M102" s="37">
        <v>36892</v>
      </c>
      <c r="N102" s="5" t="s">
        <v>25</v>
      </c>
      <c r="O102" s="9">
        <v>0.1</v>
      </c>
      <c r="P102" s="5" t="s">
        <v>26</v>
      </c>
      <c r="Q102" s="2">
        <v>3</v>
      </c>
      <c r="R102" s="5" t="s">
        <v>27</v>
      </c>
      <c r="S102" s="5" t="s">
        <v>32</v>
      </c>
      <c r="T102" s="39">
        <v>450</v>
      </c>
    </row>
    <row r="103" spans="1:20" ht="20.100000000000001" hidden="1" customHeight="1" x14ac:dyDescent="0.25">
      <c r="A103" s="26" t="str">
        <f>CONCATENATE(RIGHT(LEFT(RecebimentoConcreto[[#This Row],[Obra]],5),4),"RCBC",TEXT(RecebimentoConcreto[[#This Row],[Ordem]],"0000"))</f>
        <v>0184RCBC0211</v>
      </c>
      <c r="B103" s="1">
        <v>211</v>
      </c>
      <c r="C103" s="1" t="s">
        <v>21</v>
      </c>
      <c r="D103" s="35">
        <v>44637</v>
      </c>
      <c r="E103" s="1" t="s">
        <v>209</v>
      </c>
      <c r="F103" s="2" t="s">
        <v>210</v>
      </c>
      <c r="G103" s="2">
        <v>5408</v>
      </c>
      <c r="H103" s="2" t="s">
        <v>211</v>
      </c>
      <c r="K103" s="32">
        <f>_xlfn.MAXIFS(ConsumoConcreto[Fim do Bombeamento],ConsumoConcreto[RecebimentoID],RecebimentoConcreto[[#This Row],[RecebimentoID]])</f>
        <v>0</v>
      </c>
      <c r="M103" s="37">
        <v>36892</v>
      </c>
      <c r="N103" s="5" t="s">
        <v>25</v>
      </c>
      <c r="O103" s="9">
        <v>18</v>
      </c>
      <c r="P103" s="5" t="s">
        <v>26</v>
      </c>
      <c r="Q103" s="2">
        <v>2</v>
      </c>
      <c r="R103" s="5" t="s">
        <v>27</v>
      </c>
      <c r="S103" s="5" t="s">
        <v>32</v>
      </c>
      <c r="T103" s="39">
        <v>385.2</v>
      </c>
    </row>
    <row r="104" spans="1:20" ht="20.100000000000001" hidden="1" customHeight="1" x14ac:dyDescent="0.25">
      <c r="A104" s="26" t="str">
        <f>CONCATENATE(RIGHT(LEFT(RecebimentoConcreto[[#This Row],[Obra]],5),4),"RCBC",TEXT(RecebimentoConcreto[[#This Row],[Ordem]],"0000"))</f>
        <v>0184RCBC0212</v>
      </c>
      <c r="B104" s="1">
        <v>212</v>
      </c>
      <c r="C104" s="1" t="s">
        <v>21</v>
      </c>
      <c r="D104" s="35">
        <v>44638</v>
      </c>
      <c r="E104" s="1" t="s">
        <v>212</v>
      </c>
      <c r="F104" s="2" t="s">
        <v>213</v>
      </c>
      <c r="G104" s="2">
        <v>5408</v>
      </c>
      <c r="H104" s="2" t="s">
        <v>214</v>
      </c>
      <c r="K104" s="32">
        <f>_xlfn.MAXIFS(ConsumoConcreto[Fim do Bombeamento],ConsumoConcreto[RecebimentoID],RecebimentoConcreto[[#This Row],[RecebimentoID]])</f>
        <v>0</v>
      </c>
      <c r="M104" s="37">
        <v>36892</v>
      </c>
      <c r="N104" s="5" t="s">
        <v>25</v>
      </c>
      <c r="O104" s="9">
        <v>18</v>
      </c>
      <c r="P104" s="5" t="s">
        <v>26</v>
      </c>
      <c r="Q104" s="2">
        <v>2</v>
      </c>
      <c r="R104" s="5" t="s">
        <v>27</v>
      </c>
      <c r="S104" s="5" t="s">
        <v>32</v>
      </c>
      <c r="T104" s="39">
        <v>385.2</v>
      </c>
    </row>
    <row r="105" spans="1:20" ht="20.100000000000001" hidden="1" customHeight="1" x14ac:dyDescent="0.25">
      <c r="A105" s="26" t="str">
        <f>CONCATENATE(RIGHT(LEFT(RecebimentoConcreto[[#This Row],[Obra]],5),4),"RCBC",TEXT(RecebimentoConcreto[[#This Row],[Ordem]],"0000"))</f>
        <v>0184RCBC0213</v>
      </c>
      <c r="B105" s="1">
        <v>213</v>
      </c>
      <c r="C105" s="1" t="s">
        <v>21</v>
      </c>
      <c r="D105" s="35">
        <v>44641</v>
      </c>
      <c r="E105" s="1" t="s">
        <v>215</v>
      </c>
      <c r="F105" s="2" t="s">
        <v>216</v>
      </c>
      <c r="G105" s="2">
        <v>5408</v>
      </c>
      <c r="H105" s="2" t="s">
        <v>217</v>
      </c>
      <c r="K105" s="32">
        <f>_xlfn.MAXIFS(ConsumoConcreto[Fim do Bombeamento],ConsumoConcreto[RecebimentoID],RecebimentoConcreto[[#This Row],[RecebimentoID]])</f>
        <v>0</v>
      </c>
      <c r="M105" s="37">
        <v>36892</v>
      </c>
      <c r="N105" s="5" t="s">
        <v>25</v>
      </c>
      <c r="O105" s="9">
        <v>18</v>
      </c>
      <c r="P105" s="5" t="s">
        <v>26</v>
      </c>
      <c r="Q105" s="2">
        <v>2</v>
      </c>
      <c r="R105" s="5" t="s">
        <v>27</v>
      </c>
      <c r="S105" s="5" t="s">
        <v>32</v>
      </c>
      <c r="T105" s="39">
        <v>385.2</v>
      </c>
    </row>
    <row r="106" spans="1:20" ht="20.100000000000001" hidden="1" customHeight="1" x14ac:dyDescent="0.25">
      <c r="A106" s="26" t="str">
        <f>CONCATENATE(RIGHT(LEFT(RecebimentoConcreto[[#This Row],[Obra]],5),4),"RCBC",TEXT(RecebimentoConcreto[[#This Row],[Ordem]],"0000"))</f>
        <v>0184RCBC0214</v>
      </c>
      <c r="B106" s="1">
        <v>214</v>
      </c>
      <c r="C106" s="1" t="s">
        <v>21</v>
      </c>
      <c r="D106" s="35">
        <v>44643</v>
      </c>
      <c r="E106" s="1" t="s">
        <v>218</v>
      </c>
      <c r="F106" s="2" t="s">
        <v>219</v>
      </c>
      <c r="G106" s="2">
        <v>5408</v>
      </c>
      <c r="H106" s="2" t="s">
        <v>220</v>
      </c>
      <c r="K106" s="32">
        <f>_xlfn.MAXIFS(ConsumoConcreto[Fim do Bombeamento],ConsumoConcreto[RecebimentoID],RecebimentoConcreto[[#This Row],[RecebimentoID]])</f>
        <v>0</v>
      </c>
      <c r="M106" s="37">
        <v>36892</v>
      </c>
      <c r="N106" s="5" t="s">
        <v>25</v>
      </c>
      <c r="O106" s="9">
        <v>18</v>
      </c>
      <c r="P106" s="5" t="s">
        <v>26</v>
      </c>
      <c r="Q106" s="2">
        <v>2</v>
      </c>
      <c r="R106" s="5" t="s">
        <v>27</v>
      </c>
      <c r="S106" s="5" t="s">
        <v>32</v>
      </c>
      <c r="T106" s="39">
        <v>385.2</v>
      </c>
    </row>
    <row r="107" spans="1:20" ht="20.100000000000001" hidden="1" customHeight="1" x14ac:dyDescent="0.25">
      <c r="A107" s="26" t="str">
        <f>CONCATENATE(RIGHT(LEFT(RecebimentoConcreto[[#This Row],[Obra]],5),4),"RCBC",TEXT(RecebimentoConcreto[[#This Row],[Ordem]],"0000"))</f>
        <v>0184RCBC0215</v>
      </c>
      <c r="B107" s="1">
        <v>215</v>
      </c>
      <c r="C107" s="1" t="s">
        <v>21</v>
      </c>
      <c r="D107" s="35">
        <v>44678</v>
      </c>
      <c r="E107" s="1" t="s">
        <v>221</v>
      </c>
      <c r="F107" s="2" t="s">
        <v>222</v>
      </c>
      <c r="G107" s="2">
        <v>5408</v>
      </c>
      <c r="H107" s="2" t="s">
        <v>223</v>
      </c>
      <c r="J107" s="5">
        <v>0.74513888888888891</v>
      </c>
      <c r="K107" s="32">
        <f>_xlfn.MAXIFS(ConsumoConcreto[Fim do Bombeamento],ConsumoConcreto[RecebimentoID],RecebimentoConcreto[[#This Row],[RecebimentoID]])</f>
        <v>0.84930555555555554</v>
      </c>
      <c r="M107" s="37">
        <v>36892</v>
      </c>
      <c r="N107" s="5" t="s">
        <v>25</v>
      </c>
      <c r="O107" s="9">
        <v>15</v>
      </c>
      <c r="P107" s="5" t="s">
        <v>26</v>
      </c>
      <c r="Q107" s="2">
        <v>3</v>
      </c>
      <c r="R107" s="5" t="s">
        <v>27</v>
      </c>
      <c r="S107" s="5" t="s">
        <v>32</v>
      </c>
      <c r="T107" s="39">
        <v>412.16399999999999</v>
      </c>
    </row>
    <row r="108" spans="1:20" ht="20.100000000000001" hidden="1" customHeight="1" x14ac:dyDescent="0.25">
      <c r="A108" s="26" t="str">
        <f>CONCATENATE(RIGHT(LEFT(RecebimentoConcreto[[#This Row],[Obra]],5),4),"RCBC",TEXT(RecebimentoConcreto[[#This Row],[Ordem]],"0000"))</f>
        <v>0184RCBC0216</v>
      </c>
      <c r="B108" s="1">
        <v>216</v>
      </c>
      <c r="C108" s="1" t="s">
        <v>21</v>
      </c>
      <c r="D108" s="35">
        <v>44680</v>
      </c>
      <c r="E108" s="1" t="s">
        <v>224</v>
      </c>
      <c r="F108" s="2" t="s">
        <v>225</v>
      </c>
      <c r="G108" s="2">
        <v>5408</v>
      </c>
      <c r="H108" s="2" t="s">
        <v>226</v>
      </c>
      <c r="J108" s="5">
        <v>0.60902777777777783</v>
      </c>
      <c r="K108" s="32">
        <f>_xlfn.MAXIFS(ConsumoConcreto[Fim do Bombeamento],ConsumoConcreto[RecebimentoID],RecebimentoConcreto[[#This Row],[RecebimentoID]])</f>
        <v>0.65486111111111112</v>
      </c>
      <c r="M108" s="37">
        <v>36892</v>
      </c>
      <c r="N108" s="5" t="s">
        <v>25</v>
      </c>
      <c r="O108" s="9">
        <v>15</v>
      </c>
      <c r="P108" s="5" t="s">
        <v>26</v>
      </c>
      <c r="Q108" s="2">
        <v>3</v>
      </c>
      <c r="R108" s="5" t="s">
        <v>27</v>
      </c>
      <c r="S108" s="5" t="s">
        <v>32</v>
      </c>
      <c r="T108" s="39">
        <v>412.16399999999999</v>
      </c>
    </row>
    <row r="109" spans="1:20" ht="20.100000000000001" hidden="1" customHeight="1" x14ac:dyDescent="0.25">
      <c r="A109" s="26" t="str">
        <f>CONCATENATE(RIGHT(LEFT(RecebimentoConcreto[[#This Row],[Obra]],5),4),"RCBC",TEXT(RecebimentoConcreto[[#This Row],[Ordem]],"0000"))</f>
        <v>0184RCBC0217</v>
      </c>
      <c r="B109" s="1">
        <v>217</v>
      </c>
      <c r="C109" s="1" t="s">
        <v>21</v>
      </c>
      <c r="D109" s="35">
        <v>44683</v>
      </c>
      <c r="E109" s="1" t="s">
        <v>227</v>
      </c>
      <c r="F109" s="2" t="s">
        <v>228</v>
      </c>
      <c r="G109" s="2">
        <v>5408</v>
      </c>
      <c r="H109" s="2" t="s">
        <v>229</v>
      </c>
      <c r="J109" s="5">
        <v>0.78819444444444453</v>
      </c>
      <c r="K109" s="32">
        <f>_xlfn.MAXIFS(ConsumoConcreto[Fim do Bombeamento],ConsumoConcreto[RecebimentoID],RecebimentoConcreto[[#This Row],[RecebimentoID]])</f>
        <v>0.83333333333333337</v>
      </c>
      <c r="M109" s="37">
        <v>36892</v>
      </c>
      <c r="N109" s="5" t="s">
        <v>25</v>
      </c>
      <c r="O109" s="9">
        <v>15</v>
      </c>
      <c r="P109" s="5" t="s">
        <v>26</v>
      </c>
      <c r="Q109" s="2">
        <v>3</v>
      </c>
      <c r="R109" s="5" t="s">
        <v>27</v>
      </c>
      <c r="S109" s="5" t="s">
        <v>32</v>
      </c>
      <c r="T109" s="39">
        <v>412.16399999999999</v>
      </c>
    </row>
    <row r="110" spans="1:20" ht="20.100000000000001" hidden="1" customHeight="1" x14ac:dyDescent="0.25">
      <c r="A110" s="26" t="str">
        <f>CONCATENATE(RIGHT(LEFT(RecebimentoConcreto[[#This Row],[Obra]],5),4),"RCBC",TEXT(RecebimentoConcreto[[#This Row],[Ordem]],"0000"))</f>
        <v>0184RCBC0218</v>
      </c>
      <c r="B110" s="1">
        <v>218</v>
      </c>
      <c r="C110" s="1" t="s">
        <v>21</v>
      </c>
      <c r="D110" s="35">
        <v>44685</v>
      </c>
      <c r="E110" s="1" t="s">
        <v>230</v>
      </c>
      <c r="F110" s="2" t="s">
        <v>231</v>
      </c>
      <c r="G110" s="2">
        <v>5408</v>
      </c>
      <c r="H110" s="2" t="s">
        <v>232</v>
      </c>
      <c r="J110" s="5">
        <v>0.40972222222222227</v>
      </c>
      <c r="K110" s="32">
        <f>_xlfn.MAXIFS(ConsumoConcreto[Fim do Bombeamento],ConsumoConcreto[RecebimentoID],RecebimentoConcreto[[#This Row],[RecebimentoID]])</f>
        <v>0.4826388888888889</v>
      </c>
      <c r="M110" s="37">
        <v>36892</v>
      </c>
      <c r="N110" s="5" t="s">
        <v>25</v>
      </c>
      <c r="O110" s="9">
        <v>15</v>
      </c>
      <c r="P110" s="5" t="s">
        <v>26</v>
      </c>
      <c r="Q110" s="2">
        <v>3</v>
      </c>
      <c r="R110" s="5" t="s">
        <v>27</v>
      </c>
      <c r="S110" s="5" t="s">
        <v>32</v>
      </c>
      <c r="T110" s="39">
        <v>412.16399999999999</v>
      </c>
    </row>
    <row r="111" spans="1:20" ht="20.100000000000001" hidden="1" customHeight="1" x14ac:dyDescent="0.25">
      <c r="A111" s="26" t="str">
        <f>CONCATENATE(RIGHT(LEFT(RecebimentoConcreto[[#This Row],[Obra]],5),4),"RCBC",TEXT(RecebimentoConcreto[[#This Row],[Ordem]],"0000"))</f>
        <v>0184RCBC0219</v>
      </c>
      <c r="B111" s="1">
        <v>219</v>
      </c>
      <c r="C111" s="1" t="s">
        <v>21</v>
      </c>
      <c r="D111" s="35">
        <v>44686</v>
      </c>
      <c r="E111" s="1" t="s">
        <v>233</v>
      </c>
      <c r="F111" s="2" t="s">
        <v>234</v>
      </c>
      <c r="G111" s="2">
        <v>5408</v>
      </c>
      <c r="H111" s="2" t="s">
        <v>235</v>
      </c>
      <c r="J111" s="5">
        <v>0.82500000000000007</v>
      </c>
      <c r="K111" s="32">
        <f>_xlfn.MAXIFS(ConsumoConcreto[Fim do Bombeamento],ConsumoConcreto[RecebimentoID],RecebimentoConcreto[[#This Row],[RecebimentoID]])</f>
        <v>0.90138888888888891</v>
      </c>
      <c r="M111" s="37">
        <v>36892</v>
      </c>
      <c r="N111" s="5" t="s">
        <v>25</v>
      </c>
      <c r="O111" s="9">
        <v>15</v>
      </c>
      <c r="P111" s="5" t="s">
        <v>26</v>
      </c>
      <c r="Q111" s="2">
        <v>3</v>
      </c>
      <c r="R111" s="5" t="s">
        <v>27</v>
      </c>
      <c r="S111" s="5" t="s">
        <v>32</v>
      </c>
      <c r="T111" s="39">
        <v>412.16399999999999</v>
      </c>
    </row>
    <row r="112" spans="1:20" ht="20.100000000000001" hidden="1" customHeight="1" x14ac:dyDescent="0.25">
      <c r="A112" s="26" t="str">
        <f>CONCATENATE(RIGHT(LEFT(RecebimentoConcreto[[#This Row],[Obra]],5),4),"RCBC",TEXT(RecebimentoConcreto[[#This Row],[Ordem]],"0000"))</f>
        <v>0184RCBC0220</v>
      </c>
      <c r="B112" s="1">
        <v>220</v>
      </c>
      <c r="C112" s="1" t="s">
        <v>21</v>
      </c>
      <c r="D112" s="35">
        <v>44687</v>
      </c>
      <c r="E112" s="1" t="s">
        <v>152</v>
      </c>
      <c r="F112" s="2" t="s">
        <v>236</v>
      </c>
      <c r="G112" s="2">
        <v>5408</v>
      </c>
      <c r="H112" s="2" t="s">
        <v>237</v>
      </c>
      <c r="J112" s="5">
        <v>0.69652777777777775</v>
      </c>
      <c r="K112" s="32">
        <f>_xlfn.MAXIFS(ConsumoConcreto[Fim do Bombeamento],ConsumoConcreto[RecebimentoID],RecebimentoConcreto[[#This Row],[RecebimentoID]])</f>
        <v>0.73263888888888884</v>
      </c>
      <c r="M112" s="37">
        <v>36892</v>
      </c>
      <c r="N112" s="5" t="s">
        <v>25</v>
      </c>
      <c r="O112" s="9">
        <v>15</v>
      </c>
      <c r="P112" s="5" t="s">
        <v>26</v>
      </c>
      <c r="Q112" s="2">
        <v>3</v>
      </c>
      <c r="R112" s="5" t="s">
        <v>27</v>
      </c>
      <c r="S112" s="5" t="s">
        <v>32</v>
      </c>
      <c r="T112" s="39">
        <v>412.16399999999999</v>
      </c>
    </row>
    <row r="113" spans="1:20" ht="20.100000000000001" hidden="1" customHeight="1" x14ac:dyDescent="0.25">
      <c r="A113" s="26" t="str">
        <f>CONCATENATE(RIGHT(LEFT(RecebimentoConcreto[[#This Row],[Obra]],5),4),"RCBC",TEXT(RecebimentoConcreto[[#This Row],[Ordem]],"0000"))</f>
        <v>0184RCBC0221</v>
      </c>
      <c r="B113" s="1">
        <v>221</v>
      </c>
      <c r="C113" s="1" t="s">
        <v>21</v>
      </c>
      <c r="D113" s="35">
        <v>44690</v>
      </c>
      <c r="E113" s="1" t="s">
        <v>238</v>
      </c>
      <c r="F113" s="2" t="s">
        <v>239</v>
      </c>
      <c r="G113" s="2">
        <v>5408</v>
      </c>
      <c r="H113" s="2" t="s">
        <v>240</v>
      </c>
      <c r="J113" s="5">
        <v>0.63402777777777775</v>
      </c>
      <c r="K113" s="32">
        <f>_xlfn.MAXIFS(ConsumoConcreto[Fim do Bombeamento],ConsumoConcreto[RecebimentoID],RecebimentoConcreto[[#This Row],[RecebimentoID]])</f>
        <v>0.66736111111111107</v>
      </c>
      <c r="M113" s="37">
        <v>36892</v>
      </c>
      <c r="N113" s="5" t="s">
        <v>25</v>
      </c>
      <c r="O113" s="9">
        <v>15</v>
      </c>
      <c r="P113" s="5" t="s">
        <v>26</v>
      </c>
      <c r="Q113" s="2">
        <v>3</v>
      </c>
      <c r="R113" s="5" t="s">
        <v>27</v>
      </c>
      <c r="S113" s="5" t="s">
        <v>32</v>
      </c>
      <c r="T113" s="39">
        <v>412.16399999999999</v>
      </c>
    </row>
    <row r="114" spans="1:20" ht="20.100000000000001" hidden="1" customHeight="1" x14ac:dyDescent="0.25">
      <c r="A114" s="26" t="str">
        <f>CONCATENATE(RIGHT(LEFT(RecebimentoConcreto[[#This Row],[Obra]],5),4),"RCBC",TEXT(RecebimentoConcreto[[#This Row],[Ordem]],"0000"))</f>
        <v>0184RCBC0222</v>
      </c>
      <c r="B114" s="1">
        <v>222</v>
      </c>
      <c r="C114" s="1" t="s">
        <v>21</v>
      </c>
      <c r="D114" s="35">
        <v>44691</v>
      </c>
      <c r="E114" s="1" t="s">
        <v>241</v>
      </c>
      <c r="F114" s="2" t="s">
        <v>242</v>
      </c>
      <c r="G114" s="2">
        <v>5408</v>
      </c>
      <c r="H114" s="2" t="s">
        <v>243</v>
      </c>
      <c r="J114" s="5">
        <v>0.58680555555555558</v>
      </c>
      <c r="K114" s="32">
        <f>_xlfn.MAXIFS(ConsumoConcreto[Fim do Bombeamento],ConsumoConcreto[RecebimentoID],RecebimentoConcreto[[#This Row],[RecebimentoID]])</f>
        <v>0.61944444444444446</v>
      </c>
      <c r="M114" s="37">
        <v>36892</v>
      </c>
      <c r="N114" s="5" t="s">
        <v>25</v>
      </c>
      <c r="O114" s="9">
        <v>14.5</v>
      </c>
      <c r="P114" s="5" t="s">
        <v>26</v>
      </c>
      <c r="Q114" s="2">
        <v>3</v>
      </c>
      <c r="R114" s="5" t="s">
        <v>27</v>
      </c>
      <c r="S114" s="5" t="s">
        <v>32</v>
      </c>
      <c r="T114" s="39">
        <v>412.16399999999999</v>
      </c>
    </row>
    <row r="115" spans="1:20" ht="20.100000000000001" hidden="1" customHeight="1" x14ac:dyDescent="0.25">
      <c r="A115" s="26" t="str">
        <f>CONCATENATE(RIGHT(LEFT(RecebimentoConcreto[[#This Row],[Obra]],5),4),"RCBC",TEXT(RecebimentoConcreto[[#This Row],[Ordem]],"0000"))</f>
        <v>0184RCBC0223</v>
      </c>
      <c r="B115" s="1">
        <v>223</v>
      </c>
      <c r="C115" s="1" t="s">
        <v>21</v>
      </c>
      <c r="D115" s="35">
        <v>44692</v>
      </c>
      <c r="E115" s="1" t="s">
        <v>244</v>
      </c>
      <c r="F115" s="2" t="s">
        <v>245</v>
      </c>
      <c r="G115" s="2">
        <v>5408</v>
      </c>
      <c r="H115" s="2" t="s">
        <v>246</v>
      </c>
      <c r="J115" s="5">
        <v>0.63541666666666663</v>
      </c>
      <c r="K115" s="32">
        <f>_xlfn.MAXIFS(ConsumoConcreto[Fim do Bombeamento],ConsumoConcreto[RecebimentoID],RecebimentoConcreto[[#This Row],[RecebimentoID]])</f>
        <v>0.69444444444444453</v>
      </c>
      <c r="M115" s="37">
        <v>36892</v>
      </c>
      <c r="N115" s="5" t="s">
        <v>25</v>
      </c>
      <c r="O115" s="9">
        <v>18</v>
      </c>
      <c r="P115" s="5" t="s">
        <v>26</v>
      </c>
      <c r="Q115" s="2">
        <v>3</v>
      </c>
      <c r="R115" s="5" t="s">
        <v>27</v>
      </c>
      <c r="S115" s="5" t="s">
        <v>32</v>
      </c>
      <c r="T115" s="39">
        <v>412.16399999999999</v>
      </c>
    </row>
    <row r="116" spans="1:20" ht="20.100000000000001" hidden="1" customHeight="1" x14ac:dyDescent="0.25">
      <c r="A116" s="26" t="str">
        <f>CONCATENATE(RIGHT(LEFT(RecebimentoConcreto[[#This Row],[Obra]],5),4),"RCBC",TEXT(RecebimentoConcreto[[#This Row],[Ordem]],"0000"))</f>
        <v>0184RCBC0224</v>
      </c>
      <c r="B116" s="1">
        <v>224</v>
      </c>
      <c r="C116" s="1" t="s">
        <v>21</v>
      </c>
      <c r="D116" s="35">
        <v>44693</v>
      </c>
      <c r="E116" s="1" t="s">
        <v>247</v>
      </c>
      <c r="F116" s="2" t="s">
        <v>248</v>
      </c>
      <c r="G116" s="2">
        <v>5408</v>
      </c>
      <c r="H116" s="2" t="s">
        <v>249</v>
      </c>
      <c r="J116" s="5">
        <v>0.82291666666666663</v>
      </c>
      <c r="K116" s="32">
        <f>_xlfn.MAXIFS(ConsumoConcreto[Fim do Bombeamento],ConsumoConcreto[RecebimentoID],RecebimentoConcreto[[#This Row],[RecebimentoID]])</f>
        <v>0.85069444444444453</v>
      </c>
      <c r="M116" s="37">
        <v>36892</v>
      </c>
      <c r="N116" s="5" t="s">
        <v>25</v>
      </c>
      <c r="O116" s="9">
        <v>14.5</v>
      </c>
      <c r="P116" s="5" t="s">
        <v>26</v>
      </c>
      <c r="Q116" s="2">
        <v>3</v>
      </c>
      <c r="R116" s="5" t="s">
        <v>27</v>
      </c>
      <c r="S116" s="5" t="s">
        <v>32</v>
      </c>
      <c r="T116" s="39">
        <v>412.16399999999999</v>
      </c>
    </row>
    <row r="117" spans="1:20" ht="20.100000000000001" hidden="1" customHeight="1" x14ac:dyDescent="0.25">
      <c r="A117" s="26" t="str">
        <f>CONCATENATE(RIGHT(LEFT(RecebimentoConcreto[[#This Row],[Obra]],5),4),"RCBC",TEXT(RecebimentoConcreto[[#This Row],[Ordem]],"0000"))</f>
        <v>0184RCBC0225</v>
      </c>
      <c r="B117" s="1">
        <v>225</v>
      </c>
      <c r="C117" s="1" t="s">
        <v>21</v>
      </c>
      <c r="D117" s="35">
        <v>44694</v>
      </c>
      <c r="E117" s="1" t="s">
        <v>250</v>
      </c>
      <c r="F117" s="2" t="s">
        <v>251</v>
      </c>
      <c r="G117" s="2">
        <v>5408</v>
      </c>
      <c r="H117" s="2" t="s">
        <v>252</v>
      </c>
      <c r="J117" s="5">
        <v>0.78819444444444453</v>
      </c>
      <c r="K117" s="32">
        <f>_xlfn.MAXIFS(ConsumoConcreto[Fim do Bombeamento],ConsumoConcreto[RecebimentoID],RecebimentoConcreto[[#This Row],[RecebimentoID]])</f>
        <v>0.83680555555555547</v>
      </c>
      <c r="M117" s="37">
        <v>36892</v>
      </c>
      <c r="N117" s="5" t="s">
        <v>25</v>
      </c>
      <c r="O117" s="9">
        <v>14.5</v>
      </c>
      <c r="P117" s="5" t="s">
        <v>26</v>
      </c>
      <c r="Q117" s="2">
        <v>3</v>
      </c>
      <c r="R117" s="5" t="s">
        <v>27</v>
      </c>
      <c r="S117" s="5" t="s">
        <v>32</v>
      </c>
      <c r="T117" s="39">
        <v>412.16</v>
      </c>
    </row>
    <row r="118" spans="1:20" ht="20.100000000000001" hidden="1" customHeight="1" x14ac:dyDescent="0.25">
      <c r="A118" s="26" t="str">
        <f>CONCATENATE(RIGHT(LEFT(RecebimentoConcreto[[#This Row],[Obra]],5),4),"RCBC",TEXT(RecebimentoConcreto[[#This Row],[Ordem]],"0000"))</f>
        <v>0184RCBC0226</v>
      </c>
      <c r="B118" s="1">
        <v>226</v>
      </c>
      <c r="C118" s="1" t="s">
        <v>21</v>
      </c>
      <c r="D118" s="35">
        <v>44697</v>
      </c>
      <c r="E118" s="1" t="s">
        <v>253</v>
      </c>
      <c r="F118" s="2" t="s">
        <v>254</v>
      </c>
      <c r="G118" s="2">
        <v>5408</v>
      </c>
      <c r="H118" s="2" t="s">
        <v>255</v>
      </c>
      <c r="J118" s="5">
        <v>0.72569444444444453</v>
      </c>
      <c r="K118" s="32">
        <f>_xlfn.MAXIFS(ConsumoConcreto[Fim do Bombeamento],ConsumoConcreto[RecebimentoID],RecebimentoConcreto[[#This Row],[RecebimentoID]])</f>
        <v>0.75</v>
      </c>
      <c r="M118" s="37">
        <v>36892</v>
      </c>
      <c r="N118" s="5" t="s">
        <v>25</v>
      </c>
      <c r="O118" s="9">
        <v>14.5</v>
      </c>
      <c r="P118" s="5" t="s">
        <v>26</v>
      </c>
      <c r="Q118" s="2">
        <v>3</v>
      </c>
      <c r="R118" s="5" t="s">
        <v>27</v>
      </c>
      <c r="S118" s="5" t="s">
        <v>32</v>
      </c>
      <c r="T118" s="39">
        <v>412.16</v>
      </c>
    </row>
    <row r="119" spans="1:20" ht="20.100000000000001" hidden="1" customHeight="1" x14ac:dyDescent="0.25">
      <c r="A119" s="26" t="str">
        <f>CONCATENATE(RIGHT(LEFT(RecebimentoConcreto[[#This Row],[Obra]],5),4),"RCBC",TEXT(RecebimentoConcreto[[#This Row],[Ordem]],"0000"))</f>
        <v>0184RCBC0227</v>
      </c>
      <c r="B119" s="1">
        <v>227</v>
      </c>
      <c r="C119" s="1" t="s">
        <v>21</v>
      </c>
      <c r="D119" s="35">
        <v>44698</v>
      </c>
      <c r="E119" s="1" t="s">
        <v>256</v>
      </c>
      <c r="F119" s="2" t="s">
        <v>257</v>
      </c>
      <c r="G119" s="2">
        <v>5408</v>
      </c>
      <c r="H119" s="2" t="s">
        <v>258</v>
      </c>
      <c r="J119" s="5">
        <v>0.85486111111111107</v>
      </c>
      <c r="K119" s="32">
        <f>_xlfn.MAXIFS(ConsumoConcreto[Fim do Bombeamento],ConsumoConcreto[RecebimentoID],RecebimentoConcreto[[#This Row],[RecebimentoID]])</f>
        <v>0.90625</v>
      </c>
      <c r="M119" s="37">
        <v>36892</v>
      </c>
      <c r="N119" s="5" t="s">
        <v>25</v>
      </c>
      <c r="O119" s="9">
        <v>14.5</v>
      </c>
      <c r="P119" s="5" t="s">
        <v>26</v>
      </c>
      <c r="Q119" s="2">
        <v>3</v>
      </c>
      <c r="R119" s="5" t="s">
        <v>27</v>
      </c>
      <c r="S119" s="5" t="s">
        <v>32</v>
      </c>
      <c r="T119" s="39">
        <v>412.16</v>
      </c>
    </row>
    <row r="120" spans="1:20" ht="20.100000000000001" hidden="1" customHeight="1" x14ac:dyDescent="0.25">
      <c r="A120" s="26" t="str">
        <f>CONCATENATE(RIGHT(LEFT(RecebimentoConcreto[[#This Row],[Obra]],5),4),"RCBC",TEXT(RecebimentoConcreto[[#This Row],[Ordem]],"0000"))</f>
        <v>0184RCBC0228</v>
      </c>
      <c r="B120" s="1">
        <v>228</v>
      </c>
      <c r="C120" s="1" t="s">
        <v>21</v>
      </c>
      <c r="D120" s="35">
        <v>44699</v>
      </c>
      <c r="E120" s="1" t="s">
        <v>259</v>
      </c>
      <c r="F120" s="2" t="s">
        <v>260</v>
      </c>
      <c r="G120" s="2">
        <v>5408</v>
      </c>
      <c r="H120" s="2" t="s">
        <v>261</v>
      </c>
      <c r="J120" s="5">
        <v>0.84722222222222221</v>
      </c>
      <c r="K120" s="32">
        <f>_xlfn.MAXIFS(ConsumoConcreto[Fim do Bombeamento],ConsumoConcreto[RecebimentoID],RecebimentoConcreto[[#This Row],[RecebimentoID]])</f>
        <v>0.87847222222222221</v>
      </c>
      <c r="M120" s="37">
        <v>36892</v>
      </c>
      <c r="N120" s="5" t="s">
        <v>25</v>
      </c>
      <c r="O120" s="9">
        <v>14.5</v>
      </c>
      <c r="P120" s="5" t="s">
        <v>26</v>
      </c>
      <c r="Q120" s="2">
        <v>3</v>
      </c>
      <c r="R120" s="5" t="s">
        <v>27</v>
      </c>
      <c r="S120" s="5" t="s">
        <v>32</v>
      </c>
      <c r="T120" s="39">
        <v>450</v>
      </c>
    </row>
    <row r="121" spans="1:20" ht="20.100000000000001" hidden="1" customHeight="1" x14ac:dyDescent="0.25">
      <c r="A121" s="26" t="str">
        <f>CONCATENATE(RIGHT(LEFT(RecebimentoConcreto[[#This Row],[Obra]],5),4),"RCBC",TEXT(RecebimentoConcreto[[#This Row],[Ordem]],"0000"))</f>
        <v>0184RCBC0229</v>
      </c>
      <c r="B121" s="1">
        <v>229</v>
      </c>
      <c r="C121" s="1" t="s">
        <v>21</v>
      </c>
      <c r="D121" s="35">
        <v>44700</v>
      </c>
      <c r="E121" s="1" t="s">
        <v>262</v>
      </c>
      <c r="F121" s="2" t="s">
        <v>263</v>
      </c>
      <c r="G121" s="2">
        <v>5408</v>
      </c>
      <c r="H121" s="2" t="s">
        <v>264</v>
      </c>
      <c r="J121" s="5">
        <v>0.73611111111111116</v>
      </c>
      <c r="K121" s="32">
        <f>_xlfn.MAXIFS(ConsumoConcreto[Fim do Bombeamento],ConsumoConcreto[RecebimentoID],RecebimentoConcreto[[#This Row],[RecebimentoID]])</f>
        <v>0.7715277777777777</v>
      </c>
      <c r="M121" s="37">
        <v>36892</v>
      </c>
      <c r="N121" s="5" t="s">
        <v>25</v>
      </c>
      <c r="O121" s="9">
        <v>14.5</v>
      </c>
      <c r="P121" s="5" t="s">
        <v>26</v>
      </c>
      <c r="Q121" s="2">
        <v>3</v>
      </c>
      <c r="R121" s="5" t="s">
        <v>27</v>
      </c>
      <c r="S121" s="5" t="s">
        <v>32</v>
      </c>
      <c r="T121" s="39">
        <v>450</v>
      </c>
    </row>
    <row r="122" spans="1:20" ht="20.100000000000001" hidden="1" customHeight="1" x14ac:dyDescent="0.25">
      <c r="A122" s="26" t="str">
        <f>CONCATENATE(RIGHT(LEFT(RecebimentoConcreto[[#This Row],[Obra]],5),4),"RCBC",TEXT(RecebimentoConcreto[[#This Row],[Ordem]],"0000"))</f>
        <v>0184RCBC0230</v>
      </c>
      <c r="B122" s="1">
        <v>230</v>
      </c>
      <c r="C122" s="1" t="s">
        <v>21</v>
      </c>
      <c r="D122" s="35">
        <v>44701</v>
      </c>
      <c r="E122" s="1" t="s">
        <v>113</v>
      </c>
      <c r="F122" s="2" t="s">
        <v>265</v>
      </c>
      <c r="G122" s="2">
        <v>5408</v>
      </c>
      <c r="H122" s="2" t="s">
        <v>266</v>
      </c>
      <c r="J122" s="5">
        <v>0.78125</v>
      </c>
      <c r="K122" s="32">
        <f>_xlfn.MAXIFS(ConsumoConcreto[Fim do Bombeamento],ConsumoConcreto[RecebimentoID],RecebimentoConcreto[[#This Row],[RecebimentoID]])</f>
        <v>0.80902777777777779</v>
      </c>
      <c r="M122" s="37">
        <v>36892</v>
      </c>
      <c r="N122" s="5" t="s">
        <v>25</v>
      </c>
      <c r="O122" s="9">
        <v>14.5</v>
      </c>
      <c r="P122" s="5" t="s">
        <v>26</v>
      </c>
      <c r="Q122" s="2">
        <v>3</v>
      </c>
      <c r="R122" s="5" t="s">
        <v>27</v>
      </c>
      <c r="S122" s="5" t="s">
        <v>32</v>
      </c>
      <c r="T122" s="39">
        <v>450</v>
      </c>
    </row>
    <row r="123" spans="1:20" ht="20.100000000000001" hidden="1" customHeight="1" x14ac:dyDescent="0.25">
      <c r="A123" s="26" t="str">
        <f>CONCATENATE(RIGHT(LEFT(RecebimentoConcreto[[#This Row],[Obra]],5),4),"RCBC",TEXT(RecebimentoConcreto[[#This Row],[Ordem]],"0000"))</f>
        <v>0184RCBC0231</v>
      </c>
      <c r="B123" s="1">
        <v>231</v>
      </c>
      <c r="C123" s="1" t="s">
        <v>21</v>
      </c>
      <c r="D123" s="35">
        <v>44704</v>
      </c>
      <c r="E123" s="1" t="s">
        <v>259</v>
      </c>
      <c r="F123" s="2" t="s">
        <v>267</v>
      </c>
      <c r="G123" s="2">
        <v>5408</v>
      </c>
      <c r="H123" s="2" t="s">
        <v>268</v>
      </c>
      <c r="J123" s="5">
        <v>0.85</v>
      </c>
      <c r="K123" s="32">
        <f>_xlfn.MAXIFS(ConsumoConcreto[Fim do Bombeamento],ConsumoConcreto[RecebimentoID],RecebimentoConcreto[[#This Row],[RecebimentoID]])</f>
        <v>0.87152777777777779</v>
      </c>
      <c r="M123" s="37">
        <v>36892</v>
      </c>
      <c r="N123" s="5" t="s">
        <v>25</v>
      </c>
      <c r="O123" s="9">
        <v>14.5</v>
      </c>
      <c r="P123" s="5" t="s">
        <v>26</v>
      </c>
      <c r="Q123" s="2">
        <v>3</v>
      </c>
      <c r="R123" s="5" t="s">
        <v>27</v>
      </c>
      <c r="S123" s="5" t="s">
        <v>32</v>
      </c>
      <c r="T123" s="39">
        <v>450</v>
      </c>
    </row>
    <row r="124" spans="1:20" ht="20.100000000000001" hidden="1" customHeight="1" x14ac:dyDescent="0.25">
      <c r="A124" s="26" t="str">
        <f>CONCATENATE(RIGHT(LEFT(RecebimentoConcreto[[#This Row],[Obra]],5),4),"RCBC",TEXT(RecebimentoConcreto[[#This Row],[Ordem]],"0000"))</f>
        <v>0184RCBC0232</v>
      </c>
      <c r="B124" s="1">
        <v>232</v>
      </c>
      <c r="C124" s="1" t="s">
        <v>21</v>
      </c>
      <c r="D124" s="35">
        <v>44705</v>
      </c>
      <c r="E124" s="1" t="s">
        <v>269</v>
      </c>
      <c r="F124" s="2" t="s">
        <v>270</v>
      </c>
      <c r="G124" s="2">
        <v>5408</v>
      </c>
      <c r="H124" s="2" t="s">
        <v>271</v>
      </c>
      <c r="J124" s="5">
        <v>0.75</v>
      </c>
      <c r="K124" s="32">
        <f>_xlfn.MAXIFS(ConsumoConcreto[Fim do Bombeamento],ConsumoConcreto[RecebimentoID],RecebimentoConcreto[[#This Row],[RecebimentoID]])</f>
        <v>0.78819444444444453</v>
      </c>
      <c r="M124" s="37">
        <v>36892</v>
      </c>
      <c r="N124" s="5" t="s">
        <v>25</v>
      </c>
      <c r="O124" s="9">
        <v>15</v>
      </c>
      <c r="P124" s="5" t="s">
        <v>26</v>
      </c>
      <c r="Q124" s="2">
        <v>3</v>
      </c>
      <c r="R124" s="5" t="s">
        <v>27</v>
      </c>
      <c r="S124" s="5" t="s">
        <v>32</v>
      </c>
      <c r="T124" s="39">
        <v>450</v>
      </c>
    </row>
    <row r="125" spans="1:20" ht="20.100000000000001" hidden="1" customHeight="1" x14ac:dyDescent="0.25">
      <c r="A125" s="26" t="str">
        <f>CONCATENATE(RIGHT(LEFT(RecebimentoConcreto[[#This Row],[Obra]],5),4),"RCBC",TEXT(RecebimentoConcreto[[#This Row],[Ordem]],"0000"))</f>
        <v>0184RCBC0233</v>
      </c>
      <c r="B125" s="1">
        <v>233</v>
      </c>
      <c r="C125" s="1" t="s">
        <v>21</v>
      </c>
      <c r="D125" s="35">
        <v>44706</v>
      </c>
      <c r="E125" s="1" t="s">
        <v>272</v>
      </c>
      <c r="F125" s="2" t="s">
        <v>273</v>
      </c>
      <c r="G125" s="2">
        <v>5408</v>
      </c>
      <c r="H125" s="2" t="s">
        <v>274</v>
      </c>
      <c r="J125" s="5">
        <v>0.72916666666666663</v>
      </c>
      <c r="K125" s="32">
        <f>_xlfn.MAXIFS(ConsumoConcreto[Fim do Bombeamento],ConsumoConcreto[RecebimentoID],RecebimentoConcreto[[#This Row],[RecebimentoID]])</f>
        <v>0.75347222222222221</v>
      </c>
      <c r="M125" s="37">
        <v>36892</v>
      </c>
      <c r="N125" s="5" t="s">
        <v>25</v>
      </c>
      <c r="O125" s="9">
        <v>15</v>
      </c>
      <c r="P125" s="5" t="s">
        <v>26</v>
      </c>
      <c r="Q125" s="2">
        <v>3</v>
      </c>
      <c r="R125" s="5" t="s">
        <v>27</v>
      </c>
      <c r="S125" s="5" t="s">
        <v>32</v>
      </c>
      <c r="T125" s="39">
        <v>450</v>
      </c>
    </row>
    <row r="126" spans="1:20" ht="20.100000000000001" hidden="1" customHeight="1" x14ac:dyDescent="0.25">
      <c r="A126" s="26" t="str">
        <f>CONCATENATE(RIGHT(LEFT(RecebimentoConcreto[[#This Row],[Obra]],5),4),"RCBC",TEXT(RecebimentoConcreto[[#This Row],[Ordem]],"0000"))</f>
        <v>0184RCBC0234</v>
      </c>
      <c r="B126" s="1">
        <v>234</v>
      </c>
      <c r="C126" s="1" t="s">
        <v>21</v>
      </c>
      <c r="D126" s="35">
        <v>44706</v>
      </c>
      <c r="E126" s="1" t="s">
        <v>107</v>
      </c>
      <c r="F126" s="2" t="s">
        <v>275</v>
      </c>
      <c r="G126" s="2">
        <v>5408</v>
      </c>
      <c r="H126" s="2" t="s">
        <v>276</v>
      </c>
      <c r="J126" s="5">
        <v>0.64930555555555558</v>
      </c>
      <c r="K126" s="32">
        <f>_xlfn.MAXIFS(ConsumoConcreto[Fim do Bombeamento],ConsumoConcreto[RecebimentoID],RecebimentoConcreto[[#This Row],[RecebimentoID]])</f>
        <v>0.68611111111111101</v>
      </c>
      <c r="M126" s="37">
        <v>36892</v>
      </c>
      <c r="N126" s="5" t="s">
        <v>25</v>
      </c>
      <c r="O126" s="9">
        <v>15</v>
      </c>
      <c r="P126" s="5" t="s">
        <v>26</v>
      </c>
      <c r="Q126" s="2">
        <v>3</v>
      </c>
      <c r="R126" s="5" t="s">
        <v>27</v>
      </c>
      <c r="S126" s="5" t="s">
        <v>32</v>
      </c>
      <c r="T126" s="39">
        <v>450</v>
      </c>
    </row>
    <row r="127" spans="1:20" ht="20.100000000000001" hidden="1" customHeight="1" x14ac:dyDescent="0.25">
      <c r="A127" s="26" t="str">
        <f>CONCATENATE(RIGHT(LEFT(RecebimentoConcreto[[#This Row],[Obra]],5),4),"RCBC",TEXT(RecebimentoConcreto[[#This Row],[Ordem]],"0000"))</f>
        <v>0184RCBC0235</v>
      </c>
      <c r="B127" s="1">
        <v>235</v>
      </c>
      <c r="C127" s="1" t="s">
        <v>21</v>
      </c>
      <c r="D127" s="35">
        <v>44707</v>
      </c>
      <c r="E127" s="1" t="s">
        <v>272</v>
      </c>
      <c r="F127" s="2" t="s">
        <v>277</v>
      </c>
      <c r="G127" s="2">
        <v>5408</v>
      </c>
      <c r="H127" s="2" t="s">
        <v>278</v>
      </c>
      <c r="J127" s="5">
        <v>0.72777777777777775</v>
      </c>
      <c r="K127" s="32">
        <f>_xlfn.MAXIFS(ConsumoConcreto[Fim do Bombeamento],ConsumoConcreto[RecebimentoID],RecebimentoConcreto[[#This Row],[RecebimentoID]])</f>
        <v>0.76388888888888884</v>
      </c>
      <c r="M127" s="37">
        <v>36892</v>
      </c>
      <c r="N127" s="5" t="s">
        <v>25</v>
      </c>
      <c r="O127" s="9">
        <v>15</v>
      </c>
      <c r="P127" s="5" t="s">
        <v>26</v>
      </c>
      <c r="Q127" s="2">
        <v>3</v>
      </c>
      <c r="R127" s="5" t="s">
        <v>27</v>
      </c>
      <c r="S127" s="5" t="s">
        <v>32</v>
      </c>
      <c r="T127" s="39">
        <v>450</v>
      </c>
    </row>
    <row r="128" spans="1:20" ht="20.100000000000001" hidden="1" customHeight="1" x14ac:dyDescent="0.25">
      <c r="A128" s="26" t="str">
        <f>CONCATENATE(RIGHT(LEFT(RecebimentoConcreto[[#This Row],[Obra]],5),4),"RCBC",TEXT(RecebimentoConcreto[[#This Row],[Ordem]],"0000"))</f>
        <v>0184RCBC0236</v>
      </c>
      <c r="B128" s="1">
        <v>236</v>
      </c>
      <c r="C128" s="1" t="s">
        <v>21</v>
      </c>
      <c r="D128" s="35">
        <v>44707</v>
      </c>
      <c r="E128" s="1" t="s">
        <v>279</v>
      </c>
      <c r="F128" s="2" t="s">
        <v>280</v>
      </c>
      <c r="G128" s="2">
        <v>5408</v>
      </c>
      <c r="H128" s="2" t="s">
        <v>281</v>
      </c>
      <c r="J128" s="5">
        <v>0.87638888888888899</v>
      </c>
      <c r="K128" s="32">
        <f>_xlfn.MAXIFS(ConsumoConcreto[Fim do Bombeamento],ConsumoConcreto[RecebimentoID],RecebimentoConcreto[[#This Row],[RecebimentoID]])</f>
        <v>0.9375</v>
      </c>
      <c r="M128" s="37">
        <v>36892</v>
      </c>
      <c r="N128" s="5" t="s">
        <v>25</v>
      </c>
      <c r="O128" s="9">
        <v>15</v>
      </c>
      <c r="P128" s="5" t="s">
        <v>26</v>
      </c>
      <c r="Q128" s="2">
        <v>3</v>
      </c>
      <c r="R128" s="5" t="s">
        <v>27</v>
      </c>
      <c r="S128" s="5" t="s">
        <v>32</v>
      </c>
      <c r="T128" s="39">
        <v>450</v>
      </c>
    </row>
    <row r="129" spans="1:20" ht="20.100000000000001" hidden="1" customHeight="1" x14ac:dyDescent="0.25">
      <c r="A129" s="26" t="str">
        <f>CONCATENATE(RIGHT(LEFT(RecebimentoConcreto[[#This Row],[Obra]],5),4),"RCBC",TEXT(RecebimentoConcreto[[#This Row],[Ordem]],"0000"))</f>
        <v>0184RCBC0237</v>
      </c>
      <c r="B129" s="1">
        <v>237</v>
      </c>
      <c r="C129" s="1" t="s">
        <v>21</v>
      </c>
      <c r="D129" s="35">
        <v>44709</v>
      </c>
      <c r="E129" s="1" t="s">
        <v>152</v>
      </c>
      <c r="F129" s="2" t="s">
        <v>282</v>
      </c>
      <c r="G129" s="2">
        <v>5408</v>
      </c>
      <c r="H129" s="2" t="s">
        <v>283</v>
      </c>
      <c r="J129" s="5">
        <v>0.36805555555555558</v>
      </c>
      <c r="K129" s="32">
        <f>_xlfn.MAXIFS(ConsumoConcreto[Fim do Bombeamento],ConsumoConcreto[RecebimentoID],RecebimentoConcreto[[#This Row],[RecebimentoID]])</f>
        <v>0.40972222222222227</v>
      </c>
      <c r="M129" s="37">
        <v>36892</v>
      </c>
      <c r="N129" s="5" t="s">
        <v>25</v>
      </c>
      <c r="O129" s="9">
        <v>15</v>
      </c>
      <c r="P129" s="5" t="s">
        <v>26</v>
      </c>
      <c r="Q129" s="2">
        <v>3</v>
      </c>
      <c r="R129" s="5" t="s">
        <v>27</v>
      </c>
      <c r="S129" s="5" t="s">
        <v>32</v>
      </c>
      <c r="T129" s="39">
        <v>450</v>
      </c>
    </row>
    <row r="130" spans="1:20" ht="20.100000000000001" hidden="1" customHeight="1" x14ac:dyDescent="0.25">
      <c r="A130" s="26" t="str">
        <f>CONCATENATE(RIGHT(LEFT(RecebimentoConcreto[[#This Row],[Obra]],5),4),"RCBC",TEXT(RecebimentoConcreto[[#This Row],[Ordem]],"0000"))</f>
        <v>0184RCBC0238</v>
      </c>
      <c r="B130" s="1">
        <v>238</v>
      </c>
      <c r="C130" s="1" t="s">
        <v>21</v>
      </c>
      <c r="D130" s="35">
        <v>44711</v>
      </c>
      <c r="E130" s="1" t="s">
        <v>284</v>
      </c>
      <c r="F130" s="2" t="s">
        <v>285</v>
      </c>
      <c r="G130" s="2">
        <v>5408</v>
      </c>
      <c r="H130" s="2" t="s">
        <v>286</v>
      </c>
      <c r="J130" s="5">
        <v>0.73958333333333337</v>
      </c>
      <c r="K130" s="32">
        <f>_xlfn.MAXIFS(ConsumoConcreto[Fim do Bombeamento],ConsumoConcreto[RecebimentoID],RecebimentoConcreto[[#This Row],[RecebimentoID]])</f>
        <v>0.78333333333333333</v>
      </c>
      <c r="M130" s="37">
        <v>36892</v>
      </c>
      <c r="N130" s="5" t="s">
        <v>25</v>
      </c>
      <c r="O130" s="9">
        <v>22</v>
      </c>
      <c r="P130" s="5" t="s">
        <v>26</v>
      </c>
      <c r="Q130" s="2">
        <v>3</v>
      </c>
      <c r="R130" s="5" t="s">
        <v>27</v>
      </c>
      <c r="S130" s="5" t="s">
        <v>32</v>
      </c>
      <c r="T130" s="39">
        <v>450</v>
      </c>
    </row>
    <row r="131" spans="1:20" ht="20.100000000000001" hidden="1" customHeight="1" x14ac:dyDescent="0.25">
      <c r="A131" s="26" t="str">
        <f>CONCATENATE(RIGHT(LEFT(RecebimentoConcreto[[#This Row],[Obra]],5),4),"RCBC",TEXT(RecebimentoConcreto[[#This Row],[Ordem]],"0000"))</f>
        <v>0184RCBC0239</v>
      </c>
      <c r="B131" s="1">
        <v>239</v>
      </c>
      <c r="C131" s="1" t="s">
        <v>21</v>
      </c>
      <c r="D131" s="35">
        <v>44711</v>
      </c>
      <c r="E131" s="1" t="s">
        <v>287</v>
      </c>
      <c r="F131" s="2" t="s">
        <v>288</v>
      </c>
      <c r="G131" s="2">
        <v>5408</v>
      </c>
      <c r="H131" s="2" t="s">
        <v>289</v>
      </c>
      <c r="J131" s="5">
        <v>0.63402777777777775</v>
      </c>
      <c r="K131" s="32">
        <f>_xlfn.MAXIFS(ConsumoConcreto[Fim do Bombeamento],ConsumoConcreto[RecebimentoID],RecebimentoConcreto[[#This Row],[RecebimentoID]])</f>
        <v>0.6777777777777777</v>
      </c>
      <c r="M131" s="37">
        <v>36892</v>
      </c>
      <c r="N131" s="5" t="s">
        <v>25</v>
      </c>
      <c r="O131" s="9">
        <v>15</v>
      </c>
      <c r="P131" s="5" t="s">
        <v>26</v>
      </c>
      <c r="Q131" s="2">
        <v>3</v>
      </c>
      <c r="R131" s="5" t="s">
        <v>27</v>
      </c>
      <c r="S131" s="5" t="s">
        <v>32</v>
      </c>
      <c r="T131" s="39">
        <v>450</v>
      </c>
    </row>
    <row r="132" spans="1:20" ht="20.100000000000001" hidden="1" customHeight="1" x14ac:dyDescent="0.25">
      <c r="A132" s="26" t="str">
        <f>CONCATENATE(RIGHT(LEFT(RecebimentoConcreto[[#This Row],[Obra]],5),4),"RCBC",TEXT(RecebimentoConcreto[[#This Row],[Ordem]],"0000"))</f>
        <v>0184RCBC0240</v>
      </c>
      <c r="B132" s="1">
        <v>240</v>
      </c>
      <c r="C132" s="1" t="s">
        <v>21</v>
      </c>
      <c r="D132" s="35">
        <v>44712</v>
      </c>
      <c r="E132" s="1" t="s">
        <v>290</v>
      </c>
      <c r="F132" s="2" t="s">
        <v>291</v>
      </c>
      <c r="G132" s="2">
        <v>5408</v>
      </c>
      <c r="H132" s="2" t="s">
        <v>292</v>
      </c>
      <c r="J132" s="5">
        <v>0.74305555555555547</v>
      </c>
      <c r="K132" s="32">
        <f>_xlfn.MAXIFS(ConsumoConcreto[Fim do Bombeamento],ConsumoConcreto[RecebimentoID],RecebimentoConcreto[[#This Row],[RecebimentoID]])</f>
        <v>0.77777777777777779</v>
      </c>
      <c r="M132" s="37">
        <v>36892</v>
      </c>
      <c r="N132" s="5" t="s">
        <v>25</v>
      </c>
      <c r="O132" s="9">
        <v>15</v>
      </c>
      <c r="P132" s="5" t="s">
        <v>26</v>
      </c>
      <c r="Q132" s="2">
        <v>3</v>
      </c>
      <c r="R132" s="5" t="s">
        <v>27</v>
      </c>
      <c r="S132" s="5" t="s">
        <v>32</v>
      </c>
      <c r="T132" s="39">
        <v>450</v>
      </c>
    </row>
    <row r="133" spans="1:20" ht="20.100000000000001" hidden="1" customHeight="1" x14ac:dyDescent="0.25">
      <c r="A133" s="26" t="str">
        <f>CONCATENATE(RIGHT(LEFT(RecebimentoConcreto[[#This Row],[Obra]],5),4),"RCBC",TEXT(RecebimentoConcreto[[#This Row],[Ordem]],"0000"))</f>
        <v>0184RCBC0241</v>
      </c>
      <c r="B133" s="1">
        <v>241</v>
      </c>
      <c r="C133" s="1" t="s">
        <v>21</v>
      </c>
      <c r="D133" s="35">
        <v>44712</v>
      </c>
      <c r="E133" s="1" t="s">
        <v>293</v>
      </c>
      <c r="F133" s="2" t="s">
        <v>294</v>
      </c>
      <c r="G133" s="2">
        <v>5408</v>
      </c>
      <c r="H133" s="2" t="s">
        <v>295</v>
      </c>
      <c r="J133" s="5">
        <v>0.78819444444444453</v>
      </c>
      <c r="K133" s="32">
        <f>_xlfn.MAXIFS(ConsumoConcreto[Fim do Bombeamento],ConsumoConcreto[RecebimentoID],RecebimentoConcreto[[#This Row],[RecebimentoID]])</f>
        <v>0.82986111111111116</v>
      </c>
      <c r="M133" s="37">
        <v>36892</v>
      </c>
      <c r="N133" s="5" t="s">
        <v>25</v>
      </c>
      <c r="O133" s="9">
        <v>14.5</v>
      </c>
      <c r="P133" s="5" t="s">
        <v>26</v>
      </c>
      <c r="Q133" s="2">
        <v>3</v>
      </c>
      <c r="R133" s="5" t="s">
        <v>27</v>
      </c>
      <c r="S133" s="5" t="s">
        <v>32</v>
      </c>
      <c r="T133" s="39">
        <v>450</v>
      </c>
    </row>
    <row r="134" spans="1:20" ht="20.100000000000001" hidden="1" customHeight="1" x14ac:dyDescent="0.25">
      <c r="A134" s="26" t="str">
        <f>CONCATENATE(RIGHT(LEFT(RecebimentoConcreto[[#This Row],[Obra]],5),4),"RCBC",TEXT(RecebimentoConcreto[[#This Row],[Ordem]],"0000"))</f>
        <v>0184RCBC0242</v>
      </c>
      <c r="B134" s="1">
        <v>242</v>
      </c>
      <c r="C134" s="1" t="s">
        <v>21</v>
      </c>
      <c r="D134" s="35">
        <v>44713</v>
      </c>
      <c r="E134" s="1" t="s">
        <v>296</v>
      </c>
      <c r="F134" s="2" t="s">
        <v>297</v>
      </c>
      <c r="G134" s="2">
        <v>5408</v>
      </c>
      <c r="H134" s="2" t="s">
        <v>298</v>
      </c>
      <c r="J134" s="5">
        <v>0.75</v>
      </c>
      <c r="K134" s="32">
        <f>_xlfn.MAXIFS(ConsumoConcreto[Fim do Bombeamento],ConsumoConcreto[RecebimentoID],RecebimentoConcreto[[#This Row],[RecebimentoID]])</f>
        <v>0.79861111111111116</v>
      </c>
      <c r="M134" s="37">
        <v>36892</v>
      </c>
      <c r="N134" s="5" t="s">
        <v>25</v>
      </c>
      <c r="O134" s="9">
        <v>15</v>
      </c>
      <c r="P134" s="5" t="s">
        <v>26</v>
      </c>
      <c r="Q134" s="2">
        <v>3</v>
      </c>
      <c r="R134" s="5" t="s">
        <v>27</v>
      </c>
      <c r="S134" s="5" t="s">
        <v>32</v>
      </c>
      <c r="T134" s="39">
        <v>450</v>
      </c>
    </row>
    <row r="135" spans="1:20" ht="20.100000000000001" hidden="1" customHeight="1" x14ac:dyDescent="0.25">
      <c r="A135" s="26" t="str">
        <f>CONCATENATE(RIGHT(LEFT(RecebimentoConcreto[[#This Row],[Obra]],5),4),"RCBC",TEXT(RecebimentoConcreto[[#This Row],[Ordem]],"0000"))</f>
        <v>0184RCBC0272</v>
      </c>
      <c r="B135" s="1">
        <v>272</v>
      </c>
      <c r="C135" s="1" t="s">
        <v>21</v>
      </c>
      <c r="D135" s="35">
        <v>44804</v>
      </c>
      <c r="E135" s="1" t="s">
        <v>299</v>
      </c>
      <c r="F135" s="2" t="s">
        <v>300</v>
      </c>
      <c r="G135" s="2">
        <v>5408</v>
      </c>
      <c r="H135" s="2" t="s">
        <v>301</v>
      </c>
      <c r="J135" s="5">
        <v>0.65625</v>
      </c>
      <c r="K135" s="32">
        <f>_xlfn.MAXIFS(ConsumoConcreto[Fim do Bombeamento],ConsumoConcreto[RecebimentoID],RecebimentoConcreto[[#This Row],[RecebimentoID]])</f>
        <v>0.77777777777777779</v>
      </c>
      <c r="M135" s="37">
        <v>36892</v>
      </c>
      <c r="N135" s="5" t="s">
        <v>25</v>
      </c>
      <c r="O135" s="9">
        <v>19</v>
      </c>
      <c r="P135" s="5" t="s">
        <v>26</v>
      </c>
      <c r="Q135" s="2">
        <v>4</v>
      </c>
      <c r="R135" s="5" t="s">
        <v>27</v>
      </c>
      <c r="S135" s="5" t="s">
        <v>32</v>
      </c>
      <c r="T135" s="39">
        <v>450</v>
      </c>
    </row>
    <row r="136" spans="1:20" ht="20.100000000000001" hidden="1" customHeight="1" x14ac:dyDescent="0.25">
      <c r="A136" s="26" t="str">
        <f>CONCATENATE(RIGHT(LEFT(RecebimentoConcreto[[#This Row],[Obra]],5),4),"RCBC",TEXT(RecebimentoConcreto[[#This Row],[Ordem]],"0000"))</f>
        <v>0184RCBC0273</v>
      </c>
      <c r="B136" s="1">
        <v>273</v>
      </c>
      <c r="C136" s="1" t="s">
        <v>21</v>
      </c>
      <c r="D136" s="35">
        <v>44805</v>
      </c>
      <c r="E136" s="1" t="s">
        <v>287</v>
      </c>
      <c r="F136" s="2" t="s">
        <v>302</v>
      </c>
      <c r="G136" s="2">
        <v>5408</v>
      </c>
      <c r="H136" s="2" t="s">
        <v>303</v>
      </c>
      <c r="J136" s="5">
        <v>0.77222222222222225</v>
      </c>
      <c r="K136" s="32">
        <f>_xlfn.MAXIFS(ConsumoConcreto[Fim do Bombeamento],ConsumoConcreto[RecebimentoID],RecebimentoConcreto[[#This Row],[RecebimentoID]])</f>
        <v>0.79861111111111116</v>
      </c>
      <c r="M136" s="37">
        <v>36892</v>
      </c>
      <c r="N136" s="5" t="s">
        <v>25</v>
      </c>
      <c r="O136" s="9">
        <v>14.5</v>
      </c>
      <c r="P136" s="5" t="s">
        <v>26</v>
      </c>
      <c r="Q136" s="2">
        <v>5</v>
      </c>
      <c r="R136" s="5" t="s">
        <v>27</v>
      </c>
      <c r="S136" s="5" t="s">
        <v>32</v>
      </c>
      <c r="T136" s="39">
        <v>450</v>
      </c>
    </row>
    <row r="137" spans="1:20" ht="20.100000000000001" hidden="1" customHeight="1" x14ac:dyDescent="0.25">
      <c r="A137" s="26" t="str">
        <f>CONCATENATE(RIGHT(LEFT(RecebimentoConcreto[[#This Row],[Obra]],5),4),"RCBC",TEXT(RecebimentoConcreto[[#This Row],[Ordem]],"0000"))</f>
        <v>0184RCBC0274</v>
      </c>
      <c r="B137" s="1">
        <v>274</v>
      </c>
      <c r="C137" s="1" t="s">
        <v>21</v>
      </c>
      <c r="D137" s="35">
        <v>44805</v>
      </c>
      <c r="E137" s="1" t="s">
        <v>304</v>
      </c>
      <c r="F137" s="2" t="s">
        <v>305</v>
      </c>
      <c r="G137" s="2">
        <v>5408</v>
      </c>
      <c r="H137" s="2" t="s">
        <v>306</v>
      </c>
      <c r="J137" s="5">
        <v>0.82638888888888884</v>
      </c>
      <c r="K137" s="32">
        <f>_xlfn.MAXIFS(ConsumoConcreto[Fim do Bombeamento],ConsumoConcreto[RecebimentoID],RecebimentoConcreto[[#This Row],[RecebimentoID]])</f>
        <v>0.8979166666666667</v>
      </c>
      <c r="M137" s="37">
        <v>36892</v>
      </c>
      <c r="N137" s="5" t="s">
        <v>25</v>
      </c>
      <c r="O137" s="9">
        <v>18</v>
      </c>
      <c r="P137" s="5" t="s">
        <v>26</v>
      </c>
      <c r="Q137" s="2">
        <v>5</v>
      </c>
      <c r="R137" s="5" t="s">
        <v>27</v>
      </c>
      <c r="S137" s="5" t="s">
        <v>32</v>
      </c>
      <c r="T137" s="39">
        <v>450</v>
      </c>
    </row>
    <row r="138" spans="1:20" ht="20.100000000000001" hidden="1" customHeight="1" x14ac:dyDescent="0.25">
      <c r="A138" s="26" t="str">
        <f>CONCATENATE(RIGHT(LEFT(RecebimentoConcreto[[#This Row],[Obra]],5),4),"RCBC",TEXT(RecebimentoConcreto[[#This Row],[Ordem]],"0000"))</f>
        <v>0184RCBC0275</v>
      </c>
      <c r="B138" s="1">
        <v>275</v>
      </c>
      <c r="C138" s="1" t="s">
        <v>21</v>
      </c>
      <c r="D138" s="35">
        <v>44809</v>
      </c>
      <c r="E138" s="1" t="s">
        <v>307</v>
      </c>
      <c r="F138" s="2" t="s">
        <v>308</v>
      </c>
      <c r="G138" s="2">
        <v>5408</v>
      </c>
      <c r="H138" s="2" t="s">
        <v>309</v>
      </c>
      <c r="J138" s="5">
        <v>0.84236111111111101</v>
      </c>
      <c r="K138" s="32">
        <f>_xlfn.MAXIFS(ConsumoConcreto[Fim do Bombeamento],ConsumoConcreto[RecebimentoID],RecebimentoConcreto[[#This Row],[RecebimentoID]])</f>
        <v>0.87222222222222223</v>
      </c>
      <c r="M138" s="37">
        <v>36892</v>
      </c>
      <c r="N138" s="5" t="s">
        <v>25</v>
      </c>
      <c r="O138" s="9">
        <v>14.5</v>
      </c>
      <c r="P138" s="5" t="s">
        <v>26</v>
      </c>
      <c r="Q138" s="2">
        <v>5</v>
      </c>
      <c r="R138" s="5" t="s">
        <v>27</v>
      </c>
      <c r="S138" s="5" t="s">
        <v>32</v>
      </c>
      <c r="T138" s="39">
        <v>450</v>
      </c>
    </row>
    <row r="139" spans="1:20" ht="20.100000000000001" hidden="1" customHeight="1" x14ac:dyDescent="0.25">
      <c r="A139" s="26" t="str">
        <f>CONCATENATE(RIGHT(LEFT(RecebimentoConcreto[[#This Row],[Obra]],5),4),"RCBC",TEXT(RecebimentoConcreto[[#This Row],[Ordem]],"0000"))</f>
        <v>0184RCBC0276</v>
      </c>
      <c r="B139" s="1">
        <v>276</v>
      </c>
      <c r="C139" s="1" t="s">
        <v>21</v>
      </c>
      <c r="D139" s="35">
        <v>44809</v>
      </c>
      <c r="E139" s="1" t="s">
        <v>310</v>
      </c>
      <c r="F139" s="2" t="s">
        <v>311</v>
      </c>
      <c r="G139" s="2">
        <v>5408</v>
      </c>
      <c r="H139" s="2" t="s">
        <v>312</v>
      </c>
      <c r="J139" s="5">
        <v>0.87916666666666676</v>
      </c>
      <c r="K139" s="32">
        <f>_xlfn.MAXIFS(ConsumoConcreto[Fim do Bombeamento],ConsumoConcreto[RecebimentoID],RecebimentoConcreto[[#This Row],[RecebimentoID]])</f>
        <v>0.92847222222222225</v>
      </c>
      <c r="M139" s="37">
        <v>36892</v>
      </c>
      <c r="N139" s="5" t="s">
        <v>25</v>
      </c>
      <c r="O139" s="9">
        <v>18</v>
      </c>
      <c r="P139" s="5" t="s">
        <v>26</v>
      </c>
      <c r="Q139" s="2">
        <v>5</v>
      </c>
      <c r="R139" s="5" t="s">
        <v>27</v>
      </c>
      <c r="S139" s="5" t="s">
        <v>32</v>
      </c>
      <c r="T139" s="39">
        <v>450</v>
      </c>
    </row>
    <row r="140" spans="1:20" ht="20.100000000000001" hidden="1" customHeight="1" x14ac:dyDescent="0.25">
      <c r="A140" s="26" t="str">
        <f>CONCATENATE(RIGHT(LEFT(RecebimentoConcreto[[#This Row],[Obra]],5),4),"RCBC",TEXT(RecebimentoConcreto[[#This Row],[Ordem]],"0000"))</f>
        <v>0184RCBC0277</v>
      </c>
      <c r="B140" s="1">
        <v>277</v>
      </c>
      <c r="C140" s="1" t="s">
        <v>21</v>
      </c>
      <c r="D140" s="35">
        <v>44811</v>
      </c>
      <c r="E140" s="1" t="s">
        <v>313</v>
      </c>
      <c r="F140" s="2" t="s">
        <v>314</v>
      </c>
      <c r="G140" s="2">
        <v>5408</v>
      </c>
      <c r="H140" s="2" t="s">
        <v>315</v>
      </c>
      <c r="I140" s="5" t="s">
        <v>316</v>
      </c>
      <c r="J140" s="5">
        <v>0.78125</v>
      </c>
      <c r="K140" s="32">
        <f>_xlfn.MAXIFS(ConsumoConcreto[Fim do Bombeamento],ConsumoConcreto[RecebimentoID],RecebimentoConcreto[[#This Row],[RecebimentoID]])</f>
        <v>0.78680555555555554</v>
      </c>
      <c r="L140" s="1" t="s">
        <v>317</v>
      </c>
      <c r="M140" s="37">
        <v>36892</v>
      </c>
      <c r="N140" s="5" t="s">
        <v>25</v>
      </c>
      <c r="O140" s="9">
        <v>14.5</v>
      </c>
      <c r="P140" s="5" t="s">
        <v>26</v>
      </c>
      <c r="Q140" s="2">
        <v>5</v>
      </c>
      <c r="R140" s="5" t="s">
        <v>27</v>
      </c>
      <c r="S140" s="5" t="s">
        <v>32</v>
      </c>
      <c r="T140" s="39">
        <v>450</v>
      </c>
    </row>
    <row r="141" spans="1:20" ht="20.100000000000001" hidden="1" customHeight="1" x14ac:dyDescent="0.25">
      <c r="A141" s="26" t="str">
        <f>CONCATENATE(RIGHT(LEFT(RecebimentoConcreto[[#This Row],[Obra]],5),4),"RCBC",TEXT(RecebimentoConcreto[[#This Row],[Ordem]],"0000"))</f>
        <v>0184RCBC0278</v>
      </c>
      <c r="B141" s="1">
        <v>278</v>
      </c>
      <c r="C141" s="1" t="s">
        <v>21</v>
      </c>
      <c r="D141" s="35">
        <v>44811</v>
      </c>
      <c r="E141" s="1" t="s">
        <v>318</v>
      </c>
      <c r="F141" s="2" t="s">
        <v>319</v>
      </c>
      <c r="G141" s="2">
        <v>5408</v>
      </c>
      <c r="H141" s="2" t="s">
        <v>320</v>
      </c>
      <c r="I141" s="5" t="s">
        <v>321</v>
      </c>
      <c r="J141" s="5">
        <v>0.83194444444444438</v>
      </c>
      <c r="K141" s="32">
        <f>_xlfn.MAXIFS(ConsumoConcreto[Fim do Bombeamento],ConsumoConcreto[RecebimentoID],RecebimentoConcreto[[#This Row],[RecebimentoID]])</f>
        <v>0.87638888888888899</v>
      </c>
      <c r="L141" s="1" t="s">
        <v>322</v>
      </c>
      <c r="M141" s="37">
        <v>36892</v>
      </c>
      <c r="N141" s="5" t="s">
        <v>25</v>
      </c>
      <c r="O141" s="9">
        <v>18</v>
      </c>
      <c r="P141" s="5" t="s">
        <v>26</v>
      </c>
      <c r="Q141" s="2">
        <v>5</v>
      </c>
      <c r="R141" s="5" t="s">
        <v>27</v>
      </c>
      <c r="S141" s="5" t="s">
        <v>32</v>
      </c>
      <c r="T141" s="39">
        <v>450</v>
      </c>
    </row>
    <row r="142" spans="1:20" ht="20.100000000000001" hidden="1" customHeight="1" x14ac:dyDescent="0.25">
      <c r="A142" s="26" t="str">
        <f>CONCATENATE(RIGHT(LEFT(RecebimentoConcreto[[#This Row],[Obra]],5),4),"RCBC",TEXT(RecebimentoConcreto[[#This Row],[Ordem]],"0000"))</f>
        <v>0184RCBC0279</v>
      </c>
      <c r="B142" s="1">
        <v>279</v>
      </c>
      <c r="C142" s="1" t="s">
        <v>21</v>
      </c>
      <c r="D142" s="35">
        <v>44812</v>
      </c>
      <c r="E142" s="1" t="s">
        <v>323</v>
      </c>
      <c r="F142" s="2" t="s">
        <v>324</v>
      </c>
      <c r="G142" s="2">
        <v>5408</v>
      </c>
      <c r="H142" s="2" t="s">
        <v>325</v>
      </c>
      <c r="I142" s="5" t="s">
        <v>326</v>
      </c>
      <c r="J142" s="5">
        <v>0.63680555555555551</v>
      </c>
      <c r="K142" s="32">
        <f>_xlfn.MAXIFS(ConsumoConcreto[Fim do Bombeamento],ConsumoConcreto[RecebimentoID],RecebimentoConcreto[[#This Row],[RecebimentoID]])</f>
        <v>0.67361111111111116</v>
      </c>
      <c r="L142" s="1" t="s">
        <v>327</v>
      </c>
      <c r="M142" s="37">
        <v>36892</v>
      </c>
      <c r="N142" s="5" t="s">
        <v>25</v>
      </c>
      <c r="O142" s="9">
        <v>14.5</v>
      </c>
      <c r="P142" s="5" t="s">
        <v>26</v>
      </c>
      <c r="Q142" s="2">
        <v>5</v>
      </c>
      <c r="R142" s="5" t="s">
        <v>27</v>
      </c>
      <c r="S142" s="5" t="s">
        <v>32</v>
      </c>
      <c r="T142" s="39">
        <v>450</v>
      </c>
    </row>
    <row r="143" spans="1:20" ht="20.100000000000001" hidden="1" customHeight="1" x14ac:dyDescent="0.25">
      <c r="A143" s="26" t="str">
        <f>CONCATENATE(RIGHT(LEFT(RecebimentoConcreto[[#This Row],[Obra]],5),4),"RCBC",TEXT(RecebimentoConcreto[[#This Row],[Ordem]],"0000"))</f>
        <v>0184RCBC0280</v>
      </c>
      <c r="B143" s="1">
        <v>280</v>
      </c>
      <c r="C143" s="1" t="s">
        <v>21</v>
      </c>
      <c r="D143" s="35">
        <v>44816</v>
      </c>
      <c r="E143" s="1" t="s">
        <v>184</v>
      </c>
      <c r="F143" s="2" t="s">
        <v>328</v>
      </c>
      <c r="G143" s="2">
        <v>5408</v>
      </c>
      <c r="H143" s="2" t="s">
        <v>329</v>
      </c>
      <c r="I143" s="5" t="s">
        <v>330</v>
      </c>
      <c r="J143" s="5">
        <v>0.80347222222222225</v>
      </c>
      <c r="K143" s="32">
        <f>_xlfn.MAXIFS(ConsumoConcreto[Fim do Bombeamento],ConsumoConcreto[RecebimentoID],RecebimentoConcreto[[#This Row],[RecebimentoID]])</f>
        <v>0.84027777777777779</v>
      </c>
      <c r="L143" s="1" t="s">
        <v>331</v>
      </c>
      <c r="M143" s="37">
        <v>36892</v>
      </c>
      <c r="N143" s="5" t="s">
        <v>25</v>
      </c>
      <c r="O143" s="9">
        <v>14.5</v>
      </c>
      <c r="P143" s="5" t="s">
        <v>26</v>
      </c>
      <c r="Q143" s="2">
        <v>5</v>
      </c>
      <c r="R143" s="5" t="s">
        <v>27</v>
      </c>
      <c r="S143" s="5" t="s">
        <v>32</v>
      </c>
      <c r="T143" s="39">
        <v>450</v>
      </c>
    </row>
    <row r="144" spans="1:20" ht="20.100000000000001" hidden="1" customHeight="1" x14ac:dyDescent="0.25">
      <c r="A144" s="26" t="str">
        <f>CONCATENATE(RIGHT(LEFT(RecebimentoConcreto[[#This Row],[Obra]],5),4),"RCBC",TEXT(RecebimentoConcreto[[#This Row],[Ordem]],"0000"))</f>
        <v>0184RCBC0281</v>
      </c>
      <c r="B144" s="1">
        <v>281</v>
      </c>
      <c r="C144" s="1" t="s">
        <v>21</v>
      </c>
      <c r="D144" s="35">
        <v>44816</v>
      </c>
      <c r="E144" s="1" t="s">
        <v>332</v>
      </c>
      <c r="F144" s="2" t="s">
        <v>333</v>
      </c>
      <c r="G144" s="2">
        <v>5408</v>
      </c>
      <c r="H144" s="2" t="s">
        <v>334</v>
      </c>
      <c r="I144" s="5" t="s">
        <v>335</v>
      </c>
      <c r="J144" s="5">
        <v>0.85069444444444453</v>
      </c>
      <c r="K144" s="32">
        <f>_xlfn.MAXIFS(ConsumoConcreto[Fim do Bombeamento],ConsumoConcreto[RecebimentoID],RecebimentoConcreto[[#This Row],[RecebimentoID]])</f>
        <v>0.9291666666666667</v>
      </c>
      <c r="L144" s="1" t="s">
        <v>336</v>
      </c>
      <c r="M144" s="37">
        <v>36892</v>
      </c>
      <c r="N144" s="5" t="s">
        <v>25</v>
      </c>
      <c r="O144" s="9">
        <v>18</v>
      </c>
      <c r="P144" s="5" t="s">
        <v>26</v>
      </c>
      <c r="Q144" s="2">
        <v>5</v>
      </c>
      <c r="R144" s="5" t="s">
        <v>27</v>
      </c>
      <c r="S144" s="5" t="s">
        <v>32</v>
      </c>
      <c r="T144" s="39">
        <v>450</v>
      </c>
    </row>
    <row r="145" spans="1:20" ht="20.100000000000001" hidden="1" customHeight="1" x14ac:dyDescent="0.25">
      <c r="A145" s="26" t="str">
        <f>CONCATENATE(RIGHT(LEFT(RecebimentoConcreto[[#This Row],[Obra]],5),4),"RCBC",TEXT(RecebimentoConcreto[[#This Row],[Ordem]],"0000"))</f>
        <v>0184RCBC0282</v>
      </c>
      <c r="B145" s="1">
        <v>282</v>
      </c>
      <c r="C145" s="1" t="s">
        <v>21</v>
      </c>
      <c r="D145" s="35">
        <v>44817</v>
      </c>
      <c r="E145" s="1" t="s">
        <v>337</v>
      </c>
      <c r="F145" s="2" t="s">
        <v>338</v>
      </c>
      <c r="G145" s="2">
        <v>5408</v>
      </c>
      <c r="H145" s="2" t="s">
        <v>339</v>
      </c>
      <c r="I145" s="5" t="s">
        <v>340</v>
      </c>
      <c r="J145" s="5">
        <v>0.64861111111111114</v>
      </c>
      <c r="K145" s="32">
        <f>_xlfn.MAXIFS(ConsumoConcreto[Fim do Bombeamento],ConsumoConcreto[RecebimentoID],RecebimentoConcreto[[#This Row],[RecebimentoID]])</f>
        <v>0.74861111111111101</v>
      </c>
      <c r="L145" s="1" t="s">
        <v>341</v>
      </c>
      <c r="M145" s="37">
        <v>36892</v>
      </c>
      <c r="N145" s="5" t="s">
        <v>25</v>
      </c>
      <c r="O145" s="9">
        <v>16</v>
      </c>
      <c r="P145" s="5" t="s">
        <v>26</v>
      </c>
      <c r="Q145" s="2">
        <v>5</v>
      </c>
      <c r="R145" s="5" t="s">
        <v>27</v>
      </c>
      <c r="S145" s="5" t="s">
        <v>32</v>
      </c>
      <c r="T145" s="39">
        <v>450</v>
      </c>
    </row>
    <row r="146" spans="1:20" ht="20.100000000000001" hidden="1" customHeight="1" x14ac:dyDescent="0.25">
      <c r="A146" s="26" t="str">
        <f>CONCATENATE(RIGHT(LEFT(RecebimentoConcreto[[#This Row],[Obra]],5),4),"RCBC",TEXT(RecebimentoConcreto[[#This Row],[Ordem]],"0000"))</f>
        <v>0184RCBC0283</v>
      </c>
      <c r="B146" s="1">
        <v>283</v>
      </c>
      <c r="C146" s="1" t="s">
        <v>21</v>
      </c>
      <c r="D146" s="35">
        <v>44818</v>
      </c>
      <c r="E146" s="1" t="s">
        <v>342</v>
      </c>
      <c r="F146" s="2" t="s">
        <v>343</v>
      </c>
      <c r="G146" s="2">
        <v>5408</v>
      </c>
      <c r="H146" s="2" t="s">
        <v>344</v>
      </c>
      <c r="I146" s="5" t="s">
        <v>345</v>
      </c>
      <c r="J146" s="5">
        <v>0.83472222222222225</v>
      </c>
      <c r="K146" s="32">
        <f>_xlfn.MAXIFS(ConsumoConcreto[Fim do Bombeamento],ConsumoConcreto[RecebimentoID],RecebimentoConcreto[[#This Row],[RecebimentoID]])</f>
        <v>0.8965277777777777</v>
      </c>
      <c r="L146" s="1" t="s">
        <v>346</v>
      </c>
      <c r="M146" s="37">
        <v>36892</v>
      </c>
      <c r="N146" s="5" t="s">
        <v>25</v>
      </c>
      <c r="O146" s="9">
        <v>18.5</v>
      </c>
      <c r="P146" s="5" t="s">
        <v>26</v>
      </c>
      <c r="Q146" s="2">
        <v>5</v>
      </c>
      <c r="R146" s="5" t="s">
        <v>27</v>
      </c>
      <c r="S146" s="5" t="s">
        <v>32</v>
      </c>
      <c r="T146" s="39">
        <v>450</v>
      </c>
    </row>
    <row r="147" spans="1:20" ht="20.100000000000001" hidden="1" customHeight="1" x14ac:dyDescent="0.25">
      <c r="A147" s="26" t="str">
        <f>CONCATENATE(RIGHT(LEFT(RecebimentoConcreto[[#This Row],[Obra]],5),4),"RCBC",TEXT(RecebimentoConcreto[[#This Row],[Ordem]],"0000"))</f>
        <v>0184RCBC0284</v>
      </c>
      <c r="B147" s="1">
        <v>284</v>
      </c>
      <c r="C147" s="1" t="s">
        <v>21</v>
      </c>
      <c r="D147" s="35">
        <v>44818</v>
      </c>
      <c r="E147" s="1" t="s">
        <v>347</v>
      </c>
      <c r="F147" s="2" t="s">
        <v>348</v>
      </c>
      <c r="G147" s="2">
        <v>5408</v>
      </c>
      <c r="H147" s="2" t="s">
        <v>349</v>
      </c>
      <c r="I147" s="5" t="s">
        <v>350</v>
      </c>
      <c r="J147" s="5">
        <v>0.91736111111111107</v>
      </c>
      <c r="K147" s="32">
        <f>_xlfn.MAXIFS(ConsumoConcreto[Fim do Bombeamento],ConsumoConcreto[RecebimentoID],RecebimentoConcreto[[#This Row],[RecebimentoID]])</f>
        <v>0.95138888888888884</v>
      </c>
      <c r="L147" s="1" t="s">
        <v>351</v>
      </c>
      <c r="M147" s="37">
        <v>36892</v>
      </c>
      <c r="N147" s="5" t="s">
        <v>25</v>
      </c>
      <c r="O147" s="9">
        <v>14</v>
      </c>
      <c r="P147" s="5" t="s">
        <v>26</v>
      </c>
      <c r="Q147" s="2">
        <v>5</v>
      </c>
      <c r="R147" s="5" t="s">
        <v>27</v>
      </c>
      <c r="S147" s="5" t="s">
        <v>32</v>
      </c>
      <c r="T147" s="39">
        <v>450</v>
      </c>
    </row>
    <row r="148" spans="1:20" ht="20.100000000000001" hidden="1" customHeight="1" x14ac:dyDescent="0.25">
      <c r="A148" s="26" t="str">
        <f>CONCATENATE(RIGHT(LEFT(RecebimentoConcreto[[#This Row],[Obra]],5),4),"RCBC",TEXT(RecebimentoConcreto[[#This Row],[Ordem]],"0000"))</f>
        <v>0184RCBC0285</v>
      </c>
      <c r="B148" s="1">
        <v>285</v>
      </c>
      <c r="C148" s="1" t="s">
        <v>21</v>
      </c>
      <c r="D148" s="35">
        <v>44819</v>
      </c>
      <c r="E148" s="1" t="s">
        <v>313</v>
      </c>
      <c r="F148" s="2" t="s">
        <v>352</v>
      </c>
      <c r="G148" s="2">
        <v>5408</v>
      </c>
      <c r="H148" s="2" t="s">
        <v>353</v>
      </c>
      <c r="I148" s="5" t="s">
        <v>354</v>
      </c>
      <c r="J148" s="5">
        <v>0.82430555555555562</v>
      </c>
      <c r="K148" s="32">
        <f>_xlfn.MAXIFS(ConsumoConcreto[Fim do Bombeamento],ConsumoConcreto[RecebimentoID],RecebimentoConcreto[[#This Row],[RecebimentoID]])</f>
        <v>0.85486111111111107</v>
      </c>
      <c r="L148" s="1" t="s">
        <v>355</v>
      </c>
      <c r="M148" s="37">
        <v>36892</v>
      </c>
      <c r="N148" s="5" t="s">
        <v>25</v>
      </c>
      <c r="O148" s="9">
        <v>14.5</v>
      </c>
      <c r="P148" s="5" t="s">
        <v>26</v>
      </c>
      <c r="Q148" s="2">
        <v>5</v>
      </c>
      <c r="R148" s="5" t="s">
        <v>27</v>
      </c>
      <c r="S148" s="5" t="s">
        <v>32</v>
      </c>
      <c r="T148" s="39">
        <v>450</v>
      </c>
    </row>
    <row r="149" spans="1:20" ht="20.100000000000001" hidden="1" customHeight="1" x14ac:dyDescent="0.25">
      <c r="A149" s="26" t="str">
        <f>CONCATENATE(RIGHT(LEFT(RecebimentoConcreto[[#This Row],[Obra]],5),4),"RCBC",TEXT(RecebimentoConcreto[[#This Row],[Ordem]],"0000"))</f>
        <v>0184RCBC0286</v>
      </c>
      <c r="B149" s="1">
        <v>286</v>
      </c>
      <c r="C149" s="1" t="s">
        <v>21</v>
      </c>
      <c r="D149" s="35">
        <v>44820</v>
      </c>
      <c r="E149" s="1" t="s">
        <v>356</v>
      </c>
      <c r="F149" s="2" t="s">
        <v>357</v>
      </c>
      <c r="G149" s="2">
        <v>5408</v>
      </c>
      <c r="H149" s="2" t="s">
        <v>358</v>
      </c>
      <c r="I149" s="5" t="s">
        <v>359</v>
      </c>
      <c r="J149" s="5">
        <v>0.7631944444444444</v>
      </c>
      <c r="K149" s="32">
        <f>_xlfn.MAXIFS(ConsumoConcreto[Fim do Bombeamento],ConsumoConcreto[RecebimentoID],RecebimentoConcreto[[#This Row],[RecebimentoID]])</f>
        <v>0.84513888888888899</v>
      </c>
      <c r="L149" s="1" t="s">
        <v>360</v>
      </c>
      <c r="M149" s="37">
        <v>36892</v>
      </c>
      <c r="N149" s="5" t="s">
        <v>25</v>
      </c>
      <c r="O149" s="9">
        <v>18.5</v>
      </c>
      <c r="P149" s="5" t="s">
        <v>26</v>
      </c>
      <c r="Q149" s="2">
        <v>5</v>
      </c>
      <c r="R149" s="5" t="s">
        <v>27</v>
      </c>
      <c r="S149" s="5" t="s">
        <v>32</v>
      </c>
      <c r="T149" s="39">
        <v>450</v>
      </c>
    </row>
    <row r="150" spans="1:20" ht="20.100000000000001" hidden="1" customHeight="1" x14ac:dyDescent="0.25">
      <c r="A150" s="26" t="str">
        <f>CONCATENATE(RIGHT(LEFT(RecebimentoConcreto[[#This Row],[Obra]],5),4),"RCBC",TEXT(RecebimentoConcreto[[#This Row],[Ordem]],"0000"))</f>
        <v>0184RCBC0287</v>
      </c>
      <c r="B150" s="1">
        <v>287</v>
      </c>
      <c r="C150" s="1" t="s">
        <v>21</v>
      </c>
      <c r="D150" s="35">
        <v>44823</v>
      </c>
      <c r="E150" s="1" t="s">
        <v>323</v>
      </c>
      <c r="F150" s="2" t="s">
        <v>361</v>
      </c>
      <c r="G150" s="2">
        <v>5408</v>
      </c>
      <c r="H150" s="2" t="s">
        <v>362</v>
      </c>
      <c r="I150" s="5" t="s">
        <v>363</v>
      </c>
      <c r="J150" s="5">
        <v>0.78611111111111109</v>
      </c>
      <c r="K150" s="32">
        <f>_xlfn.MAXIFS(ConsumoConcreto[Fim do Bombeamento],ConsumoConcreto[RecebimentoID],RecebimentoConcreto[[#This Row],[RecebimentoID]])</f>
        <v>0.82638888888888884</v>
      </c>
      <c r="L150" s="1" t="s">
        <v>364</v>
      </c>
      <c r="M150" s="37">
        <v>36892</v>
      </c>
      <c r="N150" s="5" t="s">
        <v>25</v>
      </c>
      <c r="O150" s="9">
        <v>14.5</v>
      </c>
      <c r="P150" s="5" t="s">
        <v>26</v>
      </c>
      <c r="Q150" s="2">
        <v>5</v>
      </c>
      <c r="R150" s="5" t="s">
        <v>27</v>
      </c>
      <c r="S150" s="5" t="s">
        <v>32</v>
      </c>
      <c r="T150" s="39">
        <v>450</v>
      </c>
    </row>
    <row r="151" spans="1:20" ht="20.100000000000001" hidden="1" customHeight="1" x14ac:dyDescent="0.25">
      <c r="A151" s="26" t="str">
        <f>CONCATENATE(RIGHT(LEFT(RecebimentoConcreto[[#This Row],[Obra]],5),4),"RCBC",TEXT(RecebimentoConcreto[[#This Row],[Ordem]],"0000"))</f>
        <v>0184RCBC0288</v>
      </c>
      <c r="B151" s="1">
        <v>288</v>
      </c>
      <c r="C151" s="1" t="s">
        <v>21</v>
      </c>
      <c r="D151" s="35">
        <v>44825</v>
      </c>
      <c r="E151" s="1" t="s">
        <v>365</v>
      </c>
      <c r="F151" s="2" t="s">
        <v>366</v>
      </c>
      <c r="G151" s="2">
        <v>5408</v>
      </c>
      <c r="H151" s="2" t="s">
        <v>367</v>
      </c>
      <c r="I151" s="5" t="s">
        <v>368</v>
      </c>
      <c r="J151" s="5">
        <v>0.40347222222222223</v>
      </c>
      <c r="K151" s="32">
        <f>_xlfn.MAXIFS(ConsumoConcreto[Fim do Bombeamento],ConsumoConcreto[RecebimentoID],RecebimentoConcreto[[#This Row],[RecebimentoID]])</f>
        <v>0.4548611111111111</v>
      </c>
      <c r="L151" s="1" t="s">
        <v>369</v>
      </c>
      <c r="M151" s="37">
        <v>36892</v>
      </c>
      <c r="N151" s="5" t="s">
        <v>25</v>
      </c>
      <c r="O151" s="9">
        <v>18.5</v>
      </c>
      <c r="P151" s="5" t="s">
        <v>26</v>
      </c>
      <c r="Q151" s="2">
        <v>5</v>
      </c>
      <c r="R151" s="5" t="s">
        <v>27</v>
      </c>
      <c r="S151" s="5" t="s">
        <v>32</v>
      </c>
      <c r="T151" s="39">
        <v>450</v>
      </c>
    </row>
    <row r="152" spans="1:20" ht="20.100000000000001" hidden="1" customHeight="1" x14ac:dyDescent="0.25">
      <c r="A152" s="26" t="str">
        <f>CONCATENATE(RIGHT(LEFT(RecebimentoConcreto[[#This Row],[Obra]],5),4),"RCBC",TEXT(RecebimentoConcreto[[#This Row],[Ordem]],"0000"))</f>
        <v>0184RCBC0299</v>
      </c>
      <c r="B152" s="1">
        <v>299</v>
      </c>
      <c r="C152" s="1" t="s">
        <v>21</v>
      </c>
      <c r="D152" s="35">
        <v>44883</v>
      </c>
      <c r="E152" s="1" t="s">
        <v>36</v>
      </c>
      <c r="F152" s="2">
        <v>7160</v>
      </c>
      <c r="G152" s="2">
        <v>5408</v>
      </c>
      <c r="H152" s="2">
        <v>18116</v>
      </c>
      <c r="I152" s="5">
        <v>0.68055555555555547</v>
      </c>
      <c r="K152" s="32">
        <f>_xlfn.MAXIFS(ConsumoConcreto[Fim do Bombeamento],ConsumoConcreto[RecebimentoID],RecebimentoConcreto[[#This Row],[RecebimentoID]])</f>
        <v>0</v>
      </c>
      <c r="L152" s="1">
        <v>73</v>
      </c>
      <c r="M152" s="37">
        <v>36892</v>
      </c>
      <c r="N152" s="5" t="s">
        <v>25</v>
      </c>
      <c r="O152" s="9">
        <v>0.1</v>
      </c>
      <c r="P152" s="5" t="s">
        <v>26</v>
      </c>
      <c r="Q152" s="2">
        <v>7</v>
      </c>
      <c r="R152" s="5" t="s">
        <v>27</v>
      </c>
      <c r="S152" s="5" t="s">
        <v>32</v>
      </c>
      <c r="T152" s="39">
        <v>480</v>
      </c>
    </row>
    <row r="153" spans="1:20" ht="20.100000000000001" hidden="1" customHeight="1" x14ac:dyDescent="0.25">
      <c r="A153" s="26" t="str">
        <f>CONCATENATE(RIGHT(LEFT(RecebimentoConcreto[[#This Row],[Obra]],5),4),"RCBC",TEXT(RecebimentoConcreto[[#This Row],[Ordem]],"0000"))</f>
        <v>0184RCBC0300</v>
      </c>
      <c r="B153" s="1">
        <v>300</v>
      </c>
      <c r="C153" s="1" t="s">
        <v>21</v>
      </c>
      <c r="D153" s="35">
        <v>44883</v>
      </c>
      <c r="E153" s="1" t="s">
        <v>36</v>
      </c>
      <c r="F153" s="2">
        <v>7160</v>
      </c>
      <c r="G153" s="2">
        <v>5408</v>
      </c>
      <c r="H153" s="2">
        <v>18116</v>
      </c>
      <c r="I153" s="5">
        <v>0.68055555555555547</v>
      </c>
      <c r="K153" s="32">
        <f>_xlfn.MAXIFS(ConsumoConcreto[Fim do Bombeamento],ConsumoConcreto[RecebimentoID],RecebimentoConcreto[[#This Row],[RecebimentoID]])</f>
        <v>0</v>
      </c>
      <c r="L153" s="1">
        <v>73</v>
      </c>
      <c r="M153" s="37">
        <v>36892</v>
      </c>
      <c r="N153" s="5" t="s">
        <v>25</v>
      </c>
      <c r="O153" s="9">
        <v>0.1</v>
      </c>
      <c r="P153" s="5" t="s">
        <v>26</v>
      </c>
      <c r="Q153" s="2">
        <v>7</v>
      </c>
      <c r="R153" s="5" t="s">
        <v>27</v>
      </c>
      <c r="S153" s="5" t="s">
        <v>32</v>
      </c>
      <c r="T153" s="39">
        <v>480</v>
      </c>
    </row>
    <row r="154" spans="1:20" ht="20.100000000000001" hidden="1" customHeight="1" x14ac:dyDescent="0.25">
      <c r="A154" s="26" t="str">
        <f>CONCATENATE(RIGHT(LEFT(RecebimentoConcreto[[#This Row],[Obra]],5),4),"RCBC",TEXT(RecebimentoConcreto[[#This Row],[Ordem]],"0000"))</f>
        <v>0184RCBC0301</v>
      </c>
      <c r="B154" s="1">
        <v>301</v>
      </c>
      <c r="C154" s="1" t="s">
        <v>21</v>
      </c>
      <c r="D154" s="35">
        <v>44887</v>
      </c>
      <c r="E154" s="1" t="s">
        <v>37</v>
      </c>
      <c r="F154" s="2">
        <v>7817</v>
      </c>
      <c r="G154" s="2">
        <v>5408</v>
      </c>
      <c r="H154" s="2">
        <v>18173</v>
      </c>
      <c r="I154" s="5">
        <v>0.53472222222222221</v>
      </c>
      <c r="K154" s="32">
        <f>_xlfn.MAXIFS(ConsumoConcreto[Fim do Bombeamento],ConsumoConcreto[RecebimentoID],RecebimentoConcreto[[#This Row],[RecebimentoID]])</f>
        <v>0</v>
      </c>
      <c r="L154" s="1">
        <v>73.5</v>
      </c>
      <c r="M154" s="37">
        <v>36892</v>
      </c>
      <c r="N154" s="5" t="s">
        <v>25</v>
      </c>
      <c r="O154" s="9">
        <v>0.1</v>
      </c>
      <c r="P154" s="5" t="s">
        <v>26</v>
      </c>
      <c r="Q154" s="2">
        <v>7</v>
      </c>
      <c r="R154" s="5" t="s">
        <v>27</v>
      </c>
      <c r="S154" s="5" t="s">
        <v>32</v>
      </c>
      <c r="T154" s="39">
        <v>480</v>
      </c>
    </row>
    <row r="155" spans="1:20" ht="20.100000000000001" hidden="1" customHeight="1" x14ac:dyDescent="0.25">
      <c r="A155" s="26" t="str">
        <f>CONCATENATE(RIGHT(LEFT(RecebimentoConcreto[[#This Row],[Obra]],5),4),"RCBC",TEXT(RecebimentoConcreto[[#This Row],[Ordem]],"0000"))</f>
        <v>0184RCBC0302</v>
      </c>
      <c r="B155" s="1">
        <v>302</v>
      </c>
      <c r="C155" s="1" t="s">
        <v>21</v>
      </c>
      <c r="D155" s="35">
        <v>44889</v>
      </c>
      <c r="E155" s="1" t="s">
        <v>207</v>
      </c>
      <c r="F155" s="2">
        <v>7864</v>
      </c>
      <c r="G155" s="2">
        <v>5408</v>
      </c>
      <c r="H155" s="2">
        <v>18222</v>
      </c>
      <c r="I155" s="5">
        <v>0.54166666666666663</v>
      </c>
      <c r="K155" s="32">
        <f>_xlfn.MAXIFS(ConsumoConcreto[Fim do Bombeamento],ConsumoConcreto[RecebimentoID],RecebimentoConcreto[[#This Row],[RecebimentoID]])</f>
        <v>0</v>
      </c>
      <c r="L155" s="1">
        <v>72</v>
      </c>
      <c r="M155" s="37">
        <v>36892</v>
      </c>
      <c r="N155" s="5" t="s">
        <v>25</v>
      </c>
      <c r="O155" s="9">
        <v>0.1</v>
      </c>
      <c r="P155" s="5" t="s">
        <v>26</v>
      </c>
      <c r="Q155" s="2">
        <v>7</v>
      </c>
      <c r="R155" s="5" t="s">
        <v>27</v>
      </c>
      <c r="S155" s="5" t="s">
        <v>32</v>
      </c>
      <c r="T155" s="39">
        <v>480</v>
      </c>
    </row>
    <row r="156" spans="1:20" ht="20.100000000000001" hidden="1" customHeight="1" x14ac:dyDescent="0.25">
      <c r="A156" s="26" t="str">
        <f>CONCATENATE(RIGHT(LEFT(RecebimentoConcreto[[#This Row],[Obra]],5),4),"RCBC",TEXT(RecebimentoConcreto[[#This Row],[Ordem]],"0000"))</f>
        <v>0184RCBC0303</v>
      </c>
      <c r="B156" s="1">
        <v>303</v>
      </c>
      <c r="C156" s="1" t="s">
        <v>21</v>
      </c>
      <c r="D156" s="35">
        <v>44889</v>
      </c>
      <c r="E156" s="1" t="s">
        <v>207</v>
      </c>
      <c r="F156" s="2">
        <v>7864</v>
      </c>
      <c r="G156" s="2">
        <v>5408</v>
      </c>
      <c r="H156" s="2">
        <v>18222</v>
      </c>
      <c r="I156" s="5">
        <v>0.54166666666666663</v>
      </c>
      <c r="K156" s="32">
        <f>_xlfn.MAXIFS(ConsumoConcreto[Fim do Bombeamento],ConsumoConcreto[RecebimentoID],RecebimentoConcreto[[#This Row],[RecebimentoID]])</f>
        <v>0</v>
      </c>
      <c r="L156" s="1">
        <v>72</v>
      </c>
      <c r="M156" s="37">
        <v>36892</v>
      </c>
      <c r="N156" s="5" t="s">
        <v>25</v>
      </c>
      <c r="O156" s="9">
        <v>0.1</v>
      </c>
      <c r="P156" s="5" t="s">
        <v>26</v>
      </c>
      <c r="Q156" s="2">
        <v>7</v>
      </c>
      <c r="R156" s="5" t="s">
        <v>27</v>
      </c>
      <c r="S156" s="5" t="s">
        <v>32</v>
      </c>
      <c r="T156" s="39">
        <v>480</v>
      </c>
    </row>
    <row r="157" spans="1:20" ht="20.100000000000001" hidden="1" customHeight="1" x14ac:dyDescent="0.25">
      <c r="A157" s="26" t="str">
        <f>CONCATENATE(RIGHT(LEFT(RecebimentoConcreto[[#This Row],[Obra]],5),4),"RCBC",TEXT(RecebimentoConcreto[[#This Row],[Ordem]],"0000"))</f>
        <v>0184RCBC0319</v>
      </c>
      <c r="B157" s="1">
        <v>319</v>
      </c>
      <c r="C157" s="1" t="s">
        <v>21</v>
      </c>
      <c r="D157" s="35">
        <v>44886</v>
      </c>
      <c r="E157" s="1" t="s">
        <v>370</v>
      </c>
      <c r="F157" s="2" t="s">
        <v>371</v>
      </c>
      <c r="G157" s="2">
        <v>5408</v>
      </c>
      <c r="H157" s="2" t="s">
        <v>372</v>
      </c>
      <c r="I157" s="5" t="s">
        <v>373</v>
      </c>
      <c r="J157" s="5">
        <v>0.7729166666666667</v>
      </c>
      <c r="K157" s="32">
        <f>_xlfn.MAXIFS(ConsumoConcreto[Fim do Bombeamento],ConsumoConcreto[RecebimentoID],RecebimentoConcreto[[#This Row],[RecebimentoID]])</f>
        <v>0.8208333333333333</v>
      </c>
      <c r="L157" s="1" t="s">
        <v>374</v>
      </c>
      <c r="M157" s="37">
        <v>36892</v>
      </c>
      <c r="N157" s="5" t="s">
        <v>25</v>
      </c>
      <c r="O157" s="9">
        <v>14.5</v>
      </c>
      <c r="P157" s="5" t="s">
        <v>26</v>
      </c>
      <c r="Q157" s="2">
        <v>7</v>
      </c>
      <c r="R157" s="5" t="s">
        <v>27</v>
      </c>
      <c r="S157" s="5" t="s">
        <v>32</v>
      </c>
      <c r="T157" s="39">
        <v>480</v>
      </c>
    </row>
    <row r="158" spans="1:20" ht="20.100000000000001" hidden="1" customHeight="1" x14ac:dyDescent="0.25">
      <c r="A158" s="26" t="str">
        <f>CONCATENATE(RIGHT(LEFT(RecebimentoConcreto[[#This Row],[Obra]],5),4),"RCBC",TEXT(RecebimentoConcreto[[#This Row],[Ordem]],"0000"))</f>
        <v>0184RCBC0320</v>
      </c>
      <c r="B158" s="1">
        <v>320</v>
      </c>
      <c r="C158" s="1" t="s">
        <v>21</v>
      </c>
      <c r="D158" s="35">
        <v>44887</v>
      </c>
      <c r="E158" s="1" t="s">
        <v>375</v>
      </c>
      <c r="F158" s="2" t="s">
        <v>376</v>
      </c>
      <c r="G158" s="2">
        <v>5408</v>
      </c>
      <c r="H158" s="2" t="s">
        <v>377</v>
      </c>
      <c r="I158" s="5" t="s">
        <v>378</v>
      </c>
      <c r="J158" s="5">
        <v>0.64930555555555558</v>
      </c>
      <c r="K158" s="32">
        <f>_xlfn.MAXIFS(ConsumoConcreto[Fim do Bombeamento],ConsumoConcreto[RecebimentoID],RecebimentoConcreto[[#This Row],[RecebimentoID]])</f>
        <v>0.68611111111111101</v>
      </c>
      <c r="L158" s="1" t="s">
        <v>379</v>
      </c>
      <c r="M158" s="37">
        <v>36892</v>
      </c>
      <c r="N158" s="5" t="s">
        <v>25</v>
      </c>
      <c r="O158" s="9">
        <v>14</v>
      </c>
      <c r="P158" s="5" t="s">
        <v>26</v>
      </c>
      <c r="Q158" s="2">
        <v>7</v>
      </c>
      <c r="R158" s="5" t="s">
        <v>27</v>
      </c>
      <c r="S158" s="5" t="s">
        <v>32</v>
      </c>
      <c r="T158" s="39">
        <v>480</v>
      </c>
    </row>
    <row r="159" spans="1:20" ht="20.100000000000001" hidden="1" customHeight="1" x14ac:dyDescent="0.25">
      <c r="A159" s="26" t="str">
        <f>CONCATENATE(RIGHT(LEFT(RecebimentoConcreto[[#This Row],[Obra]],5),4),"RCBC",TEXT(RecebimentoConcreto[[#This Row],[Ordem]],"0000"))</f>
        <v>0184RCBC0321</v>
      </c>
      <c r="B159" s="1">
        <v>321</v>
      </c>
      <c r="C159" s="1" t="s">
        <v>21</v>
      </c>
      <c r="D159" s="35">
        <v>44889</v>
      </c>
      <c r="E159" s="1" t="s">
        <v>380</v>
      </c>
      <c r="F159" s="2" t="s">
        <v>381</v>
      </c>
      <c r="G159" s="2">
        <v>5408</v>
      </c>
      <c r="H159" s="2" t="s">
        <v>382</v>
      </c>
      <c r="I159" s="5" t="s">
        <v>383</v>
      </c>
      <c r="J159" s="5">
        <v>0.55694444444444446</v>
      </c>
      <c r="K159" s="32">
        <f>_xlfn.MAXIFS(ConsumoConcreto[Fim do Bombeamento],ConsumoConcreto[RecebimentoID],RecebimentoConcreto[[#This Row],[RecebimentoID]])</f>
        <v>0.59027777777777779</v>
      </c>
      <c r="L159" s="1" t="s">
        <v>384</v>
      </c>
      <c r="M159" s="37">
        <v>36892</v>
      </c>
      <c r="N159" s="5" t="s">
        <v>25</v>
      </c>
      <c r="O159" s="9">
        <v>14.5</v>
      </c>
      <c r="P159" s="5" t="s">
        <v>26</v>
      </c>
      <c r="Q159" s="2">
        <v>7</v>
      </c>
      <c r="R159" s="5" t="s">
        <v>27</v>
      </c>
      <c r="S159" s="5" t="s">
        <v>32</v>
      </c>
      <c r="T159" s="39">
        <v>480</v>
      </c>
    </row>
    <row r="160" spans="1:20" ht="20.100000000000001" hidden="1" customHeight="1" x14ac:dyDescent="0.25">
      <c r="A160" s="26" t="str">
        <f>CONCATENATE(RIGHT(LEFT(RecebimentoConcreto[[#This Row],[Obra]],5),4),"RCBC",TEXT(RecebimentoConcreto[[#This Row],[Ordem]],"0000"))</f>
        <v>0184RCBC0322</v>
      </c>
      <c r="B160" s="1">
        <v>322</v>
      </c>
      <c r="C160" s="1" t="s">
        <v>21</v>
      </c>
      <c r="D160" s="35">
        <v>44890</v>
      </c>
      <c r="E160" s="1" t="s">
        <v>152</v>
      </c>
      <c r="F160" s="2" t="s">
        <v>385</v>
      </c>
      <c r="G160" s="2">
        <v>5408</v>
      </c>
      <c r="H160" s="2" t="s">
        <v>386</v>
      </c>
      <c r="I160" s="5" t="s">
        <v>387</v>
      </c>
      <c r="J160" s="5">
        <v>0.87083333333333324</v>
      </c>
      <c r="K160" s="32">
        <f>_xlfn.MAXIFS(ConsumoConcreto[Fim do Bombeamento],ConsumoConcreto[RecebimentoID],RecebimentoConcreto[[#This Row],[RecebimentoID]])</f>
        <v>0.9159722222222223</v>
      </c>
      <c r="L160" s="1" t="s">
        <v>388</v>
      </c>
      <c r="M160" s="37">
        <v>36892</v>
      </c>
      <c r="N160" s="5" t="s">
        <v>25</v>
      </c>
      <c r="O160" s="9">
        <v>14</v>
      </c>
      <c r="P160" s="5" t="s">
        <v>26</v>
      </c>
      <c r="Q160" s="2">
        <v>7</v>
      </c>
      <c r="R160" s="5" t="s">
        <v>27</v>
      </c>
      <c r="S160" s="5" t="s">
        <v>32</v>
      </c>
      <c r="T160" s="39">
        <v>480</v>
      </c>
    </row>
    <row r="161" spans="1:20" ht="20.100000000000001" hidden="1" customHeight="1" x14ac:dyDescent="0.25">
      <c r="A161" s="26" t="str">
        <f>CONCATENATE(RIGHT(LEFT(RecebimentoConcreto[[#This Row],[Obra]],5),4),"RCBC",TEXT(RecebimentoConcreto[[#This Row],[Ordem]],"0000"))</f>
        <v>0184RCBC0323</v>
      </c>
      <c r="B161" s="1">
        <v>323</v>
      </c>
      <c r="C161" s="1" t="s">
        <v>21</v>
      </c>
      <c r="D161" s="35">
        <v>44890</v>
      </c>
      <c r="E161" s="1" t="s">
        <v>389</v>
      </c>
      <c r="F161" s="2" t="s">
        <v>390</v>
      </c>
      <c r="G161" s="2">
        <v>5408</v>
      </c>
      <c r="H161" s="2" t="s">
        <v>391</v>
      </c>
      <c r="I161" s="5" t="s">
        <v>392</v>
      </c>
      <c r="J161" s="5">
        <v>0.77847222222222223</v>
      </c>
      <c r="K161" s="32">
        <f>_xlfn.MAXIFS(ConsumoConcreto[Fim do Bombeamento],ConsumoConcreto[RecebimentoID],RecebimentoConcreto[[#This Row],[RecebimentoID]])</f>
        <v>0.84652777777777777</v>
      </c>
      <c r="L161" s="1" t="s">
        <v>393</v>
      </c>
      <c r="M161" s="37">
        <v>36892</v>
      </c>
      <c r="N161" s="5" t="s">
        <v>25</v>
      </c>
      <c r="O161" s="9">
        <v>18.5</v>
      </c>
      <c r="P161" s="5" t="s">
        <v>26</v>
      </c>
      <c r="Q161" s="2">
        <v>7</v>
      </c>
      <c r="R161" s="5" t="s">
        <v>27</v>
      </c>
      <c r="S161" s="5" t="s">
        <v>32</v>
      </c>
      <c r="T161" s="39">
        <v>480</v>
      </c>
    </row>
    <row r="162" spans="1:20" ht="20.100000000000001" hidden="1" customHeight="1" x14ac:dyDescent="0.25">
      <c r="A162" s="26" t="str">
        <f>CONCATENATE(RIGHT(LEFT(RecebimentoConcreto[[#This Row],[Obra]],5),4),"RCBC",TEXT(RecebimentoConcreto[[#This Row],[Ordem]],"0000"))</f>
        <v>0184RCBC0324</v>
      </c>
      <c r="B162" s="1">
        <v>324</v>
      </c>
      <c r="C162" s="1" t="s">
        <v>21</v>
      </c>
      <c r="D162" s="35">
        <v>44893</v>
      </c>
      <c r="E162" s="1" t="s">
        <v>394</v>
      </c>
      <c r="F162" s="2" t="s">
        <v>395</v>
      </c>
      <c r="G162" s="2">
        <v>5408</v>
      </c>
      <c r="H162" s="2" t="s">
        <v>396</v>
      </c>
      <c r="I162" s="5" t="s">
        <v>397</v>
      </c>
      <c r="J162" s="5">
        <v>0.7284722222222223</v>
      </c>
      <c r="K162" s="32">
        <f>_xlfn.MAXIFS(ConsumoConcreto[Fim do Bombeamento],ConsumoConcreto[RecebimentoID],RecebimentoConcreto[[#This Row],[RecebimentoID]])</f>
        <v>0.76874999999999993</v>
      </c>
      <c r="L162" s="1" t="s">
        <v>398</v>
      </c>
      <c r="M162" s="37">
        <v>36892</v>
      </c>
      <c r="N162" s="5" t="s">
        <v>25</v>
      </c>
      <c r="O162" s="9">
        <v>14.5</v>
      </c>
      <c r="P162" s="5" t="s">
        <v>26</v>
      </c>
      <c r="Q162" s="2">
        <v>7</v>
      </c>
      <c r="R162" s="5" t="s">
        <v>27</v>
      </c>
      <c r="S162" s="5" t="s">
        <v>32</v>
      </c>
      <c r="T162" s="39">
        <v>480</v>
      </c>
    </row>
    <row r="163" spans="1:20" ht="20.100000000000001" hidden="1" customHeight="1" x14ac:dyDescent="0.25">
      <c r="A163" s="26" t="str">
        <f>CONCATENATE(RIGHT(LEFT(RecebimentoConcreto[[#This Row],[Obra]],5),4),"RCBC",TEXT(RecebimentoConcreto[[#This Row],[Ordem]],"0000"))</f>
        <v>0184RCBC0325</v>
      </c>
      <c r="B163" s="1">
        <v>325</v>
      </c>
      <c r="C163" s="1" t="s">
        <v>21</v>
      </c>
      <c r="D163" s="35">
        <v>44893</v>
      </c>
      <c r="E163" s="1" t="s">
        <v>399</v>
      </c>
      <c r="F163" s="2" t="s">
        <v>400</v>
      </c>
      <c r="G163" s="2">
        <v>5408</v>
      </c>
      <c r="H163" s="2" t="s">
        <v>401</v>
      </c>
      <c r="I163" s="5" t="s">
        <v>402</v>
      </c>
      <c r="J163" s="5">
        <v>0.77361111111111114</v>
      </c>
      <c r="K163" s="32">
        <f>_xlfn.MAXIFS(ConsumoConcreto[Fim do Bombeamento],ConsumoConcreto[RecebimentoID],RecebimentoConcreto[[#This Row],[RecebimentoID]])</f>
        <v>0.875</v>
      </c>
      <c r="L163" s="1" t="s">
        <v>403</v>
      </c>
      <c r="M163" s="37">
        <v>36892</v>
      </c>
      <c r="N163" s="5" t="s">
        <v>25</v>
      </c>
      <c r="O163" s="9">
        <v>18</v>
      </c>
      <c r="P163" s="5" t="s">
        <v>26</v>
      </c>
      <c r="Q163" s="2">
        <v>7</v>
      </c>
      <c r="R163" s="5" t="s">
        <v>27</v>
      </c>
      <c r="S163" s="5" t="s">
        <v>32</v>
      </c>
      <c r="T163" s="39">
        <v>480</v>
      </c>
    </row>
    <row r="164" spans="1:20" ht="20.100000000000001" hidden="1" customHeight="1" x14ac:dyDescent="0.25">
      <c r="A164" s="26" t="str">
        <f>CONCATENATE(RIGHT(LEFT(RecebimentoConcreto[[#This Row],[Obra]],5),4),"RCBC",TEXT(RecebimentoConcreto[[#This Row],[Ordem]],"0000"))</f>
        <v>0184RCBC0326</v>
      </c>
      <c r="B164" s="1">
        <v>326</v>
      </c>
      <c r="C164" s="1" t="s">
        <v>21</v>
      </c>
      <c r="D164" s="35">
        <v>44894</v>
      </c>
      <c r="E164" s="1" t="s">
        <v>404</v>
      </c>
      <c r="F164" s="2" t="s">
        <v>405</v>
      </c>
      <c r="G164" s="2">
        <v>5408</v>
      </c>
      <c r="H164" s="2" t="s">
        <v>406</v>
      </c>
      <c r="I164" s="5" t="s">
        <v>407</v>
      </c>
      <c r="J164" s="5">
        <v>0.66319444444444442</v>
      </c>
      <c r="K164" s="32">
        <f>_xlfn.MAXIFS(ConsumoConcreto[Fim do Bombeamento],ConsumoConcreto[RecebimentoID],RecebimentoConcreto[[#This Row],[RecebimentoID]])</f>
        <v>0.72916666666666663</v>
      </c>
      <c r="L164" s="1" t="s">
        <v>408</v>
      </c>
      <c r="M164" s="37">
        <v>36892</v>
      </c>
      <c r="N164" s="5" t="s">
        <v>25</v>
      </c>
      <c r="O164" s="9">
        <v>14.5</v>
      </c>
      <c r="P164" s="5" t="s">
        <v>26</v>
      </c>
      <c r="Q164" s="2">
        <v>7</v>
      </c>
      <c r="R164" s="5" t="s">
        <v>27</v>
      </c>
      <c r="S164" s="5" t="s">
        <v>32</v>
      </c>
      <c r="T164" s="39">
        <v>480</v>
      </c>
    </row>
    <row r="165" spans="1:20" ht="20.100000000000001" hidden="1" customHeight="1" x14ac:dyDescent="0.25">
      <c r="A165" s="26" t="str">
        <f>CONCATENATE(RIGHT(LEFT(RecebimentoConcreto[[#This Row],[Obra]],5),4),"RCBC",TEXT(RecebimentoConcreto[[#This Row],[Ordem]],"0000"))</f>
        <v>0184RCBC0327</v>
      </c>
      <c r="B165" s="1">
        <v>327</v>
      </c>
      <c r="C165" s="1" t="s">
        <v>21</v>
      </c>
      <c r="D165" s="35">
        <v>44895</v>
      </c>
      <c r="E165" s="1" t="s">
        <v>238</v>
      </c>
      <c r="F165" s="2" t="s">
        <v>409</v>
      </c>
      <c r="G165" s="2">
        <v>5408</v>
      </c>
      <c r="H165" s="2" t="s">
        <v>410</v>
      </c>
      <c r="I165" s="5" t="s">
        <v>411</v>
      </c>
      <c r="J165" s="5">
        <v>0.73055555555555562</v>
      </c>
      <c r="K165" s="32">
        <f>_xlfn.MAXIFS(ConsumoConcreto[Fim do Bombeamento],ConsumoConcreto[RecebimentoID],RecebimentoConcreto[[#This Row],[RecebimentoID]])</f>
        <v>0.75902777777777775</v>
      </c>
      <c r="L165" s="1" t="s">
        <v>412</v>
      </c>
      <c r="M165" s="37">
        <v>36892</v>
      </c>
      <c r="N165" s="5" t="s">
        <v>25</v>
      </c>
      <c r="O165" s="9">
        <v>14.5</v>
      </c>
      <c r="P165" s="5" t="s">
        <v>26</v>
      </c>
      <c r="Q165" s="2">
        <v>7</v>
      </c>
      <c r="R165" s="5" t="s">
        <v>27</v>
      </c>
      <c r="S165" s="5" t="s">
        <v>32</v>
      </c>
      <c r="T165" s="39">
        <v>480</v>
      </c>
    </row>
    <row r="166" spans="1:20" ht="20.100000000000001" hidden="1" customHeight="1" x14ac:dyDescent="0.25">
      <c r="A166" s="26" t="str">
        <f>CONCATENATE(RIGHT(LEFT(RecebimentoConcreto[[#This Row],[Obra]],5),4),"RCBC",TEXT(RecebimentoConcreto[[#This Row],[Ordem]],"0000"))</f>
        <v>0184RCBC0328</v>
      </c>
      <c r="B166" s="1">
        <v>328</v>
      </c>
      <c r="C166" s="1" t="s">
        <v>21</v>
      </c>
      <c r="D166" s="35">
        <v>44896</v>
      </c>
      <c r="E166" s="1" t="s">
        <v>413</v>
      </c>
      <c r="F166" s="2" t="s">
        <v>414</v>
      </c>
      <c r="G166" s="2">
        <v>5408</v>
      </c>
      <c r="H166" s="2" t="s">
        <v>415</v>
      </c>
      <c r="I166" s="5" t="s">
        <v>416</v>
      </c>
      <c r="J166" s="5">
        <v>0.83750000000000002</v>
      </c>
      <c r="K166" s="32">
        <f>_xlfn.MAXIFS(ConsumoConcreto[Fim do Bombeamento],ConsumoConcreto[RecebimentoID],RecebimentoConcreto[[#This Row],[RecebimentoID]])</f>
        <v>0.89513888888888893</v>
      </c>
      <c r="L166" s="1" t="s">
        <v>417</v>
      </c>
      <c r="M166" s="37">
        <v>36892</v>
      </c>
      <c r="N166" s="5" t="s">
        <v>25</v>
      </c>
      <c r="O166" s="9">
        <v>18.5</v>
      </c>
      <c r="P166" s="5" t="s">
        <v>26</v>
      </c>
      <c r="Q166" s="2">
        <v>7</v>
      </c>
      <c r="R166" s="5" t="s">
        <v>27</v>
      </c>
      <c r="S166" s="5" t="s">
        <v>32</v>
      </c>
      <c r="T166" s="39">
        <v>480</v>
      </c>
    </row>
    <row r="167" spans="1:20" ht="20.100000000000001" hidden="1" customHeight="1" x14ac:dyDescent="0.25">
      <c r="A167" s="26" t="str">
        <f>CONCATENATE(RIGHT(LEFT(RecebimentoConcreto[[#This Row],[Obra]],5),4),"RCBC",TEXT(RecebimentoConcreto[[#This Row],[Ordem]],"0000"))</f>
        <v>0184RCBC0329</v>
      </c>
      <c r="B167" s="1">
        <v>329</v>
      </c>
      <c r="C167" s="1" t="s">
        <v>21</v>
      </c>
      <c r="D167" s="35">
        <v>44897</v>
      </c>
      <c r="E167" s="1" t="s">
        <v>418</v>
      </c>
      <c r="F167" s="2" t="s">
        <v>419</v>
      </c>
      <c r="G167" s="2">
        <v>5408</v>
      </c>
      <c r="H167" s="2" t="s">
        <v>420</v>
      </c>
      <c r="I167" s="5" t="s">
        <v>421</v>
      </c>
      <c r="J167" s="5">
        <v>0.60416666666666663</v>
      </c>
      <c r="K167" s="32">
        <f>_xlfn.MAXIFS(ConsumoConcreto[Fim do Bombeamento],ConsumoConcreto[RecebimentoID],RecebimentoConcreto[[#This Row],[RecebimentoID]])</f>
        <v>0.63541666666666663</v>
      </c>
      <c r="L167" s="1" t="s">
        <v>422</v>
      </c>
      <c r="M167" s="37">
        <v>36892</v>
      </c>
      <c r="N167" s="5" t="s">
        <v>25</v>
      </c>
      <c r="O167" s="9">
        <v>18.5</v>
      </c>
      <c r="P167" s="5" t="s">
        <v>26</v>
      </c>
      <c r="Q167" s="2">
        <v>7</v>
      </c>
      <c r="R167" s="5" t="s">
        <v>27</v>
      </c>
      <c r="S167" s="5" t="s">
        <v>32</v>
      </c>
      <c r="T167" s="39">
        <v>480</v>
      </c>
    </row>
    <row r="168" spans="1:20" ht="20.100000000000001" hidden="1" customHeight="1" x14ac:dyDescent="0.25">
      <c r="A168" s="26" t="str">
        <f>CONCATENATE(RIGHT(LEFT(RecebimentoConcreto[[#This Row],[Obra]],5),4),"RCBC",TEXT(RecebimentoConcreto[[#This Row],[Ordem]],"0000"))</f>
        <v>0184RCBC0330</v>
      </c>
      <c r="B168" s="1">
        <v>330</v>
      </c>
      <c r="C168" s="1" t="s">
        <v>21</v>
      </c>
      <c r="D168" s="35">
        <v>44901</v>
      </c>
      <c r="E168" s="1" t="s">
        <v>423</v>
      </c>
      <c r="F168" s="2" t="s">
        <v>424</v>
      </c>
      <c r="G168" s="2">
        <v>5408</v>
      </c>
      <c r="H168" s="2" t="s">
        <v>425</v>
      </c>
      <c r="I168" s="5" t="s">
        <v>426</v>
      </c>
      <c r="J168" s="5">
        <v>0.7270833333333333</v>
      </c>
      <c r="K168" s="32">
        <f>_xlfn.MAXIFS(ConsumoConcreto[Fim do Bombeamento],ConsumoConcreto[RecebimentoID],RecebimentoConcreto[[#This Row],[RecebimentoID]])</f>
        <v>0.77361111111111114</v>
      </c>
      <c r="L168" s="1" t="s">
        <v>427</v>
      </c>
      <c r="M168" s="37">
        <v>36892</v>
      </c>
      <c r="N168" s="5" t="s">
        <v>25</v>
      </c>
      <c r="O168" s="9">
        <v>18</v>
      </c>
      <c r="P168" s="5" t="s">
        <v>26</v>
      </c>
      <c r="Q168" s="2">
        <v>7</v>
      </c>
      <c r="R168" s="5" t="s">
        <v>27</v>
      </c>
      <c r="S168" s="5" t="s">
        <v>32</v>
      </c>
      <c r="T168" s="39">
        <v>480</v>
      </c>
    </row>
    <row r="169" spans="1:20" ht="20.100000000000001" hidden="1" customHeight="1" x14ac:dyDescent="0.25">
      <c r="A169" s="26" t="str">
        <f>CONCATENATE(RIGHT(LEFT(RecebimentoConcreto[[#This Row],[Obra]],5),4),"RCBC",TEXT(RecebimentoConcreto[[#This Row],[Ordem]],"0000"))</f>
        <v>0184RCBC0331</v>
      </c>
      <c r="B169" s="1">
        <v>331</v>
      </c>
      <c r="C169" s="1" t="s">
        <v>21</v>
      </c>
      <c r="D169" s="35">
        <v>44902</v>
      </c>
      <c r="E169" s="1" t="s">
        <v>428</v>
      </c>
      <c r="F169" s="2" t="s">
        <v>429</v>
      </c>
      <c r="G169" s="2">
        <v>5408</v>
      </c>
      <c r="H169" s="2" t="s">
        <v>430</v>
      </c>
      <c r="I169" s="5" t="s">
        <v>431</v>
      </c>
      <c r="J169" s="5">
        <v>0.83194444444444438</v>
      </c>
      <c r="K169" s="32">
        <f>_xlfn.MAXIFS(ConsumoConcreto[Fim do Bombeamento],ConsumoConcreto[RecebimentoID],RecebimentoConcreto[[#This Row],[RecebimentoID]])</f>
        <v>0.88888888888888884</v>
      </c>
      <c r="L169" s="1" t="s">
        <v>432</v>
      </c>
      <c r="M169" s="37">
        <v>36892</v>
      </c>
      <c r="N169" s="5" t="s">
        <v>25</v>
      </c>
      <c r="O169" s="9">
        <v>19</v>
      </c>
      <c r="P169" s="5" t="s">
        <v>26</v>
      </c>
      <c r="Q169" s="2">
        <v>7</v>
      </c>
      <c r="R169" s="5" t="s">
        <v>27</v>
      </c>
      <c r="S169" s="5" t="s">
        <v>32</v>
      </c>
      <c r="T169" s="39">
        <v>480</v>
      </c>
    </row>
    <row r="170" spans="1:20" ht="20.100000000000001" hidden="1" customHeight="1" x14ac:dyDescent="0.25">
      <c r="A170" s="26" t="str">
        <f>CONCATENATE(RIGHT(LEFT(RecebimentoConcreto[[#This Row],[Obra]],5),4),"RCBC",TEXT(RecebimentoConcreto[[#This Row],[Ordem]],"0000"))</f>
        <v>0184RCBC0332</v>
      </c>
      <c r="B170" s="1">
        <v>332</v>
      </c>
      <c r="C170" s="1" t="s">
        <v>21</v>
      </c>
      <c r="D170" s="35">
        <v>44903</v>
      </c>
      <c r="E170" s="1" t="s">
        <v>433</v>
      </c>
      <c r="F170" s="2" t="s">
        <v>434</v>
      </c>
      <c r="G170" s="2">
        <v>5408</v>
      </c>
      <c r="H170" s="2" t="s">
        <v>435</v>
      </c>
      <c r="I170" s="5" t="s">
        <v>436</v>
      </c>
      <c r="J170" s="5">
        <v>0.85277777777777775</v>
      </c>
      <c r="K170" s="32">
        <f>_xlfn.MAXIFS(ConsumoConcreto[Fim do Bombeamento],ConsumoConcreto[RecebimentoID],RecebimentoConcreto[[#This Row],[RecebimentoID]])</f>
        <v>0.93333333333333324</v>
      </c>
      <c r="L170" s="1" t="s">
        <v>437</v>
      </c>
      <c r="M170" s="37">
        <v>36892</v>
      </c>
      <c r="N170" s="5" t="s">
        <v>25</v>
      </c>
      <c r="O170" s="9">
        <v>18.5</v>
      </c>
      <c r="P170" s="5" t="s">
        <v>26</v>
      </c>
      <c r="Q170" s="2">
        <v>7</v>
      </c>
      <c r="R170" s="5" t="s">
        <v>27</v>
      </c>
      <c r="S170" s="5" t="s">
        <v>32</v>
      </c>
      <c r="T170" s="39">
        <v>480</v>
      </c>
    </row>
    <row r="171" spans="1:20" ht="20.100000000000001" hidden="1" customHeight="1" x14ac:dyDescent="0.25">
      <c r="A171" s="26" t="str">
        <f>CONCATENATE(RIGHT(LEFT(RecebimentoConcreto[[#This Row],[Obra]],5),4),"RCBC",TEXT(RecebimentoConcreto[[#This Row],[Ordem]],"0000"))</f>
        <v>0184RCBC0348</v>
      </c>
      <c r="B171" s="1">
        <v>348</v>
      </c>
      <c r="C171" s="1" t="s">
        <v>21</v>
      </c>
      <c r="D171" s="35">
        <v>44896</v>
      </c>
      <c r="E171" s="1" t="s">
        <v>438</v>
      </c>
      <c r="F171" s="2" t="s">
        <v>439</v>
      </c>
      <c r="G171" s="2">
        <v>5408</v>
      </c>
      <c r="H171" s="2" t="s">
        <v>440</v>
      </c>
      <c r="I171" s="5" t="s">
        <v>441</v>
      </c>
      <c r="J171" s="5">
        <v>0.91527777777777775</v>
      </c>
      <c r="K171" s="32">
        <f>_xlfn.MAXIFS(ConsumoConcreto[Fim do Bombeamento],ConsumoConcreto[RecebimentoID],RecebimentoConcreto[[#This Row],[RecebimentoID]])</f>
        <v>0.95486111111111116</v>
      </c>
      <c r="L171" s="1" t="s">
        <v>442</v>
      </c>
      <c r="M171" s="37">
        <v>36892</v>
      </c>
      <c r="N171" s="5" t="s">
        <v>25</v>
      </c>
      <c r="O171" s="9">
        <v>14</v>
      </c>
      <c r="P171" s="5" t="s">
        <v>26</v>
      </c>
      <c r="Q171" s="2">
        <v>7</v>
      </c>
      <c r="R171" s="5" t="s">
        <v>27</v>
      </c>
      <c r="S171" s="5" t="s">
        <v>32</v>
      </c>
      <c r="T171" s="39">
        <v>480</v>
      </c>
    </row>
    <row r="172" spans="1:20" ht="20.100000000000001" hidden="1" customHeight="1" x14ac:dyDescent="0.25">
      <c r="A172" s="26" t="str">
        <f>CONCATENATE(RIGHT(LEFT(RecebimentoConcreto[[#This Row],[Obra]],5),4),"RCBC",TEXT(RecebimentoConcreto[[#This Row],[Ordem]],"0000"))</f>
        <v>0184RCBC0349</v>
      </c>
      <c r="B172" s="1">
        <v>349</v>
      </c>
      <c r="C172" s="1" t="s">
        <v>21</v>
      </c>
      <c r="D172" s="35">
        <v>44901</v>
      </c>
      <c r="E172" s="1" t="s">
        <v>443</v>
      </c>
      <c r="F172" s="2" t="s">
        <v>444</v>
      </c>
      <c r="G172" s="2">
        <v>5408</v>
      </c>
      <c r="H172" s="2" t="s">
        <v>445</v>
      </c>
      <c r="I172" s="5" t="s">
        <v>446</v>
      </c>
      <c r="J172" s="5">
        <v>0.67569444444444438</v>
      </c>
      <c r="K172" s="32">
        <f>_xlfn.MAXIFS(ConsumoConcreto[Fim do Bombeamento],ConsumoConcreto[RecebimentoID],RecebimentoConcreto[[#This Row],[RecebimentoID]])</f>
        <v>0.72152777777777777</v>
      </c>
      <c r="L172" s="1" t="s">
        <v>447</v>
      </c>
      <c r="M172" s="37">
        <v>36892</v>
      </c>
      <c r="N172" s="5" t="s">
        <v>25</v>
      </c>
      <c r="O172" s="9">
        <v>14.5</v>
      </c>
      <c r="P172" s="5" t="s">
        <v>26</v>
      </c>
      <c r="Q172" s="2">
        <v>7</v>
      </c>
      <c r="R172" s="5" t="s">
        <v>27</v>
      </c>
      <c r="S172" s="5" t="s">
        <v>32</v>
      </c>
      <c r="T172" s="39">
        <v>480</v>
      </c>
    </row>
    <row r="173" spans="1:20" ht="20.100000000000001" hidden="1" customHeight="1" x14ac:dyDescent="0.25">
      <c r="A173" s="26" t="str">
        <f>CONCATENATE(RIGHT(LEFT(RecebimentoConcreto[[#This Row],[Obra]],5),4),"RCBC",TEXT(RecebimentoConcreto[[#This Row],[Ordem]],"0000"))</f>
        <v>0184RCBC0350</v>
      </c>
      <c r="B173" s="1">
        <v>350</v>
      </c>
      <c r="C173" s="1" t="s">
        <v>21</v>
      </c>
      <c r="D173" s="35">
        <v>44902</v>
      </c>
      <c r="E173" s="1" t="s">
        <v>448</v>
      </c>
      <c r="F173" s="2" t="s">
        <v>449</v>
      </c>
      <c r="G173" s="2">
        <v>5408</v>
      </c>
      <c r="H173" s="2" t="s">
        <v>450</v>
      </c>
      <c r="I173" s="5" t="s">
        <v>451</v>
      </c>
      <c r="J173" s="5">
        <v>0.73263888888888884</v>
      </c>
      <c r="K173" s="32">
        <f>_xlfn.MAXIFS(ConsumoConcreto[Fim do Bombeamento],ConsumoConcreto[RecebimentoID],RecebimentoConcreto[[#This Row],[RecebimentoID]])</f>
        <v>0.78888888888888886</v>
      </c>
      <c r="L173" s="1" t="s">
        <v>452</v>
      </c>
      <c r="M173" s="37">
        <v>36892</v>
      </c>
      <c r="N173" s="5" t="s">
        <v>25</v>
      </c>
      <c r="O173" s="9">
        <v>13</v>
      </c>
      <c r="P173" s="5" t="s">
        <v>26</v>
      </c>
      <c r="Q173" s="2">
        <v>7</v>
      </c>
      <c r="R173" s="5" t="s">
        <v>27</v>
      </c>
      <c r="S173" s="5" t="s">
        <v>32</v>
      </c>
      <c r="T173" s="39">
        <v>480</v>
      </c>
    </row>
    <row r="174" spans="1:20" ht="20.100000000000001" hidden="1" customHeight="1" x14ac:dyDescent="0.25">
      <c r="A174" s="26" t="str">
        <f>CONCATENATE(RIGHT(LEFT(RecebimentoConcreto[[#This Row],[Obra]],5),4),"RCBC",TEXT(RecebimentoConcreto[[#This Row],[Ordem]],"0000"))</f>
        <v>0184RCBC0351</v>
      </c>
      <c r="B174" s="1">
        <v>351</v>
      </c>
      <c r="C174" s="1" t="s">
        <v>21</v>
      </c>
      <c r="D174" s="35">
        <v>44903</v>
      </c>
      <c r="E174" s="1" t="s">
        <v>453</v>
      </c>
      <c r="F174" s="2" t="s">
        <v>454</v>
      </c>
      <c r="G174" s="2">
        <v>5408</v>
      </c>
      <c r="H174" s="2" t="s">
        <v>455</v>
      </c>
      <c r="I174" s="5" t="s">
        <v>456</v>
      </c>
      <c r="J174" s="5">
        <v>0.9472222222222223</v>
      </c>
      <c r="K174" s="32">
        <f>_xlfn.MAXIFS(ConsumoConcreto[Fim do Bombeamento],ConsumoConcreto[RecebimentoID],RecebimentoConcreto[[#This Row],[RecebimentoID]])</f>
        <v>0.98958333333333337</v>
      </c>
      <c r="L174" s="1" t="s">
        <v>457</v>
      </c>
      <c r="M174" s="37">
        <v>36892</v>
      </c>
      <c r="N174" s="5" t="s">
        <v>25</v>
      </c>
      <c r="O174" s="9">
        <v>14</v>
      </c>
      <c r="P174" s="5" t="s">
        <v>26</v>
      </c>
      <c r="Q174" s="2">
        <v>7</v>
      </c>
      <c r="R174" s="5" t="s">
        <v>27</v>
      </c>
      <c r="S174" s="5" t="s">
        <v>32</v>
      </c>
      <c r="T174" s="39">
        <v>480</v>
      </c>
    </row>
    <row r="175" spans="1:20" ht="20.100000000000001" hidden="1" customHeight="1" x14ac:dyDescent="0.25">
      <c r="A175" s="26" t="str">
        <f>CONCATENATE(RIGHT(LEFT(RecebimentoConcreto[[#This Row],[Obra]],5),4),"RCBC",TEXT(RecebimentoConcreto[[#This Row],[Ordem]],"0000"))</f>
        <v>0184RCBC0352</v>
      </c>
      <c r="B175" s="1">
        <v>352</v>
      </c>
      <c r="C175" s="1" t="s">
        <v>21</v>
      </c>
      <c r="D175" s="35">
        <v>44907</v>
      </c>
      <c r="E175" s="1" t="s">
        <v>370</v>
      </c>
      <c r="F175" s="2" t="s">
        <v>458</v>
      </c>
      <c r="G175" s="2">
        <v>5408</v>
      </c>
      <c r="H175" s="2" t="s">
        <v>459</v>
      </c>
      <c r="I175" s="5" t="s">
        <v>460</v>
      </c>
      <c r="J175" s="5">
        <v>0.68402777777777779</v>
      </c>
      <c r="K175" s="32">
        <f>_xlfn.MAXIFS(ConsumoConcreto[Fim do Bombeamento],ConsumoConcreto[RecebimentoID],RecebimentoConcreto[[#This Row],[RecebimentoID]])</f>
        <v>0.71875</v>
      </c>
      <c r="L175" s="1" t="s">
        <v>461</v>
      </c>
      <c r="M175" s="37">
        <v>36892</v>
      </c>
      <c r="N175" s="5" t="s">
        <v>25</v>
      </c>
      <c r="O175" s="9">
        <v>14.5</v>
      </c>
      <c r="P175" s="5" t="s">
        <v>26</v>
      </c>
      <c r="Q175" s="2">
        <v>7</v>
      </c>
      <c r="R175" s="5" t="s">
        <v>27</v>
      </c>
      <c r="S175" s="5" t="s">
        <v>32</v>
      </c>
      <c r="T175" s="39">
        <v>480</v>
      </c>
    </row>
    <row r="176" spans="1:20" ht="20.100000000000001" hidden="1" customHeight="1" x14ac:dyDescent="0.25">
      <c r="A176" s="26" t="str">
        <f>CONCATENATE(RIGHT(LEFT(RecebimentoConcreto[[#This Row],[Obra]],5),4),"RCBC",TEXT(RecebimentoConcreto[[#This Row],[Ordem]],"0000"))</f>
        <v>0184RCBC0353</v>
      </c>
      <c r="B176" s="1">
        <v>353</v>
      </c>
      <c r="C176" s="1" t="s">
        <v>21</v>
      </c>
      <c r="D176" s="35">
        <v>44908</v>
      </c>
      <c r="E176" s="1" t="s">
        <v>462</v>
      </c>
      <c r="F176" s="2" t="s">
        <v>463</v>
      </c>
      <c r="G176" s="2">
        <v>5408</v>
      </c>
      <c r="H176" s="2" t="s">
        <v>464</v>
      </c>
      <c r="I176" s="5" t="s">
        <v>465</v>
      </c>
      <c r="J176" s="5">
        <v>0.68888888888888899</v>
      </c>
      <c r="K176" s="32">
        <f>_xlfn.MAXIFS(ConsumoConcreto[Fim do Bombeamento],ConsumoConcreto[RecebimentoID],RecebimentoConcreto[[#This Row],[RecebimentoID]])</f>
        <v>0.72291666666666676</v>
      </c>
      <c r="L176" s="1" t="s">
        <v>466</v>
      </c>
      <c r="M176" s="37">
        <v>36892</v>
      </c>
      <c r="N176" s="5" t="s">
        <v>25</v>
      </c>
      <c r="O176" s="9">
        <v>18.5</v>
      </c>
      <c r="P176" s="5" t="s">
        <v>26</v>
      </c>
      <c r="Q176" s="2">
        <v>7</v>
      </c>
      <c r="R176" s="5" t="s">
        <v>27</v>
      </c>
      <c r="S176" s="5" t="s">
        <v>32</v>
      </c>
      <c r="T176" s="39">
        <v>480</v>
      </c>
    </row>
    <row r="177" spans="1:20" ht="20.100000000000001" hidden="1" customHeight="1" x14ac:dyDescent="0.25">
      <c r="A177" s="26" t="str">
        <f>CONCATENATE(RIGHT(LEFT(RecebimentoConcreto[[#This Row],[Obra]],5),4),"RCBC",TEXT(RecebimentoConcreto[[#This Row],[Ordem]],"0000"))</f>
        <v>0184RCBC0354</v>
      </c>
      <c r="B177" s="1">
        <v>354</v>
      </c>
      <c r="C177" s="1" t="s">
        <v>21</v>
      </c>
      <c r="D177" s="35">
        <v>44908</v>
      </c>
      <c r="E177" s="1" t="s">
        <v>467</v>
      </c>
      <c r="F177" s="2" t="s">
        <v>468</v>
      </c>
      <c r="G177" s="2">
        <v>5408</v>
      </c>
      <c r="H177" s="2" t="s">
        <v>469</v>
      </c>
      <c r="I177" s="5" t="s">
        <v>470</v>
      </c>
      <c r="J177" s="5">
        <v>0.7680555555555556</v>
      </c>
      <c r="K177" s="32">
        <f>_xlfn.MAXIFS(ConsumoConcreto[Fim do Bombeamento],ConsumoConcreto[RecebimentoID],RecebimentoConcreto[[#This Row],[RecebimentoID]])</f>
        <v>0.8027777777777777</v>
      </c>
      <c r="L177" s="1" t="s">
        <v>471</v>
      </c>
      <c r="M177" s="37">
        <v>36892</v>
      </c>
      <c r="N177" s="5" t="s">
        <v>25</v>
      </c>
      <c r="O177" s="9">
        <v>14</v>
      </c>
      <c r="P177" s="5" t="s">
        <v>26</v>
      </c>
      <c r="Q177" s="2">
        <v>7</v>
      </c>
      <c r="R177" s="5" t="s">
        <v>27</v>
      </c>
      <c r="S177" s="5" t="s">
        <v>32</v>
      </c>
      <c r="T177" s="39">
        <v>480</v>
      </c>
    </row>
    <row r="178" spans="1:20" ht="20.100000000000001" hidden="1" customHeight="1" x14ac:dyDescent="0.25">
      <c r="A178" s="26" t="str">
        <f>CONCATENATE(RIGHT(LEFT(RecebimentoConcreto[[#This Row],[Obra]],5),4),"RCBC",TEXT(RecebimentoConcreto[[#This Row],[Ordem]],"0000"))</f>
        <v>0184RCBC0355</v>
      </c>
      <c r="B178" s="1">
        <v>355</v>
      </c>
      <c r="C178" s="1" t="s">
        <v>21</v>
      </c>
      <c r="D178" s="35">
        <v>44910</v>
      </c>
      <c r="E178" s="1" t="s">
        <v>472</v>
      </c>
      <c r="F178" s="2" t="s">
        <v>473</v>
      </c>
      <c r="G178" s="2">
        <v>5408</v>
      </c>
      <c r="H178" s="2" t="s">
        <v>474</v>
      </c>
      <c r="I178" s="5" t="s">
        <v>475</v>
      </c>
      <c r="J178" s="5">
        <v>0.43263888888888885</v>
      </c>
      <c r="K178" s="32">
        <f>_xlfn.MAXIFS(ConsumoConcreto[Fim do Bombeamento],ConsumoConcreto[RecebimentoID],RecebimentoConcreto[[#This Row],[RecebimentoID]])</f>
        <v>0.49861111111111112</v>
      </c>
      <c r="L178" s="1" t="s">
        <v>476</v>
      </c>
      <c r="M178" s="37">
        <v>36892</v>
      </c>
      <c r="N178" s="5" t="s">
        <v>25</v>
      </c>
      <c r="O178" s="9">
        <v>18.5</v>
      </c>
      <c r="P178" s="5" t="s">
        <v>26</v>
      </c>
      <c r="Q178" s="2">
        <v>7</v>
      </c>
      <c r="R178" s="5" t="s">
        <v>27</v>
      </c>
      <c r="S178" s="5" t="s">
        <v>32</v>
      </c>
      <c r="T178" s="39">
        <v>480</v>
      </c>
    </row>
    <row r="179" spans="1:20" ht="20.100000000000001" hidden="1" customHeight="1" x14ac:dyDescent="0.25">
      <c r="A179" s="26" t="str">
        <f>CONCATENATE(RIGHT(LEFT(RecebimentoConcreto[[#This Row],[Obra]],5),4),"RCBC",TEXT(RecebimentoConcreto[[#This Row],[Ordem]],"0000"))</f>
        <v>0184RCBC0356</v>
      </c>
      <c r="B179" s="1">
        <v>356</v>
      </c>
      <c r="C179" s="1" t="s">
        <v>21</v>
      </c>
      <c r="D179" s="35">
        <v>44910</v>
      </c>
      <c r="E179" s="1" t="s">
        <v>477</v>
      </c>
      <c r="F179" s="2" t="s">
        <v>478</v>
      </c>
      <c r="G179" s="2">
        <v>5408</v>
      </c>
      <c r="H179" s="2" t="s">
        <v>479</v>
      </c>
      <c r="I179" s="5" t="s">
        <v>480</v>
      </c>
      <c r="J179" s="5">
        <v>0.52569444444444446</v>
      </c>
      <c r="K179" s="32">
        <f>_xlfn.MAXIFS(ConsumoConcreto[Fim do Bombeamento],ConsumoConcreto[RecebimentoID],RecebimentoConcreto[[#This Row],[RecebimentoID]])</f>
        <v>0.58819444444444446</v>
      </c>
      <c r="L179" s="1" t="s">
        <v>442</v>
      </c>
      <c r="M179" s="37">
        <v>36892</v>
      </c>
      <c r="N179" s="5" t="s">
        <v>25</v>
      </c>
      <c r="O179" s="9">
        <v>14</v>
      </c>
      <c r="P179" s="5" t="s">
        <v>26</v>
      </c>
      <c r="Q179" s="2">
        <v>7</v>
      </c>
      <c r="R179" s="5" t="s">
        <v>27</v>
      </c>
      <c r="S179" s="5" t="s">
        <v>32</v>
      </c>
      <c r="T179" s="39">
        <v>480</v>
      </c>
    </row>
    <row r="180" spans="1:20" ht="20.100000000000001" hidden="1" customHeight="1" x14ac:dyDescent="0.25">
      <c r="A180" s="26" t="str">
        <f>CONCATENATE(RIGHT(LEFT(RecebimentoConcreto[[#This Row],[Obra]],5),4),"RCBC",TEXT(RecebimentoConcreto[[#This Row],[Ordem]],"0000"))</f>
        <v>0184RCBC0357</v>
      </c>
      <c r="B180" s="1">
        <v>357</v>
      </c>
      <c r="C180" s="1" t="s">
        <v>21</v>
      </c>
      <c r="D180" s="35">
        <v>44911</v>
      </c>
      <c r="E180" s="1" t="s">
        <v>481</v>
      </c>
      <c r="F180" s="2" t="s">
        <v>482</v>
      </c>
      <c r="G180" s="2">
        <v>5408</v>
      </c>
      <c r="H180" s="2" t="s">
        <v>483</v>
      </c>
      <c r="I180" s="5" t="s">
        <v>484</v>
      </c>
      <c r="J180" s="5">
        <v>0.64583333333333337</v>
      </c>
      <c r="K180" s="32">
        <f>_xlfn.MAXIFS(ConsumoConcreto[Fim do Bombeamento],ConsumoConcreto[RecebimentoID],RecebimentoConcreto[[#This Row],[RecebimentoID]])</f>
        <v>0.65277777777777779</v>
      </c>
      <c r="L180" s="1" t="s">
        <v>452</v>
      </c>
      <c r="M180" s="37">
        <v>36892</v>
      </c>
      <c r="N180" s="5" t="s">
        <v>25</v>
      </c>
      <c r="O180" s="9">
        <v>14.5</v>
      </c>
      <c r="P180" s="5" t="s">
        <v>26</v>
      </c>
      <c r="Q180" s="2">
        <v>7</v>
      </c>
      <c r="R180" s="5" t="s">
        <v>27</v>
      </c>
      <c r="S180" s="5" t="s">
        <v>32</v>
      </c>
      <c r="T180" s="39">
        <v>480</v>
      </c>
    </row>
    <row r="181" spans="1:20" ht="20.100000000000001" hidden="1" customHeight="1" x14ac:dyDescent="0.25">
      <c r="A181" s="26" t="str">
        <f>CONCATENATE(RIGHT(LEFT(RecebimentoConcreto[[#This Row],[Obra]],5),4),"RCBC",TEXT(RecebimentoConcreto[[#This Row],[Ordem]],"0000"))</f>
        <v>0184RCBC0358</v>
      </c>
      <c r="B181" s="1">
        <v>358</v>
      </c>
      <c r="C181" s="1" t="s">
        <v>21</v>
      </c>
      <c r="D181" s="35">
        <v>44911</v>
      </c>
      <c r="E181" s="1" t="s">
        <v>485</v>
      </c>
      <c r="F181" s="2" t="s">
        <v>486</v>
      </c>
      <c r="G181" s="2">
        <v>5408</v>
      </c>
      <c r="H181" s="2" t="s">
        <v>487</v>
      </c>
      <c r="I181" s="5" t="s">
        <v>488</v>
      </c>
      <c r="J181" s="5">
        <v>0.65625</v>
      </c>
      <c r="K181" s="32">
        <f>_xlfn.MAXIFS(ConsumoConcreto[Fim do Bombeamento],ConsumoConcreto[RecebimentoID],RecebimentoConcreto[[#This Row],[RecebimentoID]])</f>
        <v>0.74652777777777779</v>
      </c>
      <c r="L181" s="1" t="s">
        <v>489</v>
      </c>
      <c r="M181" s="37">
        <v>36892</v>
      </c>
      <c r="N181" s="5" t="s">
        <v>25</v>
      </c>
      <c r="O181" s="9">
        <v>18</v>
      </c>
      <c r="P181" s="5" t="s">
        <v>26</v>
      </c>
      <c r="Q181" s="2">
        <v>7</v>
      </c>
      <c r="R181" s="5" t="s">
        <v>27</v>
      </c>
      <c r="S181" s="5" t="s">
        <v>32</v>
      </c>
      <c r="T181" s="39">
        <v>480</v>
      </c>
    </row>
    <row r="182" spans="1:20" ht="20.100000000000001" hidden="1" customHeight="1" x14ac:dyDescent="0.25">
      <c r="A182" s="26" t="str">
        <f>CONCATENATE(RIGHT(LEFT(RecebimentoConcreto[[#This Row],[Obra]],5),4),"RCBC",TEXT(RecebimentoConcreto[[#This Row],[Ordem]],"0000"))</f>
        <v>0184RCBC0359</v>
      </c>
      <c r="B182" s="1">
        <v>359</v>
      </c>
      <c r="C182" s="1" t="s">
        <v>21</v>
      </c>
      <c r="D182" s="35">
        <v>44915</v>
      </c>
      <c r="E182" s="1" t="s">
        <v>490</v>
      </c>
      <c r="F182" s="2" t="s">
        <v>491</v>
      </c>
      <c r="G182" s="2">
        <v>5408</v>
      </c>
      <c r="H182" s="2" t="s">
        <v>492</v>
      </c>
      <c r="I182" s="5" t="s">
        <v>493</v>
      </c>
      <c r="J182" s="5">
        <v>0.37986111111111115</v>
      </c>
      <c r="K182" s="32">
        <f>_xlfn.MAXIFS(ConsumoConcreto[Fim do Bombeamento],ConsumoConcreto[RecebimentoID],RecebimentoConcreto[[#This Row],[RecebimentoID]])</f>
        <v>0.4201388888888889</v>
      </c>
      <c r="L182" s="1" t="s">
        <v>494</v>
      </c>
      <c r="M182" s="37">
        <v>36892</v>
      </c>
      <c r="N182" s="5" t="s">
        <v>25</v>
      </c>
      <c r="O182" s="9">
        <v>18.5</v>
      </c>
      <c r="P182" s="5" t="s">
        <v>26</v>
      </c>
      <c r="Q182" s="2">
        <v>7</v>
      </c>
      <c r="R182" s="5" t="s">
        <v>27</v>
      </c>
      <c r="S182" s="5" t="s">
        <v>32</v>
      </c>
      <c r="T182" s="39">
        <v>480</v>
      </c>
    </row>
    <row r="183" spans="1:20" ht="20.100000000000001" hidden="1" customHeight="1" x14ac:dyDescent="0.25">
      <c r="A183" s="26" t="str">
        <f>CONCATENATE(RIGHT(LEFT(RecebimentoConcreto[[#This Row],[Obra]],5),4),"RCBC",TEXT(RecebimentoConcreto[[#This Row],[Ordem]],"0000"))</f>
        <v>0184RCBC0361</v>
      </c>
      <c r="B183" s="1">
        <v>361</v>
      </c>
      <c r="C183" s="1" t="s">
        <v>21</v>
      </c>
      <c r="D183" s="35">
        <v>44917</v>
      </c>
      <c r="E183" s="1" t="s">
        <v>495</v>
      </c>
      <c r="F183" s="2" t="s">
        <v>496</v>
      </c>
      <c r="G183" s="2">
        <v>58691</v>
      </c>
      <c r="H183" s="2" t="s">
        <v>497</v>
      </c>
      <c r="I183" s="5" t="s">
        <v>498</v>
      </c>
      <c r="J183" s="5">
        <v>0.7006944444444444</v>
      </c>
      <c r="K183" s="32">
        <f>_xlfn.MAXIFS(ConsumoConcreto[Fim do Bombeamento],ConsumoConcreto[RecebimentoID],RecebimentoConcreto[[#This Row],[RecebimentoID]])</f>
        <v>0.73263888888888884</v>
      </c>
      <c r="L183" s="1" t="s">
        <v>499</v>
      </c>
      <c r="M183" s="37">
        <v>36892</v>
      </c>
      <c r="N183" s="5" t="s">
        <v>25</v>
      </c>
      <c r="O183" s="9">
        <v>14</v>
      </c>
      <c r="P183" s="5" t="s">
        <v>26</v>
      </c>
      <c r="Q183" s="2"/>
      <c r="R183" s="5" t="s">
        <v>27</v>
      </c>
      <c r="S183" s="5" t="s">
        <v>500</v>
      </c>
      <c r="T183" s="39">
        <v>520</v>
      </c>
    </row>
    <row r="184" spans="1:20" ht="20.100000000000001" hidden="1" customHeight="1" x14ac:dyDescent="0.25">
      <c r="A184" s="26" t="str">
        <f>CONCATENATE(RIGHT(LEFT(RecebimentoConcreto[[#This Row],[Obra]],5),4),"RCBC",TEXT(RecebimentoConcreto[[#This Row],[Ordem]],"0000"))</f>
        <v>0184RCBC0362</v>
      </c>
      <c r="B184" s="1">
        <v>362</v>
      </c>
      <c r="C184" s="1" t="s">
        <v>21</v>
      </c>
      <c r="D184" s="35">
        <v>44915</v>
      </c>
      <c r="E184" s="1" t="s">
        <v>290</v>
      </c>
      <c r="F184" s="2" t="s">
        <v>501</v>
      </c>
      <c r="G184" s="2">
        <v>5408</v>
      </c>
      <c r="H184" s="2" t="s">
        <v>502</v>
      </c>
      <c r="I184" s="5" t="s">
        <v>503</v>
      </c>
      <c r="J184" s="5">
        <v>0.4368055555555555</v>
      </c>
      <c r="K184" s="32">
        <f>_xlfn.MAXIFS(ConsumoConcreto[Fim do Bombeamento],ConsumoConcreto[RecebimentoID],RecebimentoConcreto[[#This Row],[RecebimentoID]])</f>
        <v>0.47500000000000003</v>
      </c>
      <c r="L184" s="1" t="s">
        <v>504</v>
      </c>
      <c r="M184" s="37">
        <v>36892</v>
      </c>
      <c r="N184" s="5" t="s">
        <v>25</v>
      </c>
      <c r="O184" s="9">
        <v>14.5</v>
      </c>
      <c r="P184" s="5" t="s">
        <v>26</v>
      </c>
      <c r="Q184" s="2">
        <v>7</v>
      </c>
      <c r="R184" s="5" t="s">
        <v>27</v>
      </c>
      <c r="S184" s="5" t="s">
        <v>32</v>
      </c>
      <c r="T184" s="39">
        <v>480</v>
      </c>
    </row>
    <row r="185" spans="1:20" ht="20.100000000000001" hidden="1" customHeight="1" x14ac:dyDescent="0.25">
      <c r="A185" s="26" t="str">
        <f>CONCATENATE(RIGHT(LEFT(RecebimentoConcreto[[#This Row],[Obra]],5),4),"RCBC",TEXT(RecebimentoConcreto[[#This Row],[Ordem]],"0000"))</f>
        <v>0184RCBC0397</v>
      </c>
      <c r="B185" s="1">
        <v>397</v>
      </c>
      <c r="C185" s="1" t="s">
        <v>21</v>
      </c>
      <c r="D185" s="35">
        <v>44883</v>
      </c>
      <c r="E185" s="1" t="s">
        <v>36</v>
      </c>
      <c r="F185" s="2">
        <v>7160</v>
      </c>
      <c r="G185" s="2">
        <v>5408</v>
      </c>
      <c r="H185" s="2">
        <v>18116</v>
      </c>
      <c r="I185" s="5">
        <v>0.68055555555555547</v>
      </c>
      <c r="K185" s="32">
        <f>_xlfn.MAXIFS(ConsumoConcreto[Fim do Bombeamento],ConsumoConcreto[RecebimentoID],RecebimentoConcreto[[#This Row],[RecebimentoID]])</f>
        <v>0</v>
      </c>
      <c r="L185" s="1">
        <v>73</v>
      </c>
      <c r="M185" s="37">
        <v>36892</v>
      </c>
      <c r="N185" s="5" t="s">
        <v>25</v>
      </c>
      <c r="O185" s="9">
        <v>0.1</v>
      </c>
      <c r="P185" s="5" t="s">
        <v>26</v>
      </c>
      <c r="Q185" s="2">
        <v>7</v>
      </c>
      <c r="R185" s="5" t="s">
        <v>27</v>
      </c>
      <c r="S185" s="5" t="s">
        <v>32</v>
      </c>
      <c r="T185" s="39">
        <v>480</v>
      </c>
    </row>
    <row r="186" spans="1:20" ht="20.100000000000001" hidden="1" customHeight="1" x14ac:dyDescent="0.25">
      <c r="A186" s="26" t="str">
        <f>CONCATENATE(RIGHT(LEFT(RecebimentoConcreto[[#This Row],[Obra]],5),4),"RCBC",TEXT(RecebimentoConcreto[[#This Row],[Ordem]],"0000"))</f>
        <v>0184RCBC0398</v>
      </c>
      <c r="B186" s="1">
        <v>398</v>
      </c>
      <c r="C186" s="1" t="s">
        <v>21</v>
      </c>
      <c r="D186" s="35">
        <v>44883</v>
      </c>
      <c r="E186" s="1" t="s">
        <v>36</v>
      </c>
      <c r="F186" s="2">
        <v>7160</v>
      </c>
      <c r="G186" s="2">
        <v>5408</v>
      </c>
      <c r="H186" s="2">
        <v>18116</v>
      </c>
      <c r="I186" s="5">
        <v>0.68055555555555547</v>
      </c>
      <c r="K186" s="32">
        <f>_xlfn.MAXIFS(ConsumoConcreto[Fim do Bombeamento],ConsumoConcreto[RecebimentoID],RecebimentoConcreto[[#This Row],[RecebimentoID]])</f>
        <v>0</v>
      </c>
      <c r="L186" s="1">
        <v>73</v>
      </c>
      <c r="M186" s="37">
        <v>36892</v>
      </c>
      <c r="N186" s="5" t="s">
        <v>25</v>
      </c>
      <c r="O186" s="9">
        <v>0.1</v>
      </c>
      <c r="P186" s="5" t="s">
        <v>26</v>
      </c>
      <c r="Q186" s="2">
        <v>7</v>
      </c>
      <c r="R186" s="5" t="s">
        <v>27</v>
      </c>
      <c r="S186" s="5" t="s">
        <v>32</v>
      </c>
      <c r="T186" s="39">
        <v>480</v>
      </c>
    </row>
    <row r="187" spans="1:20" ht="20.100000000000001" hidden="1" customHeight="1" x14ac:dyDescent="0.25">
      <c r="A187" s="26" t="str">
        <f>CONCATENATE(RIGHT(LEFT(RecebimentoConcreto[[#This Row],[Obra]],5),4),"RCBC",TEXT(RecebimentoConcreto[[#This Row],[Ordem]],"0000"))</f>
        <v>0184RCBC0399</v>
      </c>
      <c r="B187" s="1">
        <v>399</v>
      </c>
      <c r="C187" s="1" t="s">
        <v>21</v>
      </c>
      <c r="D187" s="35">
        <v>44883</v>
      </c>
      <c r="E187" s="1" t="s">
        <v>36</v>
      </c>
      <c r="F187" s="2">
        <v>7160</v>
      </c>
      <c r="G187" s="2">
        <v>5408</v>
      </c>
      <c r="H187" s="2">
        <v>18116</v>
      </c>
      <c r="I187" s="5">
        <v>0.68055555555555547</v>
      </c>
      <c r="K187" s="32">
        <f>_xlfn.MAXIFS(ConsumoConcreto[Fim do Bombeamento],ConsumoConcreto[RecebimentoID],RecebimentoConcreto[[#This Row],[RecebimentoID]])</f>
        <v>0</v>
      </c>
      <c r="L187" s="1">
        <v>73</v>
      </c>
      <c r="M187" s="37">
        <v>36892</v>
      </c>
      <c r="N187" s="5" t="s">
        <v>25</v>
      </c>
      <c r="O187" s="9">
        <v>0.1</v>
      </c>
      <c r="P187" s="5" t="s">
        <v>26</v>
      </c>
      <c r="Q187" s="2">
        <v>7</v>
      </c>
      <c r="R187" s="5" t="s">
        <v>27</v>
      </c>
      <c r="S187" s="5" t="s">
        <v>32</v>
      </c>
      <c r="T187" s="39">
        <v>480</v>
      </c>
    </row>
    <row r="188" spans="1:20" ht="20.100000000000001" hidden="1" customHeight="1" x14ac:dyDescent="0.25">
      <c r="A188" s="26" t="str">
        <f>CONCATENATE(RIGHT(LEFT(RecebimentoConcreto[[#This Row],[Obra]],5),4),"RCBC",TEXT(RecebimentoConcreto[[#This Row],[Ordem]],"0000"))</f>
        <v>0184RCBC0400</v>
      </c>
      <c r="B188" s="1">
        <v>400</v>
      </c>
      <c r="C188" s="1" t="s">
        <v>21</v>
      </c>
      <c r="D188" s="35">
        <v>44887</v>
      </c>
      <c r="E188" s="1" t="s">
        <v>37</v>
      </c>
      <c r="F188" s="2">
        <v>7817</v>
      </c>
      <c r="G188" s="2">
        <v>5408</v>
      </c>
      <c r="H188" s="2">
        <v>18173</v>
      </c>
      <c r="I188" s="5">
        <v>0.53472222222222221</v>
      </c>
      <c r="K188" s="32">
        <f>_xlfn.MAXIFS(ConsumoConcreto[Fim do Bombeamento],ConsumoConcreto[RecebimentoID],RecebimentoConcreto[[#This Row],[RecebimentoID]])</f>
        <v>0</v>
      </c>
      <c r="L188" s="1">
        <v>73.5</v>
      </c>
      <c r="M188" s="37">
        <v>36892</v>
      </c>
      <c r="N188" s="5" t="s">
        <v>25</v>
      </c>
      <c r="O188" s="9">
        <v>0.1</v>
      </c>
      <c r="P188" s="5" t="s">
        <v>26</v>
      </c>
      <c r="Q188" s="2">
        <v>7</v>
      </c>
      <c r="R188" s="5" t="s">
        <v>27</v>
      </c>
      <c r="S188" s="5" t="s">
        <v>32</v>
      </c>
      <c r="T188" s="39">
        <v>480</v>
      </c>
    </row>
    <row r="189" spans="1:20" ht="20.100000000000001" hidden="1" customHeight="1" x14ac:dyDescent="0.25">
      <c r="A189" s="26" t="str">
        <f>CONCATENATE(RIGHT(LEFT(RecebimentoConcreto[[#This Row],[Obra]],5),4),"RCBC",TEXT(RecebimentoConcreto[[#This Row],[Ordem]],"0000"))</f>
        <v>0184RCBC0401</v>
      </c>
      <c r="B189" s="1">
        <v>401</v>
      </c>
      <c r="C189" s="1" t="s">
        <v>21</v>
      </c>
      <c r="D189" s="35">
        <v>44887</v>
      </c>
      <c r="E189" s="1" t="s">
        <v>37</v>
      </c>
      <c r="F189" s="2">
        <v>7817</v>
      </c>
      <c r="G189" s="2">
        <v>5408</v>
      </c>
      <c r="H189" s="2">
        <v>18173</v>
      </c>
      <c r="I189" s="5">
        <v>0.53472222222222221</v>
      </c>
      <c r="K189" s="32">
        <f>_xlfn.MAXIFS(ConsumoConcreto[Fim do Bombeamento],ConsumoConcreto[RecebimentoID],RecebimentoConcreto[[#This Row],[RecebimentoID]])</f>
        <v>0</v>
      </c>
      <c r="L189" s="1">
        <v>73.5</v>
      </c>
      <c r="M189" s="37">
        <v>36892</v>
      </c>
      <c r="N189" s="5" t="s">
        <v>25</v>
      </c>
      <c r="O189" s="9">
        <v>0.1</v>
      </c>
      <c r="P189" s="5" t="s">
        <v>26</v>
      </c>
      <c r="Q189" s="2">
        <v>7</v>
      </c>
      <c r="R189" s="5" t="s">
        <v>27</v>
      </c>
      <c r="S189" s="5" t="s">
        <v>32</v>
      </c>
      <c r="T189" s="39">
        <v>480</v>
      </c>
    </row>
    <row r="190" spans="1:20" ht="20.100000000000001" hidden="1" customHeight="1" x14ac:dyDescent="0.25">
      <c r="A190" s="26" t="str">
        <f>CONCATENATE(RIGHT(LEFT(RecebimentoConcreto[[#This Row],[Obra]],5),4),"RCBC",TEXT(RecebimentoConcreto[[#This Row],[Ordem]],"0000"))</f>
        <v>0184RCBC0402</v>
      </c>
      <c r="B190" s="1">
        <v>402</v>
      </c>
      <c r="C190" s="1" t="s">
        <v>21</v>
      </c>
      <c r="D190" s="35">
        <v>44887</v>
      </c>
      <c r="E190" s="1" t="s">
        <v>37</v>
      </c>
      <c r="F190" s="2">
        <v>7817</v>
      </c>
      <c r="G190" s="2">
        <v>5408</v>
      </c>
      <c r="H190" s="2">
        <v>18173</v>
      </c>
      <c r="I190" s="5">
        <v>0.53472222222222221</v>
      </c>
      <c r="K190" s="32">
        <f>_xlfn.MAXIFS(ConsumoConcreto[Fim do Bombeamento],ConsumoConcreto[RecebimentoID],RecebimentoConcreto[[#This Row],[RecebimentoID]])</f>
        <v>0</v>
      </c>
      <c r="L190" s="1">
        <v>73.5</v>
      </c>
      <c r="M190" s="37">
        <v>36892</v>
      </c>
      <c r="N190" s="5" t="s">
        <v>25</v>
      </c>
      <c r="O190" s="9">
        <v>0.1</v>
      </c>
      <c r="P190" s="5" t="s">
        <v>26</v>
      </c>
      <c r="Q190" s="2">
        <v>7</v>
      </c>
      <c r="R190" s="5" t="s">
        <v>27</v>
      </c>
      <c r="S190" s="5" t="s">
        <v>32</v>
      </c>
      <c r="T190" s="39">
        <v>480</v>
      </c>
    </row>
    <row r="191" spans="1:20" ht="20.100000000000001" hidden="1" customHeight="1" x14ac:dyDescent="0.25">
      <c r="A191" s="26" t="str">
        <f>CONCATENATE(RIGHT(LEFT(RecebimentoConcreto[[#This Row],[Obra]],5),4),"RCBC",TEXT(RecebimentoConcreto[[#This Row],[Ordem]],"0000"))</f>
        <v>0184RCBC0403</v>
      </c>
      <c r="B191" s="1">
        <v>403</v>
      </c>
      <c r="C191" s="1" t="s">
        <v>21</v>
      </c>
      <c r="D191" s="35">
        <v>44887</v>
      </c>
      <c r="E191" s="1" t="s">
        <v>37</v>
      </c>
      <c r="F191" s="2">
        <v>7817</v>
      </c>
      <c r="G191" s="2">
        <v>5408</v>
      </c>
      <c r="H191" s="2">
        <v>18173</v>
      </c>
      <c r="I191" s="5">
        <v>0.53472222222222221</v>
      </c>
      <c r="K191" s="32">
        <f>_xlfn.MAXIFS(ConsumoConcreto[Fim do Bombeamento],ConsumoConcreto[RecebimentoID],RecebimentoConcreto[[#This Row],[RecebimentoID]])</f>
        <v>0</v>
      </c>
      <c r="L191" s="1">
        <v>73.5</v>
      </c>
      <c r="M191" s="37">
        <v>36892</v>
      </c>
      <c r="N191" s="5" t="s">
        <v>25</v>
      </c>
      <c r="O191" s="9">
        <v>0.1</v>
      </c>
      <c r="P191" s="5" t="s">
        <v>26</v>
      </c>
      <c r="Q191" s="2">
        <v>7</v>
      </c>
      <c r="R191" s="5" t="s">
        <v>27</v>
      </c>
      <c r="S191" s="5" t="s">
        <v>32</v>
      </c>
      <c r="T191" s="39">
        <v>480</v>
      </c>
    </row>
    <row r="192" spans="1:20" ht="20.100000000000001" hidden="1" customHeight="1" x14ac:dyDescent="0.25">
      <c r="A192" s="26" t="str">
        <f>CONCATENATE(RIGHT(LEFT(RecebimentoConcreto[[#This Row],[Obra]],5),4),"RCBC",TEXT(RecebimentoConcreto[[#This Row],[Ordem]],"0000"))</f>
        <v>0184RCBC0404</v>
      </c>
      <c r="B192" s="1">
        <v>404</v>
      </c>
      <c r="C192" s="1" t="s">
        <v>21</v>
      </c>
      <c r="D192" s="35">
        <v>44887</v>
      </c>
      <c r="E192" s="1" t="s">
        <v>37</v>
      </c>
      <c r="F192" s="2">
        <v>7817</v>
      </c>
      <c r="G192" s="2">
        <v>5408</v>
      </c>
      <c r="H192" s="2">
        <v>18173</v>
      </c>
      <c r="I192" s="5">
        <v>0.53472222222222221</v>
      </c>
      <c r="K192" s="32">
        <f>_xlfn.MAXIFS(ConsumoConcreto[Fim do Bombeamento],ConsumoConcreto[RecebimentoID],RecebimentoConcreto[[#This Row],[RecebimentoID]])</f>
        <v>0</v>
      </c>
      <c r="L192" s="1">
        <v>73.5</v>
      </c>
      <c r="M192" s="37">
        <v>36892</v>
      </c>
      <c r="N192" s="5" t="s">
        <v>25</v>
      </c>
      <c r="O192" s="9">
        <v>0.1</v>
      </c>
      <c r="P192" s="5" t="s">
        <v>26</v>
      </c>
      <c r="Q192" s="2">
        <v>7</v>
      </c>
      <c r="R192" s="5" t="s">
        <v>27</v>
      </c>
      <c r="S192" s="5" t="s">
        <v>32</v>
      </c>
      <c r="T192" s="39">
        <v>480</v>
      </c>
    </row>
    <row r="193" spans="1:20" ht="20.100000000000001" hidden="1" customHeight="1" x14ac:dyDescent="0.25">
      <c r="A193" s="26" t="str">
        <f>CONCATENATE(RIGHT(LEFT(RecebimentoConcreto[[#This Row],[Obra]],5),4),"RCBC",TEXT(RecebimentoConcreto[[#This Row],[Ordem]],"0000"))</f>
        <v>0184RCBC0405</v>
      </c>
      <c r="B193" s="1">
        <v>405</v>
      </c>
      <c r="C193" s="1" t="s">
        <v>21</v>
      </c>
      <c r="D193" s="35">
        <v>44889</v>
      </c>
      <c r="E193" s="1" t="s">
        <v>207</v>
      </c>
      <c r="F193" s="2">
        <v>7864</v>
      </c>
      <c r="G193" s="2">
        <v>5408</v>
      </c>
      <c r="H193" s="2">
        <v>18222</v>
      </c>
      <c r="I193" s="5">
        <v>0.54166666666666663</v>
      </c>
      <c r="K193" s="32">
        <f>_xlfn.MAXIFS(ConsumoConcreto[Fim do Bombeamento],ConsumoConcreto[RecebimentoID],RecebimentoConcreto[[#This Row],[RecebimentoID]])</f>
        <v>0</v>
      </c>
      <c r="L193" s="1">
        <v>72</v>
      </c>
      <c r="M193" s="37">
        <v>36892</v>
      </c>
      <c r="N193" s="5" t="s">
        <v>25</v>
      </c>
      <c r="O193" s="9">
        <v>0.1</v>
      </c>
      <c r="P193" s="5" t="s">
        <v>26</v>
      </c>
      <c r="Q193" s="2">
        <v>7</v>
      </c>
      <c r="R193" s="5" t="s">
        <v>27</v>
      </c>
      <c r="S193" s="5" t="s">
        <v>32</v>
      </c>
      <c r="T193" s="39">
        <v>480</v>
      </c>
    </row>
    <row r="194" spans="1:20" ht="20.100000000000001" hidden="1" customHeight="1" x14ac:dyDescent="0.25">
      <c r="A194" s="26" t="str">
        <f>CONCATENATE(RIGHT(LEFT(RecebimentoConcreto[[#This Row],[Obra]],5),4),"RCBC",TEXT(RecebimentoConcreto[[#This Row],[Ordem]],"0000"))</f>
        <v>0184RCBC0406</v>
      </c>
      <c r="B194" s="1">
        <v>406</v>
      </c>
      <c r="C194" s="1" t="s">
        <v>21</v>
      </c>
      <c r="D194" s="35">
        <v>44889</v>
      </c>
      <c r="E194" s="1" t="s">
        <v>207</v>
      </c>
      <c r="F194" s="2">
        <v>7864</v>
      </c>
      <c r="G194" s="2">
        <v>5408</v>
      </c>
      <c r="H194" s="2">
        <v>18222</v>
      </c>
      <c r="I194" s="5">
        <v>0.54166666666666663</v>
      </c>
      <c r="K194" s="32">
        <f>_xlfn.MAXIFS(ConsumoConcreto[Fim do Bombeamento],ConsumoConcreto[RecebimentoID],RecebimentoConcreto[[#This Row],[RecebimentoID]])</f>
        <v>0</v>
      </c>
      <c r="L194" s="1">
        <v>72</v>
      </c>
      <c r="M194" s="37">
        <v>36892</v>
      </c>
      <c r="N194" s="5" t="s">
        <v>25</v>
      </c>
      <c r="O194" s="9">
        <v>0.1</v>
      </c>
      <c r="P194" s="5" t="s">
        <v>26</v>
      </c>
      <c r="Q194" s="2">
        <v>7</v>
      </c>
      <c r="R194" s="5" t="s">
        <v>27</v>
      </c>
      <c r="S194" s="5" t="s">
        <v>32</v>
      </c>
      <c r="T194" s="39">
        <v>480</v>
      </c>
    </row>
    <row r="195" spans="1:20" ht="20.100000000000001" hidden="1" customHeight="1" x14ac:dyDescent="0.25">
      <c r="A195" s="26" t="str">
        <f>CONCATENATE(RIGHT(LEFT(RecebimentoConcreto[[#This Row],[Obra]],5),4),"RCBC",TEXT(RecebimentoConcreto[[#This Row],[Ordem]],"0000"))</f>
        <v>0184RCBC0407</v>
      </c>
      <c r="B195" s="1">
        <v>407</v>
      </c>
      <c r="C195" s="1" t="s">
        <v>21</v>
      </c>
      <c r="D195" s="35">
        <v>44889</v>
      </c>
      <c r="E195" s="1" t="s">
        <v>207</v>
      </c>
      <c r="F195" s="2">
        <v>7864</v>
      </c>
      <c r="G195" s="2">
        <v>5408</v>
      </c>
      <c r="H195" s="2">
        <v>18222</v>
      </c>
      <c r="I195" s="5">
        <v>0.54166666666666663</v>
      </c>
      <c r="K195" s="32">
        <f>_xlfn.MAXIFS(ConsumoConcreto[Fim do Bombeamento],ConsumoConcreto[RecebimentoID],RecebimentoConcreto[[#This Row],[RecebimentoID]])</f>
        <v>0</v>
      </c>
      <c r="L195" s="1">
        <v>72</v>
      </c>
      <c r="M195" s="37">
        <v>36892</v>
      </c>
      <c r="N195" s="5" t="s">
        <v>25</v>
      </c>
      <c r="O195" s="9">
        <v>0.1</v>
      </c>
      <c r="P195" s="5" t="s">
        <v>26</v>
      </c>
      <c r="Q195" s="2">
        <v>7</v>
      </c>
      <c r="R195" s="5" t="s">
        <v>27</v>
      </c>
      <c r="S195" s="5" t="s">
        <v>32</v>
      </c>
      <c r="T195" s="39">
        <v>480</v>
      </c>
    </row>
    <row r="196" spans="1:20" ht="20.100000000000001" hidden="1" customHeight="1" x14ac:dyDescent="0.25">
      <c r="A196" s="26" t="str">
        <f>CONCATENATE(RIGHT(LEFT(RecebimentoConcreto[[#This Row],[Obra]],5),4),"RCBC",TEXT(RecebimentoConcreto[[#This Row],[Ordem]],"0000"))</f>
        <v>0184RCBC0408</v>
      </c>
      <c r="B196" s="1">
        <v>408</v>
      </c>
      <c r="C196" s="1" t="s">
        <v>21</v>
      </c>
      <c r="D196" s="35">
        <v>44889</v>
      </c>
      <c r="E196" s="1" t="s">
        <v>207</v>
      </c>
      <c r="F196" s="2">
        <v>7864</v>
      </c>
      <c r="G196" s="2">
        <v>5408</v>
      </c>
      <c r="H196" s="2">
        <v>18222</v>
      </c>
      <c r="I196" s="5">
        <v>0.54166666666666663</v>
      </c>
      <c r="K196" s="32">
        <f>_xlfn.MAXIFS(ConsumoConcreto[Fim do Bombeamento],ConsumoConcreto[RecebimentoID],RecebimentoConcreto[[#This Row],[RecebimentoID]])</f>
        <v>0</v>
      </c>
      <c r="L196" s="1">
        <v>72</v>
      </c>
      <c r="M196" s="37">
        <v>36892</v>
      </c>
      <c r="N196" s="5" t="s">
        <v>25</v>
      </c>
      <c r="O196" s="9">
        <v>0.1</v>
      </c>
      <c r="P196" s="5" t="s">
        <v>26</v>
      </c>
      <c r="Q196" s="2">
        <v>7</v>
      </c>
      <c r="R196" s="5" t="s">
        <v>27</v>
      </c>
      <c r="S196" s="5" t="s">
        <v>32</v>
      </c>
      <c r="T196" s="39">
        <v>480</v>
      </c>
    </row>
    <row r="197" spans="1:20" ht="20.100000000000001" hidden="1" customHeight="1" x14ac:dyDescent="0.25">
      <c r="A197" s="26" t="str">
        <f>CONCATENATE(RIGHT(LEFT(RecebimentoConcreto[[#This Row],[Obra]],5),4),"RCBC",TEXT(RecebimentoConcreto[[#This Row],[Ordem]],"0000"))</f>
        <v>0184RCBC0409</v>
      </c>
      <c r="B197" s="1">
        <v>409</v>
      </c>
      <c r="C197" s="1" t="s">
        <v>21</v>
      </c>
      <c r="D197" s="35">
        <v>44889</v>
      </c>
      <c r="E197" s="1" t="s">
        <v>207</v>
      </c>
      <c r="F197" s="2">
        <v>7864</v>
      </c>
      <c r="G197" s="2">
        <v>5408</v>
      </c>
      <c r="H197" s="2">
        <v>18222</v>
      </c>
      <c r="I197" s="5">
        <v>0.54166666666666663</v>
      </c>
      <c r="K197" s="32">
        <f>_xlfn.MAXIFS(ConsumoConcreto[Fim do Bombeamento],ConsumoConcreto[RecebimentoID],RecebimentoConcreto[[#This Row],[RecebimentoID]])</f>
        <v>0</v>
      </c>
      <c r="L197" s="1">
        <v>72</v>
      </c>
      <c r="M197" s="37">
        <v>36892</v>
      </c>
      <c r="N197" s="5" t="s">
        <v>25</v>
      </c>
      <c r="O197" s="9">
        <v>0.1</v>
      </c>
      <c r="P197" s="5" t="s">
        <v>26</v>
      </c>
      <c r="Q197" s="2">
        <v>7</v>
      </c>
      <c r="R197" s="5" t="s">
        <v>27</v>
      </c>
      <c r="S197" s="5" t="s">
        <v>32</v>
      </c>
      <c r="T197" s="39">
        <v>480</v>
      </c>
    </row>
    <row r="198" spans="1:20" ht="20.100000000000001" hidden="1" customHeight="1" x14ac:dyDescent="0.25">
      <c r="A198" s="26" t="str">
        <f>CONCATENATE(RIGHT(LEFT(RecebimentoConcreto[[#This Row],[Obra]],5),4),"RCBC",TEXT(RecebimentoConcreto[[#This Row],[Ordem]],"0000"))</f>
        <v>0184RCBC0427</v>
      </c>
      <c r="B198" s="1">
        <v>427</v>
      </c>
      <c r="C198" s="1" t="s">
        <v>21</v>
      </c>
      <c r="D198" s="35">
        <v>44869</v>
      </c>
      <c r="E198" s="1" t="s">
        <v>404</v>
      </c>
      <c r="F198" s="2" t="s">
        <v>505</v>
      </c>
      <c r="G198" s="2">
        <v>5408</v>
      </c>
      <c r="H198" s="2" t="s">
        <v>506</v>
      </c>
      <c r="I198" s="5" t="s">
        <v>507</v>
      </c>
      <c r="J198" s="5">
        <v>0.78472222222222221</v>
      </c>
      <c r="K198" s="32">
        <f>_xlfn.MAXIFS(ConsumoConcreto[Fim do Bombeamento],ConsumoConcreto[RecebimentoID],RecebimentoConcreto[[#This Row],[RecebimentoID]])</f>
        <v>0.82847222222222217</v>
      </c>
      <c r="L198" s="1" t="s">
        <v>508</v>
      </c>
      <c r="M198" s="37">
        <v>36892</v>
      </c>
      <c r="N198" s="5" t="s">
        <v>25</v>
      </c>
      <c r="O198" s="9">
        <v>14.5</v>
      </c>
      <c r="P198" s="5" t="s">
        <v>26</v>
      </c>
      <c r="Q198" s="2">
        <v>7</v>
      </c>
      <c r="R198" s="5" t="s">
        <v>27</v>
      </c>
      <c r="S198" s="5" t="s">
        <v>32</v>
      </c>
      <c r="T198" s="39">
        <v>480</v>
      </c>
    </row>
    <row r="199" spans="1:20" ht="20.100000000000001" hidden="1" customHeight="1" x14ac:dyDescent="0.25">
      <c r="A199" s="26" t="str">
        <f>CONCATENATE(RIGHT(LEFT(RecebimentoConcreto[[#This Row],[Obra]],5),4),"RCBC",TEXT(RecebimentoConcreto[[#This Row],[Ordem]],"0000"))</f>
        <v>0184RCBC0428</v>
      </c>
      <c r="B199" s="1">
        <v>428</v>
      </c>
      <c r="C199" s="1" t="s">
        <v>21</v>
      </c>
      <c r="D199" s="35">
        <v>44870</v>
      </c>
      <c r="E199" s="1" t="s">
        <v>509</v>
      </c>
      <c r="F199" s="2" t="s">
        <v>510</v>
      </c>
      <c r="G199" s="2">
        <v>5408</v>
      </c>
      <c r="H199" s="2" t="s">
        <v>511</v>
      </c>
      <c r="I199" s="5" t="s">
        <v>512</v>
      </c>
      <c r="J199" s="5">
        <v>0.80763888888888891</v>
      </c>
      <c r="K199" s="32">
        <f>_xlfn.MAXIFS(ConsumoConcreto[Fim do Bombeamento],ConsumoConcreto[RecebimentoID],RecebimentoConcreto[[#This Row],[RecebimentoID]])</f>
        <v>0.86805555555555547</v>
      </c>
      <c r="L199" s="1" t="s">
        <v>513</v>
      </c>
      <c r="M199" s="37">
        <v>36892</v>
      </c>
      <c r="N199" s="5" t="s">
        <v>25</v>
      </c>
      <c r="O199" s="9">
        <v>18.5</v>
      </c>
      <c r="P199" s="5" t="s">
        <v>26</v>
      </c>
      <c r="Q199" s="2">
        <v>7</v>
      </c>
      <c r="R199" s="5" t="s">
        <v>27</v>
      </c>
      <c r="S199" s="5" t="s">
        <v>32</v>
      </c>
      <c r="T199" s="39">
        <v>480</v>
      </c>
    </row>
    <row r="200" spans="1:20" ht="20.100000000000001" hidden="1" customHeight="1" x14ac:dyDescent="0.25">
      <c r="A200" s="26" t="str">
        <f>CONCATENATE(RIGHT(LEFT(RecebimentoConcreto[[#This Row],[Obra]],5),4),"RCBC",TEXT(RecebimentoConcreto[[#This Row],[Ordem]],"0000"))</f>
        <v>0184RCBC0429</v>
      </c>
      <c r="B200" s="1">
        <v>429</v>
      </c>
      <c r="C200" s="1" t="s">
        <v>21</v>
      </c>
      <c r="D200" s="35">
        <v>44873</v>
      </c>
      <c r="E200" s="1" t="s">
        <v>514</v>
      </c>
      <c r="F200" s="2" t="s">
        <v>515</v>
      </c>
      <c r="G200" s="2">
        <v>5408</v>
      </c>
      <c r="H200" s="2" t="s">
        <v>516</v>
      </c>
      <c r="I200" s="5" t="s">
        <v>517</v>
      </c>
      <c r="J200" s="5">
        <v>0.73749999999999993</v>
      </c>
      <c r="K200" s="32">
        <f>_xlfn.MAXIFS(ConsumoConcreto[Fim do Bombeamento],ConsumoConcreto[RecebimentoID],RecebimentoConcreto[[#This Row],[RecebimentoID]])</f>
        <v>0.79236111111111107</v>
      </c>
      <c r="L200" s="1" t="s">
        <v>518</v>
      </c>
      <c r="M200" s="37">
        <v>36892</v>
      </c>
      <c r="N200" s="5" t="s">
        <v>25</v>
      </c>
      <c r="O200" s="9">
        <v>18.5</v>
      </c>
      <c r="P200" s="5" t="s">
        <v>26</v>
      </c>
      <c r="Q200" s="2">
        <v>7</v>
      </c>
      <c r="R200" s="5" t="s">
        <v>27</v>
      </c>
      <c r="S200" s="5" t="s">
        <v>32</v>
      </c>
      <c r="T200" s="39">
        <v>480</v>
      </c>
    </row>
    <row r="201" spans="1:20" ht="20.100000000000001" hidden="1" customHeight="1" x14ac:dyDescent="0.25">
      <c r="A201" s="26" t="str">
        <f>CONCATENATE(RIGHT(LEFT(RecebimentoConcreto[[#This Row],[Obra]],5),4),"RCBC",TEXT(RecebimentoConcreto[[#This Row],[Ordem]],"0000"))</f>
        <v>0184RCBC0430</v>
      </c>
      <c r="B201" s="1">
        <v>430</v>
      </c>
      <c r="C201" s="1" t="s">
        <v>21</v>
      </c>
      <c r="D201" s="35">
        <v>44873</v>
      </c>
      <c r="E201" s="1" t="s">
        <v>519</v>
      </c>
      <c r="F201" s="2" t="s">
        <v>520</v>
      </c>
      <c r="G201" s="2">
        <v>5408</v>
      </c>
      <c r="H201" s="2" t="s">
        <v>521</v>
      </c>
      <c r="I201" s="5" t="s">
        <v>522</v>
      </c>
      <c r="J201" s="5">
        <v>0.79722222222222217</v>
      </c>
      <c r="K201" s="32">
        <f>_xlfn.MAXIFS(ConsumoConcreto[Fim do Bombeamento],ConsumoConcreto[RecebimentoID],RecebimentoConcreto[[#This Row],[RecebimentoID]])</f>
        <v>0.82291666666666663</v>
      </c>
      <c r="L201" s="1" t="s">
        <v>523</v>
      </c>
      <c r="M201" s="37">
        <v>36892</v>
      </c>
      <c r="N201" s="5" t="s">
        <v>25</v>
      </c>
      <c r="O201" s="9">
        <v>14</v>
      </c>
      <c r="P201" s="5" t="s">
        <v>26</v>
      </c>
      <c r="Q201" s="2">
        <v>7</v>
      </c>
      <c r="R201" s="5" t="s">
        <v>27</v>
      </c>
      <c r="S201" s="5" t="s">
        <v>32</v>
      </c>
      <c r="T201" s="39">
        <v>480</v>
      </c>
    </row>
    <row r="202" spans="1:20" ht="20.100000000000001" hidden="1" customHeight="1" x14ac:dyDescent="0.25">
      <c r="A202" s="26" t="str">
        <f>CONCATENATE(RIGHT(LEFT(RecebimentoConcreto[[#This Row],[Obra]],5),4),"RCBC",TEXT(RecebimentoConcreto[[#This Row],[Ordem]],"0000"))</f>
        <v>0184RCBC0431</v>
      </c>
      <c r="B202" s="1">
        <v>431</v>
      </c>
      <c r="C202" s="1" t="s">
        <v>21</v>
      </c>
      <c r="D202" s="35">
        <v>44875</v>
      </c>
      <c r="E202" s="1" t="s">
        <v>438</v>
      </c>
      <c r="F202" s="2" t="s">
        <v>524</v>
      </c>
      <c r="G202" s="2">
        <v>5408</v>
      </c>
      <c r="H202" s="2" t="s">
        <v>525</v>
      </c>
      <c r="I202" s="5" t="s">
        <v>526</v>
      </c>
      <c r="J202" s="5">
        <v>0.72361111111111109</v>
      </c>
      <c r="K202" s="32">
        <f>_xlfn.MAXIFS(ConsumoConcreto[Fim do Bombeamento],ConsumoConcreto[RecebimentoID],RecebimentoConcreto[[#This Row],[RecebimentoID]])</f>
        <v>0.75138888888888899</v>
      </c>
      <c r="L202" s="1" t="s">
        <v>527</v>
      </c>
      <c r="M202" s="37">
        <v>36892</v>
      </c>
      <c r="N202" s="5" t="s">
        <v>25</v>
      </c>
      <c r="O202" s="9">
        <v>14.5</v>
      </c>
      <c r="P202" s="5" t="s">
        <v>26</v>
      </c>
      <c r="Q202" s="2">
        <v>7</v>
      </c>
      <c r="R202" s="5" t="s">
        <v>27</v>
      </c>
      <c r="S202" s="5" t="s">
        <v>32</v>
      </c>
      <c r="T202" s="39">
        <v>480</v>
      </c>
    </row>
    <row r="203" spans="1:20" ht="20.100000000000001" hidden="1" customHeight="1" x14ac:dyDescent="0.25">
      <c r="A203" s="26" t="str">
        <f>CONCATENATE(RIGHT(LEFT(RecebimentoConcreto[[#This Row],[Obra]],5),4),"RCBC",TEXT(RecebimentoConcreto[[#This Row],[Ordem]],"0000"))</f>
        <v>0184RCBC0432</v>
      </c>
      <c r="B203" s="1">
        <v>432</v>
      </c>
      <c r="C203" s="1" t="s">
        <v>21</v>
      </c>
      <c r="D203" s="35">
        <v>44877</v>
      </c>
      <c r="E203" s="1" t="s">
        <v>528</v>
      </c>
      <c r="F203" s="2" t="s">
        <v>529</v>
      </c>
      <c r="G203" s="2">
        <v>5408</v>
      </c>
      <c r="H203" s="2" t="s">
        <v>530</v>
      </c>
      <c r="I203" s="5" t="s">
        <v>531</v>
      </c>
      <c r="J203" s="5">
        <v>0.45069444444444445</v>
      </c>
      <c r="K203" s="32">
        <f>_xlfn.MAXIFS(ConsumoConcreto[Fim do Bombeamento],ConsumoConcreto[RecebimentoID],RecebimentoConcreto[[#This Row],[RecebimentoID]])</f>
        <v>0.47916666666666669</v>
      </c>
      <c r="L203" s="1" t="s">
        <v>532</v>
      </c>
      <c r="M203" s="37">
        <v>36892</v>
      </c>
      <c r="N203" s="5" t="s">
        <v>25</v>
      </c>
      <c r="O203" s="9">
        <v>14</v>
      </c>
      <c r="P203" s="5" t="s">
        <v>26</v>
      </c>
      <c r="Q203" s="2">
        <v>7</v>
      </c>
      <c r="R203" s="5" t="s">
        <v>27</v>
      </c>
      <c r="S203" s="5" t="s">
        <v>32</v>
      </c>
      <c r="T203" s="39">
        <v>480</v>
      </c>
    </row>
    <row r="204" spans="1:20" ht="20.100000000000001" hidden="1" customHeight="1" x14ac:dyDescent="0.25">
      <c r="A204" s="26" t="str">
        <f>CONCATENATE(RIGHT(LEFT(RecebimentoConcreto[[#This Row],[Obra]],5),4),"RCBC",TEXT(RecebimentoConcreto[[#This Row],[Ordem]],"0000"))</f>
        <v>0184RCBC0433</v>
      </c>
      <c r="B204" s="1">
        <v>433</v>
      </c>
      <c r="C204" s="1" t="s">
        <v>21</v>
      </c>
      <c r="D204" s="35">
        <v>44877</v>
      </c>
      <c r="E204" s="1" t="s">
        <v>533</v>
      </c>
      <c r="F204" s="2" t="s">
        <v>534</v>
      </c>
      <c r="G204" s="2">
        <v>5408</v>
      </c>
      <c r="H204" s="2" t="s">
        <v>535</v>
      </c>
      <c r="I204" s="5" t="s">
        <v>536</v>
      </c>
      <c r="J204" s="5">
        <v>0.3576388888888889</v>
      </c>
      <c r="K204" s="32">
        <f>_xlfn.MAXIFS(ConsumoConcreto[Fim do Bombeamento],ConsumoConcreto[RecebimentoID],RecebimentoConcreto[[#This Row],[RecebimentoID]])</f>
        <v>0.39861111111111108</v>
      </c>
      <c r="L204" s="1" t="s">
        <v>537</v>
      </c>
      <c r="M204" s="37">
        <v>36892</v>
      </c>
      <c r="N204" s="5" t="s">
        <v>25</v>
      </c>
      <c r="O204" s="9">
        <v>18.5</v>
      </c>
      <c r="P204" s="5" t="s">
        <v>26</v>
      </c>
      <c r="Q204" s="2">
        <v>7</v>
      </c>
      <c r="R204" s="5" t="s">
        <v>27</v>
      </c>
      <c r="S204" s="5" t="s">
        <v>32</v>
      </c>
      <c r="T204" s="39">
        <v>480</v>
      </c>
    </row>
    <row r="205" spans="1:20" ht="20.100000000000001" hidden="1" customHeight="1" x14ac:dyDescent="0.25">
      <c r="A205" s="26" t="str">
        <f>CONCATENATE(RIGHT(LEFT(RecebimentoConcreto[[#This Row],[Obra]],5),4),"RCBC",TEXT(RecebimentoConcreto[[#This Row],[Ordem]],"0000"))</f>
        <v>0184RCBC0434</v>
      </c>
      <c r="B205" s="1">
        <v>434</v>
      </c>
      <c r="C205" s="1" t="s">
        <v>21</v>
      </c>
      <c r="D205" s="35">
        <v>44879</v>
      </c>
      <c r="E205" s="1" t="s">
        <v>538</v>
      </c>
      <c r="F205" s="2" t="s">
        <v>539</v>
      </c>
      <c r="G205" s="2">
        <v>5408</v>
      </c>
      <c r="H205" s="2" t="s">
        <v>540</v>
      </c>
      <c r="I205" s="5" t="s">
        <v>541</v>
      </c>
      <c r="J205" s="5">
        <v>0.80208333333333337</v>
      </c>
      <c r="K205" s="32">
        <f>_xlfn.MAXIFS(ConsumoConcreto[Fim do Bombeamento],ConsumoConcreto[RecebimentoID],RecebimentoConcreto[[#This Row],[RecebimentoID]])</f>
        <v>0.84375</v>
      </c>
      <c r="L205" s="1" t="s">
        <v>542</v>
      </c>
      <c r="M205" s="37">
        <v>36892</v>
      </c>
      <c r="N205" s="5" t="s">
        <v>25</v>
      </c>
      <c r="O205" s="9">
        <v>14.5</v>
      </c>
      <c r="P205" s="5" t="s">
        <v>26</v>
      </c>
      <c r="Q205" s="2">
        <v>7</v>
      </c>
      <c r="R205" s="5" t="s">
        <v>27</v>
      </c>
      <c r="S205" s="5" t="s">
        <v>32</v>
      </c>
      <c r="T205" s="39">
        <v>480</v>
      </c>
    </row>
    <row r="206" spans="1:20" ht="20.100000000000001" hidden="1" customHeight="1" x14ac:dyDescent="0.25">
      <c r="A206" s="26" t="str">
        <f>CONCATENATE(RIGHT(LEFT(RecebimentoConcreto[[#This Row],[Obra]],5),4),"RCBC",TEXT(RecebimentoConcreto[[#This Row],[Ordem]],"0000"))</f>
        <v>0184RCBC0435</v>
      </c>
      <c r="B206" s="1">
        <v>435</v>
      </c>
      <c r="C206" s="1" t="s">
        <v>21</v>
      </c>
      <c r="D206" s="35">
        <v>44881</v>
      </c>
      <c r="E206" s="1" t="s">
        <v>152</v>
      </c>
      <c r="F206" s="2" t="s">
        <v>543</v>
      </c>
      <c r="G206" s="2">
        <v>5408</v>
      </c>
      <c r="H206" s="2" t="s">
        <v>544</v>
      </c>
      <c r="I206" s="5" t="s">
        <v>545</v>
      </c>
      <c r="J206" s="5">
        <v>0.8618055555555556</v>
      </c>
      <c r="K206" s="32">
        <f>_xlfn.MAXIFS(ConsumoConcreto[Fim do Bombeamento],ConsumoConcreto[RecebimentoID],RecebimentoConcreto[[#This Row],[RecebimentoID]])</f>
        <v>0.8881944444444444</v>
      </c>
      <c r="L206" s="1" t="s">
        <v>546</v>
      </c>
      <c r="M206" s="37">
        <v>36892</v>
      </c>
      <c r="N206" s="5" t="s">
        <v>25</v>
      </c>
      <c r="O206" s="9">
        <v>14.5</v>
      </c>
      <c r="P206" s="5" t="s">
        <v>26</v>
      </c>
      <c r="Q206" s="2">
        <v>7</v>
      </c>
      <c r="R206" s="5" t="s">
        <v>27</v>
      </c>
      <c r="S206" s="5" t="s">
        <v>32</v>
      </c>
      <c r="T206" s="39">
        <v>480</v>
      </c>
    </row>
    <row r="207" spans="1:20" ht="20.100000000000001" hidden="1" customHeight="1" x14ac:dyDescent="0.25">
      <c r="A207" s="26" t="str">
        <f>CONCATENATE(RIGHT(LEFT(RecebimentoConcreto[[#This Row],[Obra]],5),4),"RCBC",TEXT(RecebimentoConcreto[[#This Row],[Ordem]],"0000"))</f>
        <v>0184RCBC0436</v>
      </c>
      <c r="B207" s="1">
        <v>436</v>
      </c>
      <c r="C207" s="1" t="s">
        <v>21</v>
      </c>
      <c r="D207" s="35">
        <v>44881</v>
      </c>
      <c r="E207" s="1" t="s">
        <v>547</v>
      </c>
      <c r="F207" s="2" t="s">
        <v>548</v>
      </c>
      <c r="G207" s="2">
        <v>5408</v>
      </c>
      <c r="H207" s="2" t="s">
        <v>549</v>
      </c>
      <c r="I207" s="5" t="s">
        <v>550</v>
      </c>
      <c r="J207" s="5">
        <v>0.90694444444444444</v>
      </c>
      <c r="K207" s="32">
        <f>_xlfn.MAXIFS(ConsumoConcreto[Fim do Bombeamento],ConsumoConcreto[RecebimentoID],RecebimentoConcreto[[#This Row],[RecebimentoID]])</f>
        <v>0.96875</v>
      </c>
      <c r="L207" s="1" t="s">
        <v>551</v>
      </c>
      <c r="M207" s="37">
        <v>36892</v>
      </c>
      <c r="N207" s="5" t="s">
        <v>25</v>
      </c>
      <c r="O207" s="9">
        <v>18</v>
      </c>
      <c r="P207" s="5" t="s">
        <v>26</v>
      </c>
      <c r="Q207" s="2">
        <v>7</v>
      </c>
      <c r="R207" s="5" t="s">
        <v>27</v>
      </c>
      <c r="S207" s="5" t="s">
        <v>32</v>
      </c>
      <c r="T207" s="39">
        <v>480</v>
      </c>
    </row>
    <row r="208" spans="1:20" ht="20.100000000000001" hidden="1" customHeight="1" x14ac:dyDescent="0.25">
      <c r="A208" s="26" t="str">
        <f>CONCATENATE(RIGHT(LEFT(RecebimentoConcreto[[#This Row],[Obra]],5),4),"RCBC",TEXT(RecebimentoConcreto[[#This Row],[Ordem]],"0000"))</f>
        <v>0184RCBC0437</v>
      </c>
      <c r="B208" s="1">
        <v>437</v>
      </c>
      <c r="C208" s="1" t="s">
        <v>21</v>
      </c>
      <c r="D208" s="35">
        <v>44882</v>
      </c>
      <c r="E208" s="1" t="s">
        <v>107</v>
      </c>
      <c r="F208" s="2" t="s">
        <v>552</v>
      </c>
      <c r="G208" s="2">
        <v>5408</v>
      </c>
      <c r="H208" s="2" t="s">
        <v>553</v>
      </c>
      <c r="I208" s="5" t="s">
        <v>554</v>
      </c>
      <c r="J208" s="5">
        <v>0.83819444444444446</v>
      </c>
      <c r="K208" s="32">
        <f>_xlfn.MAXIFS(ConsumoConcreto[Fim do Bombeamento],ConsumoConcreto[RecebimentoID],RecebimentoConcreto[[#This Row],[RecebimentoID]])</f>
        <v>0.89236111111111116</v>
      </c>
      <c r="L208" s="1" t="s">
        <v>555</v>
      </c>
      <c r="M208" s="37">
        <v>36892</v>
      </c>
      <c r="N208" s="5" t="s">
        <v>25</v>
      </c>
      <c r="O208" s="9">
        <v>14.5</v>
      </c>
      <c r="P208" s="5" t="s">
        <v>26</v>
      </c>
      <c r="Q208" s="2">
        <v>7</v>
      </c>
      <c r="R208" s="5" t="s">
        <v>27</v>
      </c>
      <c r="S208" s="5" t="s">
        <v>32</v>
      </c>
      <c r="T208" s="39">
        <v>480</v>
      </c>
    </row>
    <row r="209" spans="1:20" ht="20.100000000000001" hidden="1" customHeight="1" x14ac:dyDescent="0.25">
      <c r="A209" s="26" t="str">
        <f>CONCATENATE(RIGHT(LEFT(RecebimentoConcreto[[#This Row],[Obra]],5),4),"RCBC",TEXT(RecebimentoConcreto[[#This Row],[Ordem]],"0000"))</f>
        <v>0184RCBC0438</v>
      </c>
      <c r="B209" s="1">
        <v>438</v>
      </c>
      <c r="C209" s="1" t="s">
        <v>21</v>
      </c>
      <c r="D209" s="35">
        <v>44883</v>
      </c>
      <c r="E209" s="1" t="s">
        <v>556</v>
      </c>
      <c r="F209" s="2" t="s">
        <v>557</v>
      </c>
      <c r="G209" s="2">
        <v>5408</v>
      </c>
      <c r="H209" s="2" t="s">
        <v>558</v>
      </c>
      <c r="I209" s="5" t="s">
        <v>559</v>
      </c>
      <c r="J209" s="5">
        <v>0.70486111111111116</v>
      </c>
      <c r="K209" s="32">
        <f>_xlfn.MAXIFS(ConsumoConcreto[Fim do Bombeamento],ConsumoConcreto[RecebimentoID],RecebimentoConcreto[[#This Row],[RecebimentoID]])</f>
        <v>0.80486111111111114</v>
      </c>
      <c r="L209" s="1" t="s">
        <v>560</v>
      </c>
      <c r="M209" s="37">
        <v>36892</v>
      </c>
      <c r="N209" s="5" t="s">
        <v>25</v>
      </c>
      <c r="O209" s="9">
        <v>18.5</v>
      </c>
      <c r="P209" s="5" t="s">
        <v>26</v>
      </c>
      <c r="Q209" s="2">
        <v>7</v>
      </c>
      <c r="R209" s="5" t="s">
        <v>27</v>
      </c>
      <c r="S209" s="5" t="s">
        <v>32</v>
      </c>
      <c r="T209" s="39">
        <v>480</v>
      </c>
    </row>
    <row r="210" spans="1:20" ht="20.100000000000001" hidden="1" customHeight="1" x14ac:dyDescent="0.25">
      <c r="A210" s="26" t="str">
        <f>CONCATENATE(RIGHT(LEFT(RecebimentoConcreto[[#This Row],[Obra]],5),4),"RCBC",TEXT(RecebimentoConcreto[[#This Row],[Ordem]],"0000"))</f>
        <v>0184RCBC0439</v>
      </c>
      <c r="B210" s="1">
        <v>439</v>
      </c>
      <c r="C210" s="1" t="s">
        <v>21</v>
      </c>
      <c r="D210" s="35">
        <v>44887</v>
      </c>
      <c r="E210" s="1" t="s">
        <v>561</v>
      </c>
      <c r="F210" s="2" t="s">
        <v>562</v>
      </c>
      <c r="G210" s="2">
        <v>5408</v>
      </c>
      <c r="H210" s="2" t="s">
        <v>563</v>
      </c>
      <c r="I210" s="5" t="s">
        <v>564</v>
      </c>
      <c r="J210" s="5">
        <v>0.56319444444444444</v>
      </c>
      <c r="K210" s="32">
        <f>_xlfn.MAXIFS(ConsumoConcreto[Fim do Bombeamento],ConsumoConcreto[RecebimentoID],RecebimentoConcreto[[#This Row],[RecebimentoID]])</f>
        <v>0.61736111111111114</v>
      </c>
      <c r="L210" s="1" t="s">
        <v>565</v>
      </c>
      <c r="M210" s="37">
        <v>36892</v>
      </c>
      <c r="N210" s="5" t="s">
        <v>25</v>
      </c>
      <c r="O210" s="9">
        <v>18.399999999999999</v>
      </c>
      <c r="P210" s="5" t="s">
        <v>26</v>
      </c>
      <c r="Q210" s="2">
        <v>7</v>
      </c>
      <c r="R210" s="5" t="s">
        <v>27</v>
      </c>
      <c r="S210" s="5" t="s">
        <v>32</v>
      </c>
      <c r="T210" s="39">
        <v>480</v>
      </c>
    </row>
    <row r="211" spans="1:20" ht="20.100000000000001" hidden="1" customHeight="1" x14ac:dyDescent="0.25">
      <c r="A211" s="26" t="str">
        <f>CONCATENATE(RIGHT(LEFT(RecebimentoConcreto[[#This Row],[Obra]],5),4),"RCBC",TEXT(RecebimentoConcreto[[#This Row],[Ordem]],"0000"))</f>
        <v>0184RCBC0440</v>
      </c>
      <c r="B211" s="1">
        <v>440</v>
      </c>
      <c r="C211" s="1" t="s">
        <v>21</v>
      </c>
      <c r="D211" s="35">
        <v>44889</v>
      </c>
      <c r="E211" s="1" t="s">
        <v>566</v>
      </c>
      <c r="F211" s="2" t="s">
        <v>567</v>
      </c>
      <c r="G211" s="2">
        <v>5408</v>
      </c>
      <c r="H211" s="2" t="s">
        <v>568</v>
      </c>
      <c r="I211" s="5" t="s">
        <v>569</v>
      </c>
      <c r="J211" s="5">
        <v>0.61527777777777781</v>
      </c>
      <c r="K211" s="32">
        <f>_xlfn.MAXIFS(ConsumoConcreto[Fim do Bombeamento],ConsumoConcreto[RecebimentoID],RecebimentoConcreto[[#This Row],[RecebimentoID]])</f>
        <v>0.67152777777777783</v>
      </c>
      <c r="L211" s="1" t="s">
        <v>570</v>
      </c>
      <c r="M211" s="37">
        <v>36892</v>
      </c>
      <c r="N211" s="5" t="s">
        <v>25</v>
      </c>
      <c r="O211" s="9">
        <v>18</v>
      </c>
      <c r="P211" s="5" t="s">
        <v>26</v>
      </c>
      <c r="Q211" s="2">
        <v>7</v>
      </c>
      <c r="R211" s="5" t="s">
        <v>27</v>
      </c>
      <c r="S211" s="5" t="s">
        <v>32</v>
      </c>
      <c r="T211" s="39">
        <v>480</v>
      </c>
    </row>
    <row r="212" spans="1:20" ht="20.100000000000001" hidden="1" customHeight="1" x14ac:dyDescent="0.25">
      <c r="A212" s="26" t="str">
        <f>CONCATENATE(RIGHT(LEFT(RecebimentoConcreto[[#This Row],[Obra]],5),4),"RCBC",TEXT(RecebimentoConcreto[[#This Row],[Ordem]],"0000"))</f>
        <v>0184RCBC0441</v>
      </c>
      <c r="B212" s="1">
        <v>441</v>
      </c>
      <c r="C212" s="1" t="s">
        <v>21</v>
      </c>
      <c r="D212" s="35">
        <v>44567</v>
      </c>
      <c r="E212" s="1" t="s">
        <v>571</v>
      </c>
      <c r="F212" s="2" t="s">
        <v>572</v>
      </c>
      <c r="G212" s="2">
        <v>58691</v>
      </c>
      <c r="H212" s="2" t="s">
        <v>573</v>
      </c>
      <c r="I212" s="5" t="s">
        <v>574</v>
      </c>
      <c r="J212" s="5">
        <v>0.72361111111111109</v>
      </c>
      <c r="K212" s="32">
        <f>_xlfn.MAXIFS(ConsumoConcreto[Fim do Bombeamento],ConsumoConcreto[RecebimentoID],RecebimentoConcreto[[#This Row],[RecebimentoID]])</f>
        <v>0.76597222222222217</v>
      </c>
      <c r="L212" s="1" t="s">
        <v>575</v>
      </c>
      <c r="M212" s="37">
        <v>36892</v>
      </c>
      <c r="N212" s="5" t="s">
        <v>25</v>
      </c>
      <c r="O212" s="9">
        <v>18</v>
      </c>
      <c r="P212" s="5" t="s">
        <v>26</v>
      </c>
      <c r="Q212" s="2"/>
      <c r="R212" s="5" t="s">
        <v>27</v>
      </c>
      <c r="S212" s="5" t="s">
        <v>500</v>
      </c>
      <c r="T212" s="39">
        <v>520</v>
      </c>
    </row>
    <row r="213" spans="1:20" ht="20.100000000000001" hidden="1" customHeight="1" x14ac:dyDescent="0.25">
      <c r="A213" s="26" t="str">
        <f>CONCATENATE(RIGHT(LEFT(RecebimentoConcreto[[#This Row],[Obra]],5),4),"RCBC",TEXT(RecebimentoConcreto[[#This Row],[Ordem]],"0000"))</f>
        <v>0184RCBC0456</v>
      </c>
      <c r="B213" s="1">
        <v>456</v>
      </c>
      <c r="C213" s="1" t="s">
        <v>21</v>
      </c>
      <c r="D213" s="35">
        <v>44917</v>
      </c>
      <c r="E213" s="1" t="s">
        <v>576</v>
      </c>
      <c r="F213" s="2" t="s">
        <v>577</v>
      </c>
      <c r="G213" s="2">
        <v>58691</v>
      </c>
      <c r="H213" s="2" t="s">
        <v>578</v>
      </c>
      <c r="I213" s="5" t="s">
        <v>579</v>
      </c>
      <c r="J213" s="5">
        <v>0.61041666666666672</v>
      </c>
      <c r="K213" s="32">
        <f>_xlfn.MAXIFS(ConsumoConcreto[Fim do Bombeamento],ConsumoConcreto[RecebimentoID],RecebimentoConcreto[[#This Row],[RecebimentoID]])</f>
        <v>0.67083333333333339</v>
      </c>
      <c r="L213" s="1" t="s">
        <v>580</v>
      </c>
      <c r="M213" s="37">
        <v>36892</v>
      </c>
      <c r="N213" s="5" t="s">
        <v>25</v>
      </c>
      <c r="O213" s="9">
        <v>18.5</v>
      </c>
      <c r="P213" s="5" t="s">
        <v>26</v>
      </c>
      <c r="Q213" s="2"/>
      <c r="R213" s="5" t="s">
        <v>27</v>
      </c>
      <c r="S213" s="5" t="s">
        <v>500</v>
      </c>
      <c r="T213" s="39">
        <v>520</v>
      </c>
    </row>
    <row r="214" spans="1:20" ht="20.100000000000001" hidden="1" customHeight="1" x14ac:dyDescent="0.25">
      <c r="A214" s="26" t="str">
        <f>CONCATENATE(RIGHT(LEFT(RecebimentoConcreto[[#This Row],[Obra]],5),4),"RCBC",TEXT(RecebimentoConcreto[[#This Row],[Ordem]],"0000"))</f>
        <v>0184RCBC0457</v>
      </c>
      <c r="B214" s="1">
        <v>457</v>
      </c>
      <c r="C214" s="1" t="s">
        <v>21</v>
      </c>
      <c r="D214" s="35">
        <v>44922</v>
      </c>
      <c r="E214" s="1" t="s">
        <v>581</v>
      </c>
      <c r="F214" s="2" t="s">
        <v>582</v>
      </c>
      <c r="G214" s="2">
        <v>58691</v>
      </c>
      <c r="H214" s="2" t="s">
        <v>583</v>
      </c>
      <c r="I214" s="5" t="s">
        <v>584</v>
      </c>
      <c r="J214" s="5">
        <v>0.58680555555555558</v>
      </c>
      <c r="K214" s="32">
        <f>_xlfn.MAXIFS(ConsumoConcreto[Fim do Bombeamento],ConsumoConcreto[RecebimentoID],RecebimentoConcreto[[#This Row],[RecebimentoID]])</f>
        <v>0.67152777777777783</v>
      </c>
      <c r="L214" s="1" t="s">
        <v>570</v>
      </c>
      <c r="M214" s="37">
        <v>36892</v>
      </c>
      <c r="N214" s="5" t="s">
        <v>25</v>
      </c>
      <c r="O214" s="9">
        <v>18.5</v>
      </c>
      <c r="P214" s="5" t="s">
        <v>26</v>
      </c>
      <c r="Q214" s="2"/>
      <c r="R214" s="5" t="s">
        <v>27</v>
      </c>
      <c r="S214" s="5" t="s">
        <v>500</v>
      </c>
      <c r="T214" s="39">
        <v>520</v>
      </c>
    </row>
    <row r="215" spans="1:20" ht="20.100000000000001" hidden="1" customHeight="1" x14ac:dyDescent="0.25">
      <c r="A215" s="26" t="str">
        <f>CONCATENATE(RIGHT(LEFT(RecebimentoConcreto[[#This Row],[Obra]],5),4),"RCBC",TEXT(RecebimentoConcreto[[#This Row],[Ordem]],"0000"))</f>
        <v>0184RCBC0458</v>
      </c>
      <c r="B215" s="1">
        <v>458</v>
      </c>
      <c r="C215" s="1" t="s">
        <v>21</v>
      </c>
      <c r="D215" s="35">
        <v>44922</v>
      </c>
      <c r="E215" s="1" t="s">
        <v>585</v>
      </c>
      <c r="F215" s="2" t="s">
        <v>586</v>
      </c>
      <c r="G215" s="2">
        <v>58691</v>
      </c>
      <c r="H215" s="2" t="s">
        <v>587</v>
      </c>
      <c r="I215" s="5" t="s">
        <v>588</v>
      </c>
      <c r="J215" s="5">
        <v>0.6743055555555556</v>
      </c>
      <c r="K215" s="32">
        <f>_xlfn.MAXIFS(ConsumoConcreto[Fim do Bombeamento],ConsumoConcreto[RecebimentoID],RecebimentoConcreto[[#This Row],[RecebimentoID]])</f>
        <v>0.70833333333333337</v>
      </c>
      <c r="L215" s="1" t="s">
        <v>589</v>
      </c>
      <c r="M215" s="37">
        <v>36892</v>
      </c>
      <c r="N215" s="5" t="s">
        <v>25</v>
      </c>
      <c r="O215" s="9">
        <v>14</v>
      </c>
      <c r="P215" s="5" t="s">
        <v>26</v>
      </c>
      <c r="Q215" s="2"/>
      <c r="R215" s="5" t="s">
        <v>27</v>
      </c>
      <c r="S215" s="5" t="s">
        <v>500</v>
      </c>
      <c r="T215" s="39">
        <v>520</v>
      </c>
    </row>
    <row r="216" spans="1:20" ht="20.100000000000001" hidden="1" customHeight="1" x14ac:dyDescent="0.25">
      <c r="A216" s="26" t="str">
        <f>CONCATENATE(RIGHT(LEFT(RecebimentoConcreto[[#This Row],[Obra]],5),4),"RCBC",TEXT(RecebimentoConcreto[[#This Row],[Ordem]],"0000"))</f>
        <v>0184RCBC0459</v>
      </c>
      <c r="B216" s="1">
        <v>459</v>
      </c>
      <c r="C216" s="1" t="s">
        <v>21</v>
      </c>
      <c r="D216" s="35">
        <v>44923</v>
      </c>
      <c r="E216" s="1" t="s">
        <v>590</v>
      </c>
      <c r="F216" s="2" t="s">
        <v>591</v>
      </c>
      <c r="G216" s="2">
        <v>5408</v>
      </c>
      <c r="H216" s="2" t="s">
        <v>592</v>
      </c>
      <c r="I216" s="5" t="s">
        <v>593</v>
      </c>
      <c r="J216" s="5">
        <v>0.82986111111111116</v>
      </c>
      <c r="K216" s="32">
        <f>_xlfn.MAXIFS(ConsumoConcreto[Fim do Bombeamento],ConsumoConcreto[RecebimentoID],RecebimentoConcreto[[#This Row],[RecebimentoID]])</f>
        <v>0.89722222222222225</v>
      </c>
      <c r="L216" s="1" t="s">
        <v>594</v>
      </c>
      <c r="M216" s="37">
        <v>36892</v>
      </c>
      <c r="N216" s="5" t="s">
        <v>25</v>
      </c>
      <c r="O216" s="9">
        <v>18.5</v>
      </c>
      <c r="P216" s="5" t="s">
        <v>26</v>
      </c>
      <c r="Q216" s="2">
        <v>7</v>
      </c>
      <c r="R216" s="5" t="s">
        <v>27</v>
      </c>
      <c r="S216" s="5" t="s">
        <v>32</v>
      </c>
      <c r="T216" s="39">
        <v>480</v>
      </c>
    </row>
    <row r="217" spans="1:20" ht="20.100000000000001" hidden="1" customHeight="1" x14ac:dyDescent="0.25">
      <c r="A217" s="26" t="str">
        <f>CONCATENATE(RIGHT(LEFT(RecebimentoConcreto[[#This Row],[Obra]],5),4),"RCBC",TEXT(RecebimentoConcreto[[#This Row],[Ordem]],"0000"))</f>
        <v>0184RCBC0460</v>
      </c>
      <c r="B217" s="1">
        <v>460</v>
      </c>
      <c r="C217" s="1" t="s">
        <v>21</v>
      </c>
      <c r="D217" s="35">
        <v>44923</v>
      </c>
      <c r="E217" s="1" t="s">
        <v>107</v>
      </c>
      <c r="F217" s="2" t="s">
        <v>595</v>
      </c>
      <c r="G217" s="2">
        <v>5408</v>
      </c>
      <c r="H217" s="2" t="s">
        <v>596</v>
      </c>
      <c r="I217" s="5" t="s">
        <v>597</v>
      </c>
      <c r="J217" s="5">
        <v>0.8979166666666667</v>
      </c>
      <c r="K217" s="32">
        <f>_xlfn.MAXIFS(ConsumoConcreto[Fim do Bombeamento],ConsumoConcreto[RecebimentoID],RecebimentoConcreto[[#This Row],[RecebimentoID]])</f>
        <v>0.9375</v>
      </c>
      <c r="L217" s="1" t="s">
        <v>598</v>
      </c>
      <c r="M217" s="37">
        <v>36892</v>
      </c>
      <c r="N217" s="5" t="s">
        <v>25</v>
      </c>
      <c r="O217" s="9">
        <v>14</v>
      </c>
      <c r="P217" s="5" t="s">
        <v>26</v>
      </c>
      <c r="Q217" s="2">
        <v>7</v>
      </c>
      <c r="R217" s="5" t="s">
        <v>27</v>
      </c>
      <c r="S217" s="5" t="s">
        <v>32</v>
      </c>
      <c r="T217" s="39">
        <v>480</v>
      </c>
    </row>
    <row r="218" spans="1:20" ht="20.100000000000001" hidden="1" customHeight="1" x14ac:dyDescent="0.25">
      <c r="A218" s="26" t="str">
        <f>CONCATENATE(RIGHT(LEFT(RecebimentoConcreto[[#This Row],[Obra]],5),4),"RCBC",TEXT(RecebimentoConcreto[[#This Row],[Ordem]],"0000"))</f>
        <v>0184RCBC0461</v>
      </c>
      <c r="B218" s="1">
        <v>461</v>
      </c>
      <c r="C218" s="1" t="s">
        <v>21</v>
      </c>
      <c r="D218" s="35">
        <v>44925</v>
      </c>
      <c r="E218" s="1" t="s">
        <v>599</v>
      </c>
      <c r="F218" s="2" t="s">
        <v>600</v>
      </c>
      <c r="G218" s="2">
        <v>58691</v>
      </c>
      <c r="H218" s="2" t="s">
        <v>601</v>
      </c>
      <c r="I218" s="5" t="s">
        <v>602</v>
      </c>
      <c r="J218" s="5">
        <v>0.69791666666666663</v>
      </c>
      <c r="K218" s="32">
        <f>_xlfn.MAXIFS(ConsumoConcreto[Fim do Bombeamento],ConsumoConcreto[RecebimentoID],RecebimentoConcreto[[#This Row],[RecebimentoID]])</f>
        <v>0.74652777777777779</v>
      </c>
      <c r="L218" s="1" t="s">
        <v>603</v>
      </c>
      <c r="M218" s="37">
        <v>36892</v>
      </c>
      <c r="N218" s="5" t="s">
        <v>25</v>
      </c>
      <c r="O218" s="9">
        <v>18.5</v>
      </c>
      <c r="P218" s="5" t="s">
        <v>26</v>
      </c>
      <c r="Q218" s="2"/>
      <c r="R218" s="5" t="s">
        <v>27</v>
      </c>
      <c r="S218" s="5" t="s">
        <v>500</v>
      </c>
      <c r="T218" s="39">
        <v>520</v>
      </c>
    </row>
    <row r="219" spans="1:20" ht="20.100000000000001" hidden="1" customHeight="1" x14ac:dyDescent="0.25">
      <c r="A219" s="26" t="str">
        <f>CONCATENATE(RIGHT(LEFT(RecebimentoConcreto[[#This Row],[Obra]],5),4),"RCBC",TEXT(RecebimentoConcreto[[#This Row],[Ordem]],"0000"))</f>
        <v>0184RCBC0462</v>
      </c>
      <c r="B219" s="1">
        <v>462</v>
      </c>
      <c r="C219" s="1" t="s">
        <v>21</v>
      </c>
      <c r="D219" s="35">
        <v>44925</v>
      </c>
      <c r="E219" s="1" t="s">
        <v>604</v>
      </c>
      <c r="F219" s="2" t="s">
        <v>605</v>
      </c>
      <c r="G219" s="2">
        <v>58691</v>
      </c>
      <c r="H219" s="2" t="s">
        <v>606</v>
      </c>
      <c r="I219" s="5" t="s">
        <v>607</v>
      </c>
      <c r="J219" s="5">
        <v>0.76666666666666661</v>
      </c>
      <c r="K219" s="32">
        <f>_xlfn.MAXIFS(ConsumoConcreto[Fim do Bombeamento],ConsumoConcreto[RecebimentoID],RecebimentoConcreto[[#This Row],[RecebimentoID]])</f>
        <v>0.79861111111111116</v>
      </c>
      <c r="L219" s="1" t="s">
        <v>608</v>
      </c>
      <c r="M219" s="37">
        <v>36892</v>
      </c>
      <c r="N219" s="5" t="s">
        <v>25</v>
      </c>
      <c r="O219" s="9">
        <v>14</v>
      </c>
      <c r="P219" s="5" t="s">
        <v>26</v>
      </c>
      <c r="Q219" s="2"/>
      <c r="R219" s="5" t="s">
        <v>27</v>
      </c>
      <c r="S219" s="5" t="s">
        <v>500</v>
      </c>
      <c r="T219" s="39">
        <v>520</v>
      </c>
    </row>
    <row r="220" spans="1:20" ht="20.100000000000001" hidden="1" customHeight="1" x14ac:dyDescent="0.25">
      <c r="A220" s="26" t="str">
        <f>CONCATENATE(RIGHT(LEFT(RecebimentoConcreto[[#This Row],[Obra]],5),4),"RCBC",TEXT(RecebimentoConcreto[[#This Row],[Ordem]],"0000"))</f>
        <v>0184RCBC0463</v>
      </c>
      <c r="B220" s="1">
        <v>463</v>
      </c>
      <c r="C220" s="1" t="s">
        <v>21</v>
      </c>
      <c r="D220" s="35">
        <v>44929</v>
      </c>
      <c r="E220" s="1" t="s">
        <v>609</v>
      </c>
      <c r="F220" s="2" t="s">
        <v>610</v>
      </c>
      <c r="G220" s="2">
        <v>58691</v>
      </c>
      <c r="H220" s="2" t="s">
        <v>611</v>
      </c>
      <c r="I220" s="5" t="s">
        <v>612</v>
      </c>
      <c r="J220" s="5">
        <v>0.8534722222222223</v>
      </c>
      <c r="K220" s="32">
        <f>_xlfn.MAXIFS(ConsumoConcreto[Fim do Bombeamento],ConsumoConcreto[RecebimentoID],RecebimentoConcreto[[#This Row],[RecebimentoID]])</f>
        <v>0.89861111111111114</v>
      </c>
      <c r="L220" s="1" t="s">
        <v>346</v>
      </c>
      <c r="M220" s="37">
        <v>36892</v>
      </c>
      <c r="N220" s="5" t="s">
        <v>25</v>
      </c>
      <c r="O220" s="9">
        <v>18.5</v>
      </c>
      <c r="P220" s="5" t="s">
        <v>26</v>
      </c>
      <c r="Q220" s="2"/>
      <c r="R220" s="5" t="s">
        <v>27</v>
      </c>
      <c r="S220" s="5" t="s">
        <v>500</v>
      </c>
      <c r="T220" s="39">
        <v>520</v>
      </c>
    </row>
    <row r="221" spans="1:20" ht="20.100000000000001" hidden="1" customHeight="1" x14ac:dyDescent="0.25">
      <c r="A221" s="26" t="str">
        <f>CONCATENATE(RIGHT(LEFT(RecebimentoConcreto[[#This Row],[Obra]],5),4),"RCBC",TEXT(RecebimentoConcreto[[#This Row],[Ordem]],"0000"))</f>
        <v>0184RCBC0464</v>
      </c>
      <c r="B221" s="1">
        <v>464</v>
      </c>
      <c r="C221" s="1" t="s">
        <v>21</v>
      </c>
      <c r="D221" s="35">
        <v>44930</v>
      </c>
      <c r="E221" s="1" t="s">
        <v>613</v>
      </c>
      <c r="F221" s="2" t="s">
        <v>614</v>
      </c>
      <c r="G221" s="2">
        <v>58691</v>
      </c>
      <c r="H221" s="2" t="s">
        <v>615</v>
      </c>
      <c r="I221" s="5" t="s">
        <v>616</v>
      </c>
      <c r="J221" s="5" t="s">
        <v>617</v>
      </c>
      <c r="K221" s="32">
        <f>_xlfn.MAXIFS(ConsumoConcreto[Fim do Bombeamento],ConsumoConcreto[RecebimentoID],RecebimentoConcreto[[#This Row],[RecebimentoID]])</f>
        <v>0.80208333333333337</v>
      </c>
      <c r="L221" s="1" t="s">
        <v>618</v>
      </c>
      <c r="M221" s="37">
        <v>36892</v>
      </c>
      <c r="N221" s="5" t="s">
        <v>25</v>
      </c>
      <c r="O221" s="9">
        <v>18</v>
      </c>
      <c r="P221" s="5" t="s">
        <v>26</v>
      </c>
      <c r="Q221" s="2"/>
      <c r="R221" s="5" t="s">
        <v>27</v>
      </c>
      <c r="S221" s="5" t="s">
        <v>500</v>
      </c>
      <c r="T221" s="39">
        <v>520</v>
      </c>
    </row>
    <row r="222" spans="1:20" ht="20.100000000000001" hidden="1" customHeight="1" x14ac:dyDescent="0.25">
      <c r="A222" s="26" t="str">
        <f>CONCATENATE(RIGHT(LEFT(RecebimentoConcreto[[#This Row],[Obra]],5),4),"RCBC",TEXT(RecebimentoConcreto[[#This Row],[Ordem]],"0000"))</f>
        <v>0184RCBC0465</v>
      </c>
      <c r="B222" s="1">
        <v>465</v>
      </c>
      <c r="C222" s="1" t="s">
        <v>21</v>
      </c>
      <c r="D222" s="35">
        <v>44931</v>
      </c>
      <c r="E222" s="1" t="s">
        <v>619</v>
      </c>
      <c r="F222" s="2" t="s">
        <v>620</v>
      </c>
      <c r="G222" s="2">
        <v>58691</v>
      </c>
      <c r="H222" s="2" t="s">
        <v>621</v>
      </c>
      <c r="I222" s="5" t="s">
        <v>622</v>
      </c>
      <c r="J222" s="5">
        <v>0.83333333333333337</v>
      </c>
      <c r="K222" s="32">
        <f>_xlfn.MAXIFS(ConsumoConcreto[Fim do Bombeamento],ConsumoConcreto[RecebimentoID],RecebimentoConcreto[[#This Row],[RecebimentoID]])</f>
        <v>0.87777777777777777</v>
      </c>
      <c r="L222" s="1" t="s">
        <v>623</v>
      </c>
      <c r="M222" s="37">
        <v>36892</v>
      </c>
      <c r="N222" s="5" t="s">
        <v>25</v>
      </c>
      <c r="O222" s="9">
        <v>18</v>
      </c>
      <c r="P222" s="5" t="s">
        <v>26</v>
      </c>
      <c r="Q222" s="2"/>
      <c r="R222" s="5" t="s">
        <v>27</v>
      </c>
      <c r="S222" s="5" t="s">
        <v>500</v>
      </c>
      <c r="T222" s="39">
        <v>520</v>
      </c>
    </row>
    <row r="223" spans="1:20" ht="20.100000000000001" hidden="1" customHeight="1" x14ac:dyDescent="0.25">
      <c r="A223" s="26" t="str">
        <f>CONCATENATE(RIGHT(LEFT(RecebimentoConcreto[[#This Row],[Obra]],5),4),"RCBC",TEXT(RecebimentoConcreto[[#This Row],[Ordem]],"0000"))</f>
        <v>0184RCBC0466</v>
      </c>
      <c r="B223" s="1">
        <v>466</v>
      </c>
      <c r="C223" s="1" t="s">
        <v>21</v>
      </c>
      <c r="D223" s="35">
        <v>44936</v>
      </c>
      <c r="E223" s="1" t="s">
        <v>624</v>
      </c>
      <c r="F223" s="2" t="s">
        <v>625</v>
      </c>
      <c r="G223" s="2">
        <v>58691</v>
      </c>
      <c r="H223" s="2" t="s">
        <v>626</v>
      </c>
      <c r="I223" s="5" t="s">
        <v>627</v>
      </c>
      <c r="J223" s="5">
        <v>0.76111111111111107</v>
      </c>
      <c r="K223" s="32">
        <f>_xlfn.MAXIFS(ConsumoConcreto[Fim do Bombeamento],ConsumoConcreto[RecebimentoID],RecebimentoConcreto[[#This Row],[RecebimentoID]])</f>
        <v>0.80347222222222225</v>
      </c>
      <c r="L223" s="1" t="s">
        <v>628</v>
      </c>
      <c r="M223" s="37">
        <v>36892</v>
      </c>
      <c r="N223" s="5" t="s">
        <v>25</v>
      </c>
      <c r="O223" s="9">
        <v>18</v>
      </c>
      <c r="P223" s="5" t="s">
        <v>26</v>
      </c>
      <c r="Q223" s="2"/>
      <c r="R223" s="5" t="s">
        <v>27</v>
      </c>
      <c r="S223" s="5" t="s">
        <v>500</v>
      </c>
      <c r="T223" s="39">
        <v>520</v>
      </c>
    </row>
    <row r="224" spans="1:20" ht="20.100000000000001" hidden="1" customHeight="1" x14ac:dyDescent="0.25">
      <c r="A224" s="26" t="str">
        <f>CONCATENATE(RIGHT(LEFT(RecebimentoConcreto[[#This Row],[Obra]],5),4),"RCBC",TEXT(RecebimentoConcreto[[#This Row],[Ordem]],"0000"))</f>
        <v>0184RCBC0467</v>
      </c>
      <c r="B224" s="1">
        <v>467</v>
      </c>
      <c r="C224" s="1" t="s">
        <v>21</v>
      </c>
      <c r="D224" s="35">
        <v>44937</v>
      </c>
      <c r="E224" s="1" t="s">
        <v>629</v>
      </c>
      <c r="F224" s="2" t="s">
        <v>630</v>
      </c>
      <c r="G224" s="2">
        <v>58691</v>
      </c>
      <c r="H224" s="2" t="s">
        <v>631</v>
      </c>
      <c r="I224" s="5" t="s">
        <v>632</v>
      </c>
      <c r="J224" s="5">
        <v>0.7055555555555556</v>
      </c>
      <c r="K224" s="32">
        <f>_xlfn.MAXIFS(ConsumoConcreto[Fim do Bombeamento],ConsumoConcreto[RecebimentoID],RecebimentoConcreto[[#This Row],[RecebimentoID]])</f>
        <v>0.76388888888888884</v>
      </c>
      <c r="L224" s="1" t="s">
        <v>633</v>
      </c>
      <c r="M224" s="37">
        <v>36892</v>
      </c>
      <c r="N224" s="5" t="s">
        <v>25</v>
      </c>
      <c r="O224" s="9">
        <v>18</v>
      </c>
      <c r="P224" s="5" t="s">
        <v>26</v>
      </c>
      <c r="Q224" s="2"/>
      <c r="R224" s="5" t="s">
        <v>27</v>
      </c>
      <c r="S224" s="5" t="s">
        <v>500</v>
      </c>
      <c r="T224" s="39">
        <v>520</v>
      </c>
    </row>
    <row r="225" spans="1:20" ht="20.100000000000001" hidden="1" customHeight="1" x14ac:dyDescent="0.25">
      <c r="A225" s="26" t="str">
        <f>CONCATENATE(RIGHT(LEFT(RecebimentoConcreto[[#This Row],[Obra]],5),4),"RCBC",TEXT(RecebimentoConcreto[[#This Row],[Ordem]],"0000"))</f>
        <v>0184RCBC0468</v>
      </c>
      <c r="B225" s="1">
        <v>468</v>
      </c>
      <c r="C225" s="1" t="s">
        <v>21</v>
      </c>
      <c r="D225" s="35">
        <v>44939</v>
      </c>
      <c r="E225" s="1" t="s">
        <v>634</v>
      </c>
      <c r="F225" s="2" t="s">
        <v>635</v>
      </c>
      <c r="G225" s="2">
        <v>58691</v>
      </c>
      <c r="H225" s="2" t="s">
        <v>636</v>
      </c>
      <c r="I225" s="5" t="s">
        <v>637</v>
      </c>
      <c r="J225" s="5">
        <v>0.70416666666666661</v>
      </c>
      <c r="K225" s="32">
        <f>_xlfn.MAXIFS(ConsumoConcreto[Fim do Bombeamento],ConsumoConcreto[RecebimentoID],RecebimentoConcreto[[#This Row],[RecebimentoID]])</f>
        <v>0.74791666666666667</v>
      </c>
      <c r="L225" s="1" t="s">
        <v>638</v>
      </c>
      <c r="M225" s="37">
        <v>36892</v>
      </c>
      <c r="N225" s="5" t="s">
        <v>25</v>
      </c>
      <c r="O225" s="9">
        <v>18</v>
      </c>
      <c r="P225" s="5" t="s">
        <v>26</v>
      </c>
      <c r="Q225" s="2"/>
      <c r="R225" s="5" t="s">
        <v>27</v>
      </c>
      <c r="S225" s="5" t="s">
        <v>500</v>
      </c>
      <c r="T225" s="39">
        <v>520</v>
      </c>
    </row>
    <row r="226" spans="1:20" ht="20.100000000000001" hidden="1" customHeight="1" x14ac:dyDescent="0.25">
      <c r="A226" s="26" t="str">
        <f>CONCATENATE(RIGHT(LEFT(RecebimentoConcreto[[#This Row],[Obra]],5),4),"RCBC",TEXT(RecebimentoConcreto[[#This Row],[Ordem]],"0000"))</f>
        <v>0184RCBC0501</v>
      </c>
      <c r="B226" s="1">
        <v>501</v>
      </c>
      <c r="C226" s="1" t="s">
        <v>21</v>
      </c>
      <c r="D226" s="35">
        <v>44930</v>
      </c>
      <c r="E226" s="1" t="s">
        <v>639</v>
      </c>
      <c r="F226" s="2" t="s">
        <v>640</v>
      </c>
      <c r="G226" s="2">
        <v>58691</v>
      </c>
      <c r="H226" s="2" t="s">
        <v>641</v>
      </c>
      <c r="I226" s="5" t="s">
        <v>642</v>
      </c>
      <c r="J226" s="5">
        <v>0.70347222222222217</v>
      </c>
      <c r="K226" s="32">
        <f>_xlfn.MAXIFS(ConsumoConcreto[Fim do Bombeamento],ConsumoConcreto[RecebimentoID],RecebimentoConcreto[[#This Row],[RecebimentoID]])</f>
        <v>0.73611111111111116</v>
      </c>
      <c r="L226" s="1" t="s">
        <v>608</v>
      </c>
      <c r="M226" s="37">
        <v>36892</v>
      </c>
      <c r="N226" s="5" t="s">
        <v>25</v>
      </c>
      <c r="O226" s="9">
        <v>14.5</v>
      </c>
      <c r="P226" s="5" t="s">
        <v>26</v>
      </c>
      <c r="Q226" s="2"/>
      <c r="R226" s="5" t="s">
        <v>27</v>
      </c>
      <c r="S226" s="5" t="s">
        <v>500</v>
      </c>
      <c r="T226" s="39">
        <v>520</v>
      </c>
    </row>
    <row r="227" spans="1:20" ht="20.100000000000001" hidden="1" customHeight="1" x14ac:dyDescent="0.25">
      <c r="A227" s="26" t="str">
        <f>CONCATENATE(RIGHT(LEFT(RecebimentoConcreto[[#This Row],[Obra]],5),4),"RCBC",TEXT(RecebimentoConcreto[[#This Row],[Ordem]],"0000"))</f>
        <v>0184RCBC0502</v>
      </c>
      <c r="B227" s="1">
        <v>502</v>
      </c>
      <c r="C227" s="1" t="s">
        <v>21</v>
      </c>
      <c r="D227" s="35">
        <v>44931</v>
      </c>
      <c r="E227" s="1" t="s">
        <v>643</v>
      </c>
      <c r="F227" s="2" t="s">
        <v>644</v>
      </c>
      <c r="G227" s="2">
        <v>58691</v>
      </c>
      <c r="H227" s="2" t="s">
        <v>645</v>
      </c>
      <c r="I227" s="5" t="s">
        <v>646</v>
      </c>
      <c r="J227" s="5">
        <v>0.76388888888888884</v>
      </c>
      <c r="K227" s="32">
        <f>_xlfn.MAXIFS(ConsumoConcreto[Fim do Bombeamento],ConsumoConcreto[RecebimentoID],RecebimentoConcreto[[#This Row],[RecebimentoID]])</f>
        <v>0.80555555555555547</v>
      </c>
      <c r="L227" s="1" t="s">
        <v>647</v>
      </c>
      <c r="M227" s="37">
        <v>36892</v>
      </c>
      <c r="N227" s="5" t="s">
        <v>25</v>
      </c>
      <c r="O227" s="9">
        <v>14.5</v>
      </c>
      <c r="P227" s="5" t="s">
        <v>26</v>
      </c>
      <c r="Q227" s="2"/>
      <c r="R227" s="5" t="s">
        <v>27</v>
      </c>
      <c r="S227" s="5" t="s">
        <v>500</v>
      </c>
      <c r="T227" s="39">
        <v>520</v>
      </c>
    </row>
    <row r="228" spans="1:20" ht="20.100000000000001" hidden="1" customHeight="1" x14ac:dyDescent="0.25">
      <c r="A228" s="26" t="str">
        <f>CONCATENATE(RIGHT(LEFT(RecebimentoConcreto[[#This Row],[Obra]],5),4),"RCBC",TEXT(RecebimentoConcreto[[#This Row],[Ordem]],"0000"))</f>
        <v>0184RCBC0503</v>
      </c>
      <c r="B228" s="1">
        <v>503</v>
      </c>
      <c r="C228" s="1" t="s">
        <v>21</v>
      </c>
      <c r="D228" s="35">
        <v>44932</v>
      </c>
      <c r="E228" s="1" t="s">
        <v>648</v>
      </c>
      <c r="F228" s="2" t="s">
        <v>649</v>
      </c>
      <c r="G228" s="2">
        <v>58691</v>
      </c>
      <c r="H228" s="2" t="s">
        <v>650</v>
      </c>
      <c r="I228" s="5" t="s">
        <v>651</v>
      </c>
      <c r="J228" s="5">
        <v>0.6777777777777777</v>
      </c>
      <c r="K228" s="32">
        <f>_xlfn.MAXIFS(ConsumoConcreto[Fim do Bombeamento],ConsumoConcreto[RecebimentoID],RecebimentoConcreto[[#This Row],[RecebimentoID]])</f>
        <v>0.68680555555555556</v>
      </c>
      <c r="L228" s="1" t="s">
        <v>652</v>
      </c>
      <c r="M228" s="37">
        <v>36892</v>
      </c>
      <c r="N228" s="5" t="s">
        <v>25</v>
      </c>
      <c r="O228" s="9">
        <v>14.5</v>
      </c>
      <c r="P228" s="5" t="s">
        <v>26</v>
      </c>
      <c r="Q228" s="2"/>
      <c r="R228" s="5" t="s">
        <v>27</v>
      </c>
      <c r="S228" s="5" t="s">
        <v>500</v>
      </c>
      <c r="T228" s="39">
        <v>520</v>
      </c>
    </row>
    <row r="229" spans="1:20" ht="20.100000000000001" hidden="1" customHeight="1" x14ac:dyDescent="0.25">
      <c r="A229" s="26" t="str">
        <f>CONCATENATE(RIGHT(LEFT(RecebimentoConcreto[[#This Row],[Obra]],5),4),"RCBC",TEXT(RecebimentoConcreto[[#This Row],[Ordem]],"0000"))</f>
        <v>0184RCBC0504</v>
      </c>
      <c r="B229" s="1">
        <v>504</v>
      </c>
      <c r="C229" s="1" t="s">
        <v>21</v>
      </c>
      <c r="D229" s="35">
        <v>44935</v>
      </c>
      <c r="E229" s="1" t="s">
        <v>653</v>
      </c>
      <c r="F229" s="2" t="s">
        <v>654</v>
      </c>
      <c r="G229" s="2">
        <v>58691</v>
      </c>
      <c r="H229" s="2" t="s">
        <v>655</v>
      </c>
      <c r="I229" s="5" t="s">
        <v>656</v>
      </c>
      <c r="J229" s="5">
        <v>0.81388888888888899</v>
      </c>
      <c r="K229" s="32">
        <f>_xlfn.MAXIFS(ConsumoConcreto[Fim do Bombeamento],ConsumoConcreto[RecebimentoID],RecebimentoConcreto[[#This Row],[RecebimentoID]])</f>
        <v>0.85902777777777783</v>
      </c>
      <c r="L229" s="1" t="s">
        <v>657</v>
      </c>
      <c r="M229" s="37">
        <v>36892</v>
      </c>
      <c r="N229" s="5" t="s">
        <v>25</v>
      </c>
      <c r="O229" s="9">
        <v>14.5</v>
      </c>
      <c r="P229" s="5" t="s">
        <v>26</v>
      </c>
      <c r="Q229" s="2"/>
      <c r="R229" s="5" t="s">
        <v>27</v>
      </c>
      <c r="S229" s="5" t="s">
        <v>500</v>
      </c>
      <c r="T229" s="39">
        <v>520</v>
      </c>
    </row>
    <row r="230" spans="1:20" ht="20.100000000000001" hidden="1" customHeight="1" x14ac:dyDescent="0.25">
      <c r="A230" s="26" t="str">
        <f>CONCATENATE(RIGHT(LEFT(RecebimentoConcreto[[#This Row],[Obra]],5),4),"RCBC",TEXT(RecebimentoConcreto[[#This Row],[Ordem]],"0000"))</f>
        <v>0184RCBC0505</v>
      </c>
      <c r="B230" s="1">
        <v>505</v>
      </c>
      <c r="C230" s="1" t="s">
        <v>21</v>
      </c>
      <c r="D230" s="35">
        <v>44936</v>
      </c>
      <c r="E230" s="1" t="s">
        <v>658</v>
      </c>
      <c r="F230" s="2" t="s">
        <v>659</v>
      </c>
      <c r="G230" s="2">
        <v>58691</v>
      </c>
      <c r="H230" s="2" t="s">
        <v>660</v>
      </c>
      <c r="I230" s="5" t="s">
        <v>661</v>
      </c>
      <c r="J230" s="5">
        <v>0.70347222222222217</v>
      </c>
      <c r="K230" s="32">
        <f>_xlfn.MAXIFS(ConsumoConcreto[Fim do Bombeamento],ConsumoConcreto[RecebimentoID],RecebimentoConcreto[[#This Row],[RecebimentoID]])</f>
        <v>0.72499999999999998</v>
      </c>
      <c r="L230" s="1" t="s">
        <v>662</v>
      </c>
      <c r="M230" s="37">
        <v>36892</v>
      </c>
      <c r="N230" s="5" t="s">
        <v>25</v>
      </c>
      <c r="O230" s="9">
        <v>14.5</v>
      </c>
      <c r="P230" s="5" t="s">
        <v>26</v>
      </c>
      <c r="Q230" s="2"/>
      <c r="R230" s="5" t="s">
        <v>27</v>
      </c>
      <c r="S230" s="5" t="s">
        <v>500</v>
      </c>
      <c r="T230" s="39">
        <v>520</v>
      </c>
    </row>
    <row r="231" spans="1:20" ht="20.100000000000001" hidden="1" customHeight="1" x14ac:dyDescent="0.25">
      <c r="A231" s="26" t="str">
        <f>CONCATENATE(RIGHT(LEFT(RecebimentoConcreto[[#This Row],[Obra]],5),4),"RCBC",TEXT(RecebimentoConcreto[[#This Row],[Ordem]],"0000"))</f>
        <v>0184RCBC0506</v>
      </c>
      <c r="B231" s="1">
        <v>506</v>
      </c>
      <c r="C231" s="1" t="s">
        <v>21</v>
      </c>
      <c r="D231" s="35">
        <v>44937</v>
      </c>
      <c r="E231" s="1" t="s">
        <v>663</v>
      </c>
      <c r="F231" s="2" t="s">
        <v>664</v>
      </c>
      <c r="G231" s="2">
        <v>58691</v>
      </c>
      <c r="H231" s="2" t="s">
        <v>665</v>
      </c>
      <c r="I231" s="5" t="s">
        <v>666</v>
      </c>
      <c r="J231" s="5">
        <v>0.66597222222222219</v>
      </c>
      <c r="K231" s="32">
        <f>_xlfn.MAXIFS(ConsumoConcreto[Fim do Bombeamento],ConsumoConcreto[RecebimentoID],RecebimentoConcreto[[#This Row],[RecebimentoID]])</f>
        <v>0.6777777777777777</v>
      </c>
      <c r="L231" s="1" t="s">
        <v>667</v>
      </c>
      <c r="M231" s="37">
        <v>36892</v>
      </c>
      <c r="N231" s="5" t="s">
        <v>25</v>
      </c>
      <c r="O231" s="9">
        <v>14.5</v>
      </c>
      <c r="P231" s="5" t="s">
        <v>26</v>
      </c>
      <c r="Q231" s="2"/>
      <c r="R231" s="5" t="s">
        <v>27</v>
      </c>
      <c r="S231" s="5" t="s">
        <v>500</v>
      </c>
      <c r="T231" s="39">
        <v>520</v>
      </c>
    </row>
    <row r="232" spans="1:20" ht="20.100000000000001" hidden="1" customHeight="1" x14ac:dyDescent="0.25">
      <c r="A232" s="26" t="str">
        <f>CONCATENATE(RIGHT(LEFT(RecebimentoConcreto[[#This Row],[Obra]],5),4),"RCBC",TEXT(RecebimentoConcreto[[#This Row],[Ordem]],"0000"))</f>
        <v>0184RCBC0507</v>
      </c>
      <c r="B232" s="1">
        <v>507</v>
      </c>
      <c r="C232" s="1" t="s">
        <v>21</v>
      </c>
      <c r="D232" s="35">
        <v>44939</v>
      </c>
      <c r="E232" s="1" t="s">
        <v>668</v>
      </c>
      <c r="F232" s="2" t="s">
        <v>669</v>
      </c>
      <c r="G232" s="2">
        <v>58691</v>
      </c>
      <c r="H232" s="2" t="s">
        <v>670</v>
      </c>
      <c r="I232" s="5" t="s">
        <v>671</v>
      </c>
      <c r="J232" s="5">
        <v>0.64374999999999993</v>
      </c>
      <c r="K232" s="32">
        <f>_xlfn.MAXIFS(ConsumoConcreto[Fim do Bombeamento],ConsumoConcreto[RecebimentoID],RecebimentoConcreto[[#This Row],[RecebimentoID]])</f>
        <v>0.6791666666666667</v>
      </c>
      <c r="L232" s="1" t="s">
        <v>662</v>
      </c>
      <c r="M232" s="37">
        <v>36892</v>
      </c>
      <c r="N232" s="5" t="s">
        <v>25</v>
      </c>
      <c r="O232" s="9">
        <v>14.5</v>
      </c>
      <c r="P232" s="5" t="s">
        <v>26</v>
      </c>
      <c r="Q232" s="2"/>
      <c r="R232" s="5" t="s">
        <v>27</v>
      </c>
      <c r="S232" s="5" t="s">
        <v>500</v>
      </c>
      <c r="T232" s="39">
        <v>520</v>
      </c>
    </row>
    <row r="233" spans="1:20" ht="20.100000000000001" hidden="1" customHeight="1" x14ac:dyDescent="0.25">
      <c r="A233" s="26" t="str">
        <f>CONCATENATE(RIGHT(LEFT(RecebimentoConcreto[[#This Row],[Obra]],5),4),"RCBC",TEXT(RecebimentoConcreto[[#This Row],[Ordem]],"0000"))</f>
        <v>0184RCBC0508</v>
      </c>
      <c r="B233" s="1">
        <v>508</v>
      </c>
      <c r="C233" s="1" t="s">
        <v>21</v>
      </c>
      <c r="D233" s="35">
        <v>44940</v>
      </c>
      <c r="E233" s="1" t="s">
        <v>672</v>
      </c>
      <c r="F233" s="2" t="s">
        <v>673</v>
      </c>
      <c r="G233" s="2">
        <v>58691</v>
      </c>
      <c r="H233" s="2" t="s">
        <v>674</v>
      </c>
      <c r="I233" s="5" t="s">
        <v>675</v>
      </c>
      <c r="J233" s="5">
        <v>0.81874999999999998</v>
      </c>
      <c r="K233" s="32">
        <f>_xlfn.MAXIFS(ConsumoConcreto[Fim do Bombeamento],ConsumoConcreto[RecebimentoID],RecebimentoConcreto[[#This Row],[RecebimentoID]])</f>
        <v>0.85555555555555562</v>
      </c>
      <c r="L233" s="1" t="s">
        <v>676</v>
      </c>
      <c r="M233" s="37">
        <v>36892</v>
      </c>
      <c r="N233" s="5" t="s">
        <v>25</v>
      </c>
      <c r="O233" s="9">
        <v>18</v>
      </c>
      <c r="P233" s="5" t="s">
        <v>26</v>
      </c>
      <c r="Q233" s="2"/>
      <c r="R233" s="5" t="s">
        <v>27</v>
      </c>
      <c r="S233" s="5" t="s">
        <v>500</v>
      </c>
      <c r="T233" s="39">
        <v>520</v>
      </c>
    </row>
    <row r="234" spans="1:20" ht="20.100000000000001" hidden="1" customHeight="1" x14ac:dyDescent="0.25">
      <c r="A234" s="26" t="str">
        <f>CONCATENATE(RIGHT(LEFT(RecebimentoConcreto[[#This Row],[Obra]],5),4),"RCBC",TEXT(RecebimentoConcreto[[#This Row],[Ordem]],"0000"))</f>
        <v>0184RCBC0509</v>
      </c>
      <c r="B234" s="1">
        <v>509</v>
      </c>
      <c r="C234" s="1" t="s">
        <v>21</v>
      </c>
      <c r="D234" s="35">
        <v>44940</v>
      </c>
      <c r="E234" s="1" t="s">
        <v>677</v>
      </c>
      <c r="F234" s="2" t="s">
        <v>678</v>
      </c>
      <c r="G234" s="2">
        <v>58691</v>
      </c>
      <c r="H234" s="2" t="s">
        <v>679</v>
      </c>
      <c r="I234" s="5" t="s">
        <v>680</v>
      </c>
      <c r="J234" s="5">
        <v>0.76944444444444438</v>
      </c>
      <c r="K234" s="32">
        <f>_xlfn.MAXIFS(ConsumoConcreto[Fim do Bombeamento],ConsumoConcreto[RecebimentoID],RecebimentoConcreto[[#This Row],[RecebimentoID]])</f>
        <v>0</v>
      </c>
      <c r="L234" s="1" t="s">
        <v>681</v>
      </c>
      <c r="M234" s="37">
        <v>36892</v>
      </c>
      <c r="N234" s="5" t="s">
        <v>25</v>
      </c>
      <c r="O234" s="9">
        <v>14.5</v>
      </c>
      <c r="P234" s="5" t="s">
        <v>26</v>
      </c>
      <c r="Q234" s="2"/>
      <c r="R234" s="5" t="s">
        <v>27</v>
      </c>
      <c r="S234" s="5" t="s">
        <v>500</v>
      </c>
      <c r="T234" s="39">
        <v>520</v>
      </c>
    </row>
    <row r="235" spans="1:20" ht="20.100000000000001" hidden="1" customHeight="1" x14ac:dyDescent="0.25">
      <c r="A235" s="26" t="str">
        <f>CONCATENATE(RIGHT(LEFT(RecebimentoConcreto[[#This Row],[Obra]],5),4),"RCBC",TEXT(RecebimentoConcreto[[#This Row],[Ordem]],"0000"))</f>
        <v>0184RCBC0510</v>
      </c>
      <c r="B235" s="1">
        <v>510</v>
      </c>
      <c r="C235" s="1" t="s">
        <v>21</v>
      </c>
      <c r="D235" s="35">
        <v>44942</v>
      </c>
      <c r="E235" s="1" t="s">
        <v>682</v>
      </c>
      <c r="F235" s="2" t="s">
        <v>683</v>
      </c>
      <c r="G235" s="2">
        <v>58691</v>
      </c>
      <c r="H235" s="2" t="s">
        <v>684</v>
      </c>
      <c r="I235" s="5" t="s">
        <v>685</v>
      </c>
      <c r="J235" s="5">
        <v>0.77916666666666667</v>
      </c>
      <c r="K235" s="32">
        <f>_xlfn.MAXIFS(ConsumoConcreto[Fim do Bombeamento],ConsumoConcreto[RecebimentoID],RecebimentoConcreto[[#This Row],[RecebimentoID]])</f>
        <v>0.83263888888888893</v>
      </c>
      <c r="L235" s="1" t="s">
        <v>686</v>
      </c>
      <c r="M235" s="37">
        <v>36892</v>
      </c>
      <c r="N235" s="5" t="s">
        <v>25</v>
      </c>
      <c r="O235" s="9">
        <v>14.5</v>
      </c>
      <c r="P235" s="5" t="s">
        <v>26</v>
      </c>
      <c r="Q235" s="2"/>
      <c r="R235" s="5" t="s">
        <v>27</v>
      </c>
      <c r="S235" s="5" t="s">
        <v>500</v>
      </c>
      <c r="T235" s="39">
        <v>520</v>
      </c>
    </row>
    <row r="236" spans="1:20" ht="20.100000000000001" hidden="1" customHeight="1" x14ac:dyDescent="0.25">
      <c r="A236" s="26" t="str">
        <f>CONCATENATE(RIGHT(LEFT(RecebimentoConcreto[[#This Row],[Obra]],5),4),"RCBC",TEXT(RecebimentoConcreto[[#This Row],[Ordem]],"0000"))</f>
        <v>0184RCBC0511</v>
      </c>
      <c r="B236" s="1">
        <v>511</v>
      </c>
      <c r="C236" s="1" t="s">
        <v>21</v>
      </c>
      <c r="D236" s="35">
        <v>44942</v>
      </c>
      <c r="E236" s="1" t="s">
        <v>687</v>
      </c>
      <c r="F236" s="2" t="s">
        <v>688</v>
      </c>
      <c r="G236" s="2">
        <v>58691</v>
      </c>
      <c r="H236" s="2" t="s">
        <v>689</v>
      </c>
      <c r="I236" s="5" t="s">
        <v>690</v>
      </c>
      <c r="J236" s="5">
        <v>0.71319444444444446</v>
      </c>
      <c r="K236" s="32">
        <f>_xlfn.MAXIFS(ConsumoConcreto[Fim do Bombeamento],ConsumoConcreto[RecebimentoID],RecebimentoConcreto[[#This Row],[RecebimentoID]])</f>
        <v>0.7729166666666667</v>
      </c>
      <c r="L236" s="1" t="s">
        <v>667</v>
      </c>
      <c r="M236" s="37">
        <v>36892</v>
      </c>
      <c r="N236" s="5" t="s">
        <v>25</v>
      </c>
      <c r="O236" s="9">
        <v>18</v>
      </c>
      <c r="P236" s="5" t="s">
        <v>26</v>
      </c>
      <c r="Q236" s="2"/>
      <c r="R236" s="5" t="s">
        <v>27</v>
      </c>
      <c r="S236" s="5" t="s">
        <v>500</v>
      </c>
      <c r="T236" s="39">
        <v>520</v>
      </c>
    </row>
    <row r="237" spans="1:20" ht="20.100000000000001" hidden="1" customHeight="1" x14ac:dyDescent="0.25">
      <c r="A237" s="26" t="str">
        <f>CONCATENATE(RIGHT(LEFT(RecebimentoConcreto[[#This Row],[Obra]],5),4),"RCBC",TEXT(RecebimentoConcreto[[#This Row],[Ordem]],"0000"))</f>
        <v>0184RCBC0512</v>
      </c>
      <c r="B237" s="1">
        <v>512</v>
      </c>
      <c r="C237" s="1" t="s">
        <v>21</v>
      </c>
      <c r="D237" s="35">
        <v>44943</v>
      </c>
      <c r="E237" s="1" t="s">
        <v>691</v>
      </c>
      <c r="F237" s="2" t="s">
        <v>692</v>
      </c>
      <c r="G237" s="2">
        <v>58691</v>
      </c>
      <c r="H237" s="2" t="s">
        <v>693</v>
      </c>
      <c r="I237" s="5" t="s">
        <v>694</v>
      </c>
      <c r="J237" s="5">
        <v>0.78680555555555554</v>
      </c>
      <c r="K237" s="32">
        <f>_xlfn.MAXIFS(ConsumoConcreto[Fim do Bombeamento],ConsumoConcreto[RecebimentoID],RecebimentoConcreto[[#This Row],[RecebimentoID]])</f>
        <v>0.85486111111111107</v>
      </c>
      <c r="L237" s="1" t="s">
        <v>695</v>
      </c>
      <c r="M237" s="37">
        <v>36892</v>
      </c>
      <c r="N237" s="5" t="s">
        <v>25</v>
      </c>
      <c r="O237" s="9">
        <v>18</v>
      </c>
      <c r="P237" s="5" t="s">
        <v>26</v>
      </c>
      <c r="Q237" s="2"/>
      <c r="R237" s="5" t="s">
        <v>27</v>
      </c>
      <c r="S237" s="5" t="s">
        <v>500</v>
      </c>
      <c r="T237" s="39">
        <v>520</v>
      </c>
    </row>
    <row r="238" spans="1:20" ht="20.100000000000001" hidden="1" customHeight="1" x14ac:dyDescent="0.25">
      <c r="A238" s="26" t="str">
        <f>CONCATENATE(RIGHT(LEFT(RecebimentoConcreto[[#This Row],[Obra]],5),4),"RCBC",TEXT(RecebimentoConcreto[[#This Row],[Ordem]],"0000"))</f>
        <v>0184RCBC0513</v>
      </c>
      <c r="B238" s="1">
        <v>513</v>
      </c>
      <c r="C238" s="1" t="s">
        <v>21</v>
      </c>
      <c r="D238" s="35">
        <v>44943</v>
      </c>
      <c r="E238" s="1" t="s">
        <v>696</v>
      </c>
      <c r="F238" s="2" t="s">
        <v>697</v>
      </c>
      <c r="G238" s="2">
        <v>58691</v>
      </c>
      <c r="H238" s="2" t="s">
        <v>698</v>
      </c>
      <c r="I238" s="5" t="s">
        <v>699</v>
      </c>
      <c r="J238" s="5">
        <v>0.72222222222222221</v>
      </c>
      <c r="K238" s="32">
        <f>_xlfn.MAXIFS(ConsumoConcreto[Fim do Bombeamento],ConsumoConcreto[RecebimentoID],RecebimentoConcreto[[#This Row],[RecebimentoID]])</f>
        <v>0.74861111111111101</v>
      </c>
      <c r="L238" s="1" t="s">
        <v>695</v>
      </c>
      <c r="M238" s="37">
        <v>36892</v>
      </c>
      <c r="N238" s="5" t="s">
        <v>25</v>
      </c>
      <c r="O238" s="9">
        <v>14.5</v>
      </c>
      <c r="P238" s="5" t="s">
        <v>26</v>
      </c>
      <c r="Q238" s="2"/>
      <c r="R238" s="5" t="s">
        <v>27</v>
      </c>
      <c r="S238" s="5" t="s">
        <v>500</v>
      </c>
      <c r="T238" s="39">
        <v>520</v>
      </c>
    </row>
    <row r="239" spans="1:20" ht="20.100000000000001" hidden="1" customHeight="1" x14ac:dyDescent="0.25">
      <c r="A239" s="26" t="str">
        <f>CONCATENATE(RIGHT(LEFT(RecebimentoConcreto[[#This Row],[Obra]],5),4),"RCBC",TEXT(RecebimentoConcreto[[#This Row],[Ordem]],"0000"))</f>
        <v>0184RCBC0514</v>
      </c>
      <c r="B239" s="1">
        <v>514</v>
      </c>
      <c r="C239" s="1" t="s">
        <v>21</v>
      </c>
      <c r="D239" s="35">
        <v>44944</v>
      </c>
      <c r="E239" s="1" t="s">
        <v>677</v>
      </c>
      <c r="F239" s="2" t="s">
        <v>700</v>
      </c>
      <c r="G239" s="2">
        <v>58691</v>
      </c>
      <c r="H239" s="2" t="s">
        <v>701</v>
      </c>
      <c r="I239" s="5" t="s">
        <v>702</v>
      </c>
      <c r="J239" s="5">
        <v>0.69444444444444453</v>
      </c>
      <c r="K239" s="32">
        <f>_xlfn.MAXIFS(ConsumoConcreto[Fim do Bombeamento],ConsumoConcreto[RecebimentoID],RecebimentoConcreto[[#This Row],[RecebimentoID]])</f>
        <v>0.81944444444444453</v>
      </c>
      <c r="L239" s="1" t="s">
        <v>703</v>
      </c>
      <c r="M239" s="37">
        <v>36892</v>
      </c>
      <c r="N239" s="5" t="s">
        <v>25</v>
      </c>
      <c r="O239" s="9">
        <v>18</v>
      </c>
      <c r="P239" s="5" t="s">
        <v>26</v>
      </c>
      <c r="Q239" s="2"/>
      <c r="R239" s="5" t="s">
        <v>27</v>
      </c>
      <c r="S239" s="5" t="s">
        <v>500</v>
      </c>
      <c r="T239" s="39">
        <v>520</v>
      </c>
    </row>
    <row r="240" spans="1:20" ht="20.100000000000001" hidden="1" customHeight="1" x14ac:dyDescent="0.25">
      <c r="A240" s="26" t="str">
        <f>CONCATENATE(RIGHT(LEFT(RecebimentoConcreto[[#This Row],[Obra]],5),4),"RCBC",TEXT(RecebimentoConcreto[[#This Row],[Ordem]],"0000"))</f>
        <v>0184RCBC0515</v>
      </c>
      <c r="B240" s="1">
        <v>515</v>
      </c>
      <c r="C240" s="1" t="s">
        <v>21</v>
      </c>
      <c r="D240" s="35">
        <v>44944</v>
      </c>
      <c r="E240" s="1" t="s">
        <v>704</v>
      </c>
      <c r="F240" s="2" t="s">
        <v>705</v>
      </c>
      <c r="G240" s="2">
        <v>58691</v>
      </c>
      <c r="H240" s="2" t="s">
        <v>706</v>
      </c>
      <c r="I240" s="5" t="s">
        <v>707</v>
      </c>
      <c r="J240" s="5">
        <v>0.6645833333333333</v>
      </c>
      <c r="K240" s="32">
        <f>_xlfn.MAXIFS(ConsumoConcreto[Fim do Bombeamento],ConsumoConcreto[RecebimentoID],RecebimentoConcreto[[#This Row],[RecebimentoID]])</f>
        <v>0.73402777777777783</v>
      </c>
      <c r="L240" s="1" t="s">
        <v>708</v>
      </c>
      <c r="M240" s="37">
        <v>36892</v>
      </c>
      <c r="N240" s="5" t="s">
        <v>25</v>
      </c>
      <c r="O240" s="9">
        <v>14.5</v>
      </c>
      <c r="P240" s="5" t="s">
        <v>26</v>
      </c>
      <c r="Q240" s="2"/>
      <c r="R240" s="5" t="s">
        <v>27</v>
      </c>
      <c r="S240" s="5" t="s">
        <v>500</v>
      </c>
      <c r="T240" s="39">
        <v>520</v>
      </c>
    </row>
    <row r="241" spans="1:20" ht="20.100000000000001" hidden="1" customHeight="1" x14ac:dyDescent="0.25">
      <c r="A241" s="26" t="str">
        <f>CONCATENATE(RIGHT(LEFT(RecebimentoConcreto[[#This Row],[Obra]],5),4),"RCBC",TEXT(RecebimentoConcreto[[#This Row],[Ordem]],"0000"))</f>
        <v>0184RCBC0516</v>
      </c>
      <c r="B241" s="1">
        <v>516</v>
      </c>
      <c r="C241" s="1" t="s">
        <v>21</v>
      </c>
      <c r="D241" s="35">
        <v>44946</v>
      </c>
      <c r="E241" s="1" t="s">
        <v>709</v>
      </c>
      <c r="F241" s="2" t="s">
        <v>710</v>
      </c>
      <c r="G241" s="2">
        <v>58691</v>
      </c>
      <c r="H241" s="2" t="s">
        <v>711</v>
      </c>
      <c r="I241" s="5" t="s">
        <v>712</v>
      </c>
      <c r="J241" s="5">
        <v>0.57222222222222219</v>
      </c>
      <c r="K241" s="32">
        <f>_xlfn.MAXIFS(ConsumoConcreto[Fim do Bombeamento],ConsumoConcreto[RecebimentoID],RecebimentoConcreto[[#This Row],[RecebimentoID]])</f>
        <v>0.60347222222222219</v>
      </c>
      <c r="L241" s="1" t="s">
        <v>638</v>
      </c>
      <c r="M241" s="37">
        <v>36892</v>
      </c>
      <c r="N241" s="5" t="s">
        <v>25</v>
      </c>
      <c r="O241" s="9">
        <v>18</v>
      </c>
      <c r="P241" s="5" t="s">
        <v>26</v>
      </c>
      <c r="Q241" s="2"/>
      <c r="R241" s="5" t="s">
        <v>27</v>
      </c>
      <c r="S241" s="5" t="s">
        <v>500</v>
      </c>
      <c r="T241" s="39">
        <v>520</v>
      </c>
    </row>
    <row r="242" spans="1:20" ht="20.100000000000001" hidden="1" customHeight="1" x14ac:dyDescent="0.25">
      <c r="A242" s="26" t="str">
        <f>CONCATENATE(RIGHT(LEFT(RecebimentoConcreto[[#This Row],[Obra]],5),4),"RCBC",TEXT(RecebimentoConcreto[[#This Row],[Ordem]],"0000"))</f>
        <v>0184RCBC0517</v>
      </c>
      <c r="B242" s="1">
        <v>517</v>
      </c>
      <c r="C242" s="1" t="s">
        <v>21</v>
      </c>
      <c r="D242" s="35">
        <v>44946</v>
      </c>
      <c r="E242" s="1" t="s">
        <v>713</v>
      </c>
      <c r="F242" s="2" t="s">
        <v>714</v>
      </c>
      <c r="G242" s="2">
        <v>58691</v>
      </c>
      <c r="H242" s="2" t="s">
        <v>715</v>
      </c>
      <c r="I242" s="5" t="s">
        <v>716</v>
      </c>
      <c r="J242" s="5">
        <v>0.51388888888888895</v>
      </c>
      <c r="K242" s="32">
        <f>_xlfn.MAXIFS(ConsumoConcreto[Fim do Bombeamento],ConsumoConcreto[RecebimentoID],RecebimentoConcreto[[#This Row],[RecebimentoID]])</f>
        <v>0.54236111111111118</v>
      </c>
      <c r="L242" s="1" t="s">
        <v>717</v>
      </c>
      <c r="M242" s="37">
        <v>36892</v>
      </c>
      <c r="N242" s="5" t="s">
        <v>25</v>
      </c>
      <c r="O242" s="9">
        <v>14.5</v>
      </c>
      <c r="P242" s="5" t="s">
        <v>26</v>
      </c>
      <c r="Q242" s="2"/>
      <c r="R242" s="5" t="s">
        <v>27</v>
      </c>
      <c r="S242" s="5" t="s">
        <v>500</v>
      </c>
      <c r="T242" s="39">
        <v>520</v>
      </c>
    </row>
    <row r="243" spans="1:20" ht="20.100000000000001" hidden="1" customHeight="1" x14ac:dyDescent="0.25">
      <c r="A243" s="26" t="str">
        <f>CONCATENATE(RIGHT(LEFT(RecebimentoConcreto[[#This Row],[Obra]],5),4),"RCBC",TEXT(RecebimentoConcreto[[#This Row],[Ordem]],"0000"))</f>
        <v>0184RCBC0518</v>
      </c>
      <c r="B243" s="1">
        <v>518</v>
      </c>
      <c r="C243" s="1" t="s">
        <v>21</v>
      </c>
      <c r="D243" s="35">
        <v>44947</v>
      </c>
      <c r="E243" s="1" t="s">
        <v>718</v>
      </c>
      <c r="F243" s="2" t="s">
        <v>719</v>
      </c>
      <c r="G243" s="2">
        <v>58691</v>
      </c>
      <c r="H243" s="2" t="s">
        <v>720</v>
      </c>
      <c r="I243" s="5" t="s">
        <v>721</v>
      </c>
      <c r="J243" s="5">
        <v>0.75555555555555554</v>
      </c>
      <c r="K243" s="32">
        <f>_xlfn.MAXIFS(ConsumoConcreto[Fim do Bombeamento],ConsumoConcreto[RecebimentoID],RecebimentoConcreto[[#This Row],[RecebimentoID]])</f>
        <v>0.7909722222222223</v>
      </c>
      <c r="L243" s="1" t="s">
        <v>589</v>
      </c>
      <c r="M243" s="37">
        <v>36892</v>
      </c>
      <c r="N243" s="5" t="s">
        <v>25</v>
      </c>
      <c r="O243" s="9">
        <v>18</v>
      </c>
      <c r="P243" s="5" t="s">
        <v>26</v>
      </c>
      <c r="Q243" s="2"/>
      <c r="R243" s="5" t="s">
        <v>27</v>
      </c>
      <c r="S243" s="5" t="s">
        <v>500</v>
      </c>
      <c r="T243" s="39">
        <v>520</v>
      </c>
    </row>
    <row r="244" spans="1:20" ht="20.100000000000001" hidden="1" customHeight="1" x14ac:dyDescent="0.25">
      <c r="A244" s="26" t="str">
        <f>CONCATENATE(RIGHT(LEFT(RecebimentoConcreto[[#This Row],[Obra]],5),4),"RCBC",TEXT(RecebimentoConcreto[[#This Row],[Ordem]],"0000"))</f>
        <v>0184RCBC0519</v>
      </c>
      <c r="B244" s="1">
        <v>519</v>
      </c>
      <c r="C244" s="1" t="s">
        <v>21</v>
      </c>
      <c r="D244" s="35">
        <v>44947</v>
      </c>
      <c r="E244" s="1" t="s">
        <v>722</v>
      </c>
      <c r="F244" s="2" t="s">
        <v>723</v>
      </c>
      <c r="G244" s="2">
        <v>58691</v>
      </c>
      <c r="H244" s="2" t="s">
        <v>724</v>
      </c>
      <c r="I244" s="5" t="s">
        <v>725</v>
      </c>
      <c r="J244" s="5">
        <v>0.69305555555555554</v>
      </c>
      <c r="K244" s="32">
        <f>_xlfn.MAXIFS(ConsumoConcreto[Fim do Bombeamento],ConsumoConcreto[RecebimentoID],RecebimentoConcreto[[#This Row],[RecebimentoID]])</f>
        <v>0.7319444444444444</v>
      </c>
      <c r="L244" s="1" t="s">
        <v>726</v>
      </c>
      <c r="M244" s="37">
        <v>36892</v>
      </c>
      <c r="N244" s="5" t="s">
        <v>25</v>
      </c>
      <c r="O244" s="9">
        <v>14.5</v>
      </c>
      <c r="P244" s="5" t="s">
        <v>26</v>
      </c>
      <c r="Q244" s="2"/>
      <c r="R244" s="5" t="s">
        <v>27</v>
      </c>
      <c r="S244" s="5" t="s">
        <v>500</v>
      </c>
      <c r="T244" s="39">
        <v>520</v>
      </c>
    </row>
    <row r="245" spans="1:20" ht="20.100000000000001" hidden="1" customHeight="1" x14ac:dyDescent="0.25">
      <c r="A245" s="26" t="str">
        <f>CONCATENATE(RIGHT(LEFT(RecebimentoConcreto[[#This Row],[Obra]],5),4),"RCBC",TEXT(RecebimentoConcreto[[#This Row],[Ordem]],"0000"))</f>
        <v>0184RCBC0520</v>
      </c>
      <c r="B245" s="1">
        <v>520</v>
      </c>
      <c r="C245" s="1" t="s">
        <v>21</v>
      </c>
      <c r="D245" s="35">
        <v>44949</v>
      </c>
      <c r="E245" s="1" t="s">
        <v>727</v>
      </c>
      <c r="F245" s="2" t="s">
        <v>728</v>
      </c>
      <c r="G245" s="2">
        <v>58691</v>
      </c>
      <c r="H245" s="2" t="s">
        <v>729</v>
      </c>
      <c r="I245" s="5" t="s">
        <v>730</v>
      </c>
      <c r="J245" s="5">
        <v>0.67569444444444438</v>
      </c>
      <c r="K245" s="32">
        <f>_xlfn.MAXIFS(ConsumoConcreto[Fim do Bombeamento],ConsumoConcreto[RecebimentoID],RecebimentoConcreto[[#This Row],[RecebimentoID]])</f>
        <v>0.73263888888888884</v>
      </c>
      <c r="L245" s="1" t="s">
        <v>499</v>
      </c>
      <c r="M245" s="37">
        <v>36892</v>
      </c>
      <c r="N245" s="5" t="s">
        <v>25</v>
      </c>
      <c r="O245" s="9">
        <v>18</v>
      </c>
      <c r="P245" s="5" t="s">
        <v>26</v>
      </c>
      <c r="Q245" s="2"/>
      <c r="R245" s="5" t="s">
        <v>27</v>
      </c>
      <c r="S245" s="5" t="s">
        <v>500</v>
      </c>
      <c r="T245" s="39">
        <v>520</v>
      </c>
    </row>
    <row r="246" spans="1:20" ht="20.100000000000001" hidden="1" customHeight="1" x14ac:dyDescent="0.25">
      <c r="A246" s="26" t="str">
        <f>CONCATENATE(RIGHT(LEFT(RecebimentoConcreto[[#This Row],[Obra]],5),4),"RCBC",TEXT(RecebimentoConcreto[[#This Row],[Ordem]],"0000"))</f>
        <v>0184RCBC0521</v>
      </c>
      <c r="B246" s="1">
        <v>521</v>
      </c>
      <c r="C246" s="1" t="s">
        <v>21</v>
      </c>
      <c r="D246" s="35">
        <v>44949</v>
      </c>
      <c r="E246" s="1" t="s">
        <v>731</v>
      </c>
      <c r="F246" s="2" t="s">
        <v>732</v>
      </c>
      <c r="G246" s="2">
        <v>58691</v>
      </c>
      <c r="H246" s="2" t="s">
        <v>733</v>
      </c>
      <c r="I246" s="5" t="s">
        <v>734</v>
      </c>
      <c r="J246" s="5">
        <v>0.75763888888888886</v>
      </c>
      <c r="K246" s="32">
        <f>_xlfn.MAXIFS(ConsumoConcreto[Fim do Bombeamento],ConsumoConcreto[RecebimentoID],RecebimentoConcreto[[#This Row],[RecebimentoID]])</f>
        <v>0.79305555555555562</v>
      </c>
      <c r="L246" s="1" t="s">
        <v>735</v>
      </c>
      <c r="M246" s="37">
        <v>36892</v>
      </c>
      <c r="N246" s="5" t="s">
        <v>25</v>
      </c>
      <c r="O246" s="9">
        <v>14.5</v>
      </c>
      <c r="P246" s="5" t="s">
        <v>26</v>
      </c>
      <c r="Q246" s="2"/>
      <c r="R246" s="5" t="s">
        <v>27</v>
      </c>
      <c r="S246" s="5" t="s">
        <v>500</v>
      </c>
      <c r="T246" s="39">
        <v>520</v>
      </c>
    </row>
    <row r="247" spans="1:20" ht="20.100000000000001" hidden="1" customHeight="1" x14ac:dyDescent="0.25">
      <c r="A247" s="26" t="str">
        <f>CONCATENATE(RIGHT(LEFT(RecebimentoConcreto[[#This Row],[Obra]],5),4),"RCBC",TEXT(RecebimentoConcreto[[#This Row],[Ordem]],"0000"))</f>
        <v>0184RCBC0522</v>
      </c>
      <c r="B247" s="1">
        <v>522</v>
      </c>
      <c r="C247" s="1" t="s">
        <v>21</v>
      </c>
      <c r="D247" s="35">
        <v>44950</v>
      </c>
      <c r="E247" s="1" t="s">
        <v>736</v>
      </c>
      <c r="F247" s="2" t="s">
        <v>737</v>
      </c>
      <c r="G247" s="2">
        <v>58691</v>
      </c>
      <c r="H247" s="2" t="s">
        <v>738</v>
      </c>
      <c r="I247" s="5" t="s">
        <v>739</v>
      </c>
      <c r="J247" s="5">
        <v>0.79652777777777783</v>
      </c>
      <c r="K247" s="32">
        <f>_xlfn.MAXIFS(ConsumoConcreto[Fim do Bombeamento],ConsumoConcreto[RecebimentoID],RecebimentoConcreto[[#This Row],[RecebimentoID]])</f>
        <v>0.82986111111111116</v>
      </c>
      <c r="L247" s="1" t="s">
        <v>508</v>
      </c>
      <c r="M247" s="37">
        <v>36892</v>
      </c>
      <c r="N247" s="5" t="s">
        <v>25</v>
      </c>
      <c r="O247" s="9">
        <v>18</v>
      </c>
      <c r="P247" s="5" t="s">
        <v>26</v>
      </c>
      <c r="Q247" s="2"/>
      <c r="R247" s="5" t="s">
        <v>27</v>
      </c>
      <c r="S247" s="5" t="s">
        <v>500</v>
      </c>
      <c r="T247" s="39">
        <v>520</v>
      </c>
    </row>
    <row r="248" spans="1:20" ht="20.100000000000001" hidden="1" customHeight="1" x14ac:dyDescent="0.25">
      <c r="A248" s="26" t="str">
        <f>CONCATENATE(RIGHT(LEFT(RecebimentoConcreto[[#This Row],[Obra]],5),4),"RCBC",TEXT(RecebimentoConcreto[[#This Row],[Ordem]],"0000"))</f>
        <v>0184RCBC0523</v>
      </c>
      <c r="B248" s="1">
        <v>523</v>
      </c>
      <c r="C248" s="1" t="s">
        <v>21</v>
      </c>
      <c r="D248" s="35">
        <v>44950</v>
      </c>
      <c r="E248" s="1" t="s">
        <v>740</v>
      </c>
      <c r="F248" s="2" t="s">
        <v>741</v>
      </c>
      <c r="G248" s="2">
        <v>58691</v>
      </c>
      <c r="H248" s="2" t="s">
        <v>742</v>
      </c>
      <c r="I248" s="5" t="s">
        <v>743</v>
      </c>
      <c r="J248" s="5">
        <v>0.7284722222222223</v>
      </c>
      <c r="K248" s="32">
        <f>_xlfn.MAXIFS(ConsumoConcreto[Fim do Bombeamento],ConsumoConcreto[RecebimentoID],RecebimentoConcreto[[#This Row],[RecebimentoID]])</f>
        <v>0.7631944444444444</v>
      </c>
      <c r="L248" s="1" t="s">
        <v>726</v>
      </c>
      <c r="M248" s="37">
        <v>36892</v>
      </c>
      <c r="N248" s="5" t="s">
        <v>25</v>
      </c>
      <c r="O248" s="9">
        <v>14.5</v>
      </c>
      <c r="P248" s="5" t="s">
        <v>26</v>
      </c>
      <c r="Q248" s="2"/>
      <c r="R248" s="5" t="s">
        <v>27</v>
      </c>
      <c r="S248" s="5" t="s">
        <v>500</v>
      </c>
      <c r="T248" s="39">
        <v>520</v>
      </c>
    </row>
    <row r="249" spans="1:20" ht="20.100000000000001" hidden="1" customHeight="1" x14ac:dyDescent="0.25">
      <c r="A249" s="26" t="str">
        <f>CONCATENATE(RIGHT(LEFT(RecebimentoConcreto[[#This Row],[Obra]],5),4),"RCBC",TEXT(RecebimentoConcreto[[#This Row],[Ordem]],"0000"))</f>
        <v>0184RCBC0524</v>
      </c>
      <c r="B249" s="1">
        <v>524</v>
      </c>
      <c r="C249" s="1" t="s">
        <v>21</v>
      </c>
      <c r="D249" s="35">
        <v>44952</v>
      </c>
      <c r="E249" s="1" t="s">
        <v>744</v>
      </c>
      <c r="F249" s="2" t="s">
        <v>745</v>
      </c>
      <c r="G249" s="2">
        <v>58691</v>
      </c>
      <c r="H249" s="2" t="s">
        <v>746</v>
      </c>
      <c r="I249" s="5" t="s">
        <v>747</v>
      </c>
      <c r="J249" s="5">
        <v>0.74097222222222225</v>
      </c>
      <c r="K249" s="32">
        <f>_xlfn.MAXIFS(ConsumoConcreto[Fim do Bombeamento],ConsumoConcreto[RecebimentoID],RecebimentoConcreto[[#This Row],[RecebimentoID]])</f>
        <v>0.79791666666666661</v>
      </c>
      <c r="L249" s="1" t="s">
        <v>523</v>
      </c>
      <c r="M249" s="37">
        <v>36892</v>
      </c>
      <c r="N249" s="5" t="s">
        <v>25</v>
      </c>
      <c r="O249" s="9">
        <v>18</v>
      </c>
      <c r="P249" s="5" t="s">
        <v>26</v>
      </c>
      <c r="Q249" s="2"/>
      <c r="R249" s="5" t="s">
        <v>27</v>
      </c>
      <c r="S249" s="5" t="s">
        <v>500</v>
      </c>
      <c r="T249" s="39">
        <v>520</v>
      </c>
    </row>
    <row r="250" spans="1:20" ht="20.100000000000001" hidden="1" customHeight="1" x14ac:dyDescent="0.25">
      <c r="A250" s="26" t="str">
        <f>CONCATENATE(RIGHT(LEFT(RecebimentoConcreto[[#This Row],[Obra]],5),4),"RCBC",TEXT(RecebimentoConcreto[[#This Row],[Ordem]],"0000"))</f>
        <v>0184RCBC0525</v>
      </c>
      <c r="B250" s="1">
        <v>525</v>
      </c>
      <c r="C250" s="1" t="s">
        <v>21</v>
      </c>
      <c r="D250" s="35">
        <v>44952</v>
      </c>
      <c r="E250" s="1" t="s">
        <v>748</v>
      </c>
      <c r="F250" s="2" t="s">
        <v>749</v>
      </c>
      <c r="G250" s="2">
        <v>58691</v>
      </c>
      <c r="H250" s="2" t="s">
        <v>750</v>
      </c>
      <c r="I250" s="5" t="s">
        <v>751</v>
      </c>
      <c r="J250" s="5">
        <v>0.93958333333333333</v>
      </c>
      <c r="K250" s="32">
        <f>_xlfn.MAXIFS(ConsumoConcreto[Fim do Bombeamento],ConsumoConcreto[RecebimentoID],RecebimentoConcreto[[#This Row],[RecebimentoID]])</f>
        <v>0.98263888888888884</v>
      </c>
      <c r="L250" s="1" t="s">
        <v>752</v>
      </c>
      <c r="M250" s="37">
        <v>36892</v>
      </c>
      <c r="N250" s="5" t="s">
        <v>25</v>
      </c>
      <c r="O250" s="9">
        <v>14.5</v>
      </c>
      <c r="P250" s="5" t="s">
        <v>26</v>
      </c>
      <c r="Q250" s="2"/>
      <c r="R250" s="5" t="s">
        <v>27</v>
      </c>
      <c r="S250" s="5" t="s">
        <v>500</v>
      </c>
      <c r="T250" s="39">
        <v>520</v>
      </c>
    </row>
    <row r="251" spans="1:20" ht="20.100000000000001" hidden="1" customHeight="1" x14ac:dyDescent="0.25">
      <c r="A251" s="26" t="str">
        <f>CONCATENATE(RIGHT(LEFT(RecebimentoConcreto[[#This Row],[Obra]],5),4),"RCBC",TEXT(RecebimentoConcreto[[#This Row],[Ordem]],"0000"))</f>
        <v>0184RCBC0526</v>
      </c>
      <c r="B251" s="1">
        <v>526</v>
      </c>
      <c r="C251" s="1" t="s">
        <v>21</v>
      </c>
      <c r="D251" s="35">
        <v>44953</v>
      </c>
      <c r="E251" s="1" t="s">
        <v>753</v>
      </c>
      <c r="F251" s="2" t="s">
        <v>754</v>
      </c>
      <c r="G251" s="2">
        <v>58691</v>
      </c>
      <c r="H251" s="2" t="s">
        <v>755</v>
      </c>
      <c r="I251" s="5" t="s">
        <v>756</v>
      </c>
      <c r="J251" s="5">
        <v>0.72777777777777775</v>
      </c>
      <c r="K251" s="32">
        <f>_xlfn.MAXIFS(ConsumoConcreto[Fim do Bombeamento],ConsumoConcreto[RecebimentoID],RecebimentoConcreto[[#This Row],[RecebimentoID]])</f>
        <v>0.77500000000000002</v>
      </c>
      <c r="L251" s="1" t="s">
        <v>757</v>
      </c>
      <c r="M251" s="37">
        <v>36892</v>
      </c>
      <c r="N251" s="5" t="s">
        <v>25</v>
      </c>
      <c r="O251" s="9">
        <v>18.5</v>
      </c>
      <c r="P251" s="5" t="s">
        <v>26</v>
      </c>
      <c r="Q251" s="2"/>
      <c r="R251" s="5" t="s">
        <v>27</v>
      </c>
      <c r="S251" s="5" t="s">
        <v>500</v>
      </c>
      <c r="T251" s="39">
        <v>520</v>
      </c>
    </row>
    <row r="252" spans="1:20" ht="20.100000000000001" hidden="1" customHeight="1" x14ac:dyDescent="0.25">
      <c r="A252" s="26" t="str">
        <f>CONCATENATE(RIGHT(LEFT(RecebimentoConcreto[[#This Row],[Obra]],5),4),"RCBC",TEXT(RecebimentoConcreto[[#This Row],[Ordem]],"0000"))</f>
        <v>0184RCBC0527</v>
      </c>
      <c r="B252" s="1">
        <v>527</v>
      </c>
      <c r="C252" s="1" t="s">
        <v>21</v>
      </c>
      <c r="D252" s="35">
        <v>44957</v>
      </c>
      <c r="E252" s="1" t="s">
        <v>758</v>
      </c>
      <c r="F252" s="2" t="s">
        <v>759</v>
      </c>
      <c r="G252" s="2">
        <v>58691</v>
      </c>
      <c r="H252" s="2" t="s">
        <v>760</v>
      </c>
      <c r="I252" s="5" t="s">
        <v>761</v>
      </c>
      <c r="J252" s="5">
        <v>0.8305555555555556</v>
      </c>
      <c r="K252" s="32">
        <f>_xlfn.MAXIFS(ConsumoConcreto[Fim do Bombeamento],ConsumoConcreto[RecebimentoID],RecebimentoConcreto[[#This Row],[RecebimentoID]])</f>
        <v>0.87708333333333333</v>
      </c>
      <c r="L252" s="1" t="s">
        <v>762</v>
      </c>
      <c r="M252" s="37">
        <v>36892</v>
      </c>
      <c r="N252" s="5" t="s">
        <v>25</v>
      </c>
      <c r="O252" s="9">
        <v>18</v>
      </c>
      <c r="P252" s="5" t="s">
        <v>26</v>
      </c>
      <c r="Q252" s="2"/>
      <c r="R252" s="5" t="s">
        <v>27</v>
      </c>
      <c r="S252" s="5" t="s">
        <v>500</v>
      </c>
      <c r="T252" s="39">
        <v>520</v>
      </c>
    </row>
    <row r="253" spans="1:20" ht="20.100000000000001" hidden="1" customHeight="1" x14ac:dyDescent="0.25">
      <c r="A253" s="26" t="str">
        <f>CONCATENATE(RIGHT(LEFT(RecebimentoConcreto[[#This Row],[Obra]],5),4),"RCBC",TEXT(RecebimentoConcreto[[#This Row],[Ordem]],"0000"))</f>
        <v>0184RCBC0528</v>
      </c>
      <c r="B253" s="1">
        <v>528</v>
      </c>
      <c r="C253" s="1" t="s">
        <v>21</v>
      </c>
      <c r="D253" s="35">
        <v>44957</v>
      </c>
      <c r="E253" s="1" t="s">
        <v>763</v>
      </c>
      <c r="F253" s="2" t="s">
        <v>764</v>
      </c>
      <c r="G253" s="2">
        <v>58691</v>
      </c>
      <c r="H253" s="2" t="s">
        <v>765</v>
      </c>
      <c r="I253" s="5" t="s">
        <v>766</v>
      </c>
      <c r="J253" s="5">
        <v>0.75347222222222221</v>
      </c>
      <c r="K253" s="32">
        <f>_xlfn.MAXIFS(ConsumoConcreto[Fim do Bombeamento],ConsumoConcreto[RecebimentoID],RecebimentoConcreto[[#This Row],[RecebimentoID]])</f>
        <v>0.79861111111111116</v>
      </c>
      <c r="L253" s="1" t="s">
        <v>767</v>
      </c>
      <c r="M253" s="37">
        <v>36892</v>
      </c>
      <c r="N253" s="5" t="s">
        <v>25</v>
      </c>
      <c r="O253" s="9">
        <v>14.5</v>
      </c>
      <c r="P253" s="5" t="s">
        <v>26</v>
      </c>
      <c r="Q253" s="2"/>
      <c r="R253" s="5" t="s">
        <v>27</v>
      </c>
      <c r="S253" s="5" t="s">
        <v>500</v>
      </c>
      <c r="T253" s="39">
        <v>520</v>
      </c>
    </row>
    <row r="254" spans="1:20" ht="20.100000000000001" hidden="1" customHeight="1" x14ac:dyDescent="0.25">
      <c r="A254" s="26" t="str">
        <f>CONCATENATE(RIGHT(LEFT(RecebimentoConcreto[[#This Row],[Obra]],5),4),"RCBC",TEXT(RecebimentoConcreto[[#This Row],[Ordem]],"0000"))</f>
        <v>0184RCBC0529</v>
      </c>
      <c r="B254" s="1">
        <v>529</v>
      </c>
      <c r="C254" s="1" t="s">
        <v>21</v>
      </c>
      <c r="D254" s="35">
        <v>44958</v>
      </c>
      <c r="E254" s="1" t="s">
        <v>768</v>
      </c>
      <c r="F254" s="2" t="s">
        <v>769</v>
      </c>
      <c r="G254" s="2">
        <v>58691</v>
      </c>
      <c r="H254" s="2" t="s">
        <v>770</v>
      </c>
      <c r="I254" s="5" t="s">
        <v>771</v>
      </c>
      <c r="J254" s="5">
        <v>0.73055555555555562</v>
      </c>
      <c r="K254" s="32">
        <f>_xlfn.MAXIFS(ConsumoConcreto[Fim do Bombeamento],ConsumoConcreto[RecebimentoID],RecebimentoConcreto[[#This Row],[RecebimentoID]])</f>
        <v>0.78819444444444453</v>
      </c>
      <c r="L254" s="1" t="s">
        <v>772</v>
      </c>
      <c r="M254" s="37">
        <v>36892</v>
      </c>
      <c r="N254" s="5" t="s">
        <v>25</v>
      </c>
      <c r="O254" s="9">
        <v>18</v>
      </c>
      <c r="P254" s="5" t="s">
        <v>26</v>
      </c>
      <c r="Q254" s="2"/>
      <c r="R254" s="5" t="s">
        <v>27</v>
      </c>
      <c r="S254" s="5" t="s">
        <v>500</v>
      </c>
      <c r="T254" s="39">
        <v>520</v>
      </c>
    </row>
    <row r="255" spans="1:20" ht="20.100000000000001" hidden="1" customHeight="1" x14ac:dyDescent="0.25">
      <c r="A255" s="26" t="str">
        <f>CONCATENATE(RIGHT(LEFT(RecebimentoConcreto[[#This Row],[Obra]],5),4),"RCBC",TEXT(RecebimentoConcreto[[#This Row],[Ordem]],"0000"))</f>
        <v>0184RCBC0530</v>
      </c>
      <c r="B255" s="1">
        <v>530</v>
      </c>
      <c r="C255" s="1" t="s">
        <v>21</v>
      </c>
      <c r="D255" s="35">
        <v>44958</v>
      </c>
      <c r="E255" s="1" t="s">
        <v>773</v>
      </c>
      <c r="F255" s="2" t="s">
        <v>774</v>
      </c>
      <c r="G255" s="2">
        <v>58691</v>
      </c>
      <c r="H255" s="2" t="s">
        <v>775</v>
      </c>
      <c r="I255" s="5" t="s">
        <v>776</v>
      </c>
      <c r="J255" s="5">
        <v>0.66388888888888886</v>
      </c>
      <c r="K255" s="32">
        <f>_xlfn.MAXIFS(ConsumoConcreto[Fim do Bombeamento],ConsumoConcreto[RecebimentoID],RecebimentoConcreto[[#This Row],[RecebimentoID]])</f>
        <v>0.69930555555555562</v>
      </c>
      <c r="L255" s="1" t="s">
        <v>662</v>
      </c>
      <c r="M255" s="37">
        <v>36892</v>
      </c>
      <c r="N255" s="5" t="s">
        <v>25</v>
      </c>
      <c r="O255" s="9">
        <v>14.5</v>
      </c>
      <c r="P255" s="5" t="s">
        <v>26</v>
      </c>
      <c r="Q255" s="2"/>
      <c r="R255" s="5" t="s">
        <v>27</v>
      </c>
      <c r="S255" s="5" t="s">
        <v>500</v>
      </c>
      <c r="T255" s="39">
        <v>520</v>
      </c>
    </row>
    <row r="256" spans="1:20" ht="20.100000000000001" hidden="1" customHeight="1" x14ac:dyDescent="0.25">
      <c r="A256" s="26" t="str">
        <f>CONCATENATE(RIGHT(LEFT(RecebimentoConcreto[[#This Row],[Obra]],5),4),"RCBC",TEXT(RecebimentoConcreto[[#This Row],[Ordem]],"0000"))</f>
        <v>0184RCBC0531</v>
      </c>
      <c r="B256" s="1">
        <v>531</v>
      </c>
      <c r="C256" s="1" t="s">
        <v>21</v>
      </c>
      <c r="D256" s="35">
        <v>44959</v>
      </c>
      <c r="E256" s="1" t="s">
        <v>777</v>
      </c>
      <c r="F256" s="2" t="s">
        <v>778</v>
      </c>
      <c r="G256" s="2">
        <v>58691</v>
      </c>
      <c r="H256" s="2" t="s">
        <v>779</v>
      </c>
      <c r="I256" s="5" t="s">
        <v>780</v>
      </c>
      <c r="J256" s="5">
        <v>0.73263888888888884</v>
      </c>
      <c r="K256" s="32">
        <f>_xlfn.MAXIFS(ConsumoConcreto[Fim do Bombeamento],ConsumoConcreto[RecebimentoID],RecebimentoConcreto[[#This Row],[RecebimentoID]])</f>
        <v>0.78333333333333333</v>
      </c>
      <c r="L256" s="1" t="s">
        <v>781</v>
      </c>
      <c r="M256" s="37">
        <v>36892</v>
      </c>
      <c r="N256" s="5" t="s">
        <v>25</v>
      </c>
      <c r="O256" s="9">
        <v>18</v>
      </c>
      <c r="P256" s="5" t="s">
        <v>26</v>
      </c>
      <c r="Q256" s="2"/>
      <c r="R256" s="5" t="s">
        <v>27</v>
      </c>
      <c r="S256" s="5" t="s">
        <v>500</v>
      </c>
      <c r="T256" s="39">
        <v>520</v>
      </c>
    </row>
    <row r="257" spans="1:20" ht="20.100000000000001" hidden="1" customHeight="1" x14ac:dyDescent="0.25">
      <c r="A257" s="26" t="str">
        <f>CONCATENATE(RIGHT(LEFT(RecebimentoConcreto[[#This Row],[Obra]],5),4),"RCBC",TEXT(RecebimentoConcreto[[#This Row],[Ordem]],"0000"))</f>
        <v>0184RCBC0532</v>
      </c>
      <c r="B257" s="1">
        <v>532</v>
      </c>
      <c r="C257" s="1" t="s">
        <v>21</v>
      </c>
      <c r="D257" s="35">
        <v>44959</v>
      </c>
      <c r="E257" s="1" t="s">
        <v>782</v>
      </c>
      <c r="F257" s="2" t="s">
        <v>783</v>
      </c>
      <c r="G257" s="2">
        <v>58691</v>
      </c>
      <c r="H257" s="2" t="s">
        <v>784</v>
      </c>
      <c r="I257" s="5" t="s">
        <v>785</v>
      </c>
      <c r="J257" s="5">
        <v>0.67986111111111114</v>
      </c>
      <c r="K257" s="32">
        <f>_xlfn.MAXIFS(ConsumoConcreto[Fim do Bombeamento],ConsumoConcreto[RecebimentoID],RecebimentoConcreto[[#This Row],[RecebimentoID]])</f>
        <v>0.7104166666666667</v>
      </c>
      <c r="L257" s="1" t="s">
        <v>786</v>
      </c>
      <c r="M257" s="37">
        <v>36892</v>
      </c>
      <c r="N257" s="5" t="s">
        <v>25</v>
      </c>
      <c r="O257" s="9">
        <v>14.5</v>
      </c>
      <c r="P257" s="5" t="s">
        <v>26</v>
      </c>
      <c r="Q257" s="2"/>
      <c r="R257" s="5" t="s">
        <v>27</v>
      </c>
      <c r="S257" s="5" t="s">
        <v>500</v>
      </c>
      <c r="T257" s="39">
        <v>520</v>
      </c>
    </row>
    <row r="258" spans="1:20" ht="20.100000000000001" hidden="1" customHeight="1" x14ac:dyDescent="0.25">
      <c r="A258" s="26" t="str">
        <f>CONCATENATE(RIGHT(LEFT(RecebimentoConcreto[[#This Row],[Obra]],5),4),"RCBC",TEXT(RecebimentoConcreto[[#This Row],[Ordem]],"0000"))</f>
        <v>0184RCBC0533</v>
      </c>
      <c r="B258" s="1">
        <v>533</v>
      </c>
      <c r="C258" s="1" t="s">
        <v>21</v>
      </c>
      <c r="D258" s="35">
        <v>44960</v>
      </c>
      <c r="E258" s="1" t="s">
        <v>787</v>
      </c>
      <c r="F258" s="2" t="s">
        <v>788</v>
      </c>
      <c r="G258" s="2">
        <v>58691</v>
      </c>
      <c r="H258" s="2" t="s">
        <v>789</v>
      </c>
      <c r="I258" s="5" t="s">
        <v>790</v>
      </c>
      <c r="J258" s="5">
        <v>0.7006944444444444</v>
      </c>
      <c r="K258" s="32">
        <f>_xlfn.MAXIFS(ConsumoConcreto[Fim do Bombeamento],ConsumoConcreto[RecebimentoID],RecebimentoConcreto[[#This Row],[RecebimentoID]])</f>
        <v>0.73263888888888884</v>
      </c>
      <c r="L258" s="1" t="s">
        <v>508</v>
      </c>
      <c r="M258" s="37">
        <v>36892</v>
      </c>
      <c r="N258" s="5" t="s">
        <v>25</v>
      </c>
      <c r="O258" s="9">
        <v>14.5</v>
      </c>
      <c r="P258" s="5" t="s">
        <v>26</v>
      </c>
      <c r="Q258" s="2"/>
      <c r="R258" s="5" t="s">
        <v>27</v>
      </c>
      <c r="S258" s="5" t="s">
        <v>500</v>
      </c>
      <c r="T258" s="39">
        <v>520</v>
      </c>
    </row>
    <row r="259" spans="1:20" ht="20.100000000000001" hidden="1" customHeight="1" x14ac:dyDescent="0.25">
      <c r="A259" s="26" t="str">
        <f>CONCATENATE(RIGHT(LEFT(RecebimentoConcreto[[#This Row],[Obra]],5),4),"RCBC",TEXT(RecebimentoConcreto[[#This Row],[Ordem]],"0000"))</f>
        <v>0184RCBC0534</v>
      </c>
      <c r="B259" s="1">
        <v>534</v>
      </c>
      <c r="C259" s="1" t="s">
        <v>21</v>
      </c>
      <c r="D259" s="35">
        <v>44961</v>
      </c>
      <c r="E259" s="1" t="s">
        <v>791</v>
      </c>
      <c r="F259" s="2" t="s">
        <v>792</v>
      </c>
      <c r="G259" s="2">
        <v>58691</v>
      </c>
      <c r="H259" s="2" t="s">
        <v>793</v>
      </c>
      <c r="I259" s="5" t="s">
        <v>794</v>
      </c>
      <c r="J259" s="5">
        <v>0.6972222222222223</v>
      </c>
      <c r="K259" s="32">
        <f>_xlfn.MAXIFS(ConsumoConcreto[Fim do Bombeamento],ConsumoConcreto[RecebimentoID],RecebimentoConcreto[[#This Row],[RecebimentoID]])</f>
        <v>0.73958333333333337</v>
      </c>
      <c r="L259" s="1" t="s">
        <v>795</v>
      </c>
      <c r="M259" s="37">
        <v>36892</v>
      </c>
      <c r="N259" s="5" t="s">
        <v>25</v>
      </c>
      <c r="O259" s="9">
        <v>18.5</v>
      </c>
      <c r="P259" s="5" t="s">
        <v>26</v>
      </c>
      <c r="Q259" s="2"/>
      <c r="R259" s="5" t="s">
        <v>27</v>
      </c>
      <c r="S259" s="5" t="s">
        <v>500</v>
      </c>
      <c r="T259" s="39">
        <v>520</v>
      </c>
    </row>
    <row r="260" spans="1:20" ht="20.100000000000001" hidden="1" customHeight="1" x14ac:dyDescent="0.25">
      <c r="A260" s="26" t="str">
        <f>CONCATENATE(RIGHT(LEFT(RecebimentoConcreto[[#This Row],[Obra]],5),4),"RCBC",TEXT(RecebimentoConcreto[[#This Row],[Ordem]],"0000"))</f>
        <v>0184RCBC0536</v>
      </c>
      <c r="B260" s="1">
        <v>536</v>
      </c>
      <c r="C260" s="1" t="s">
        <v>21</v>
      </c>
      <c r="D260" s="35">
        <v>44960</v>
      </c>
      <c r="E260" s="1" t="s">
        <v>796</v>
      </c>
      <c r="F260" s="2" t="s">
        <v>797</v>
      </c>
      <c r="G260" s="2">
        <v>58691</v>
      </c>
      <c r="H260" s="2" t="s">
        <v>798</v>
      </c>
      <c r="I260" s="5" t="s">
        <v>799</v>
      </c>
      <c r="J260" s="5">
        <v>0.74097222222222225</v>
      </c>
      <c r="K260" s="32">
        <f>_xlfn.MAXIFS(ConsumoConcreto[Fim do Bombeamento],ConsumoConcreto[RecebimentoID],RecebimentoConcreto[[#This Row],[RecebimentoID]])</f>
        <v>0.81458333333333333</v>
      </c>
      <c r="L260" s="1" t="s">
        <v>800</v>
      </c>
      <c r="M260" s="37">
        <v>36892</v>
      </c>
      <c r="N260" s="5" t="s">
        <v>25</v>
      </c>
      <c r="O260" s="9">
        <v>18</v>
      </c>
      <c r="P260" s="5" t="s">
        <v>26</v>
      </c>
      <c r="Q260" s="2"/>
      <c r="R260" s="5" t="s">
        <v>27</v>
      </c>
      <c r="S260" s="5" t="s">
        <v>500</v>
      </c>
      <c r="T260" s="39">
        <v>520</v>
      </c>
    </row>
    <row r="261" spans="1:20" ht="20.100000000000001" hidden="1" customHeight="1" x14ac:dyDescent="0.25">
      <c r="A261" s="26" t="str">
        <f>CONCATENATE(RIGHT(LEFT(RecebimentoConcreto[[#This Row],[Obra]],5),4),"RCBC",TEXT(RecebimentoConcreto[[#This Row],[Ordem]],"0000"))</f>
        <v>0184RCBC0540</v>
      </c>
      <c r="B261" s="1">
        <v>540</v>
      </c>
      <c r="C261" s="1" t="s">
        <v>21</v>
      </c>
      <c r="D261" s="35"/>
      <c r="K261" s="32">
        <f>_xlfn.MAXIFS(ConsumoConcreto[Fim do Bombeamento],ConsumoConcreto[RecebimentoID],RecebimentoConcreto[[#This Row],[RecebimentoID]])</f>
        <v>0</v>
      </c>
      <c r="M261" s="37">
        <v>36892</v>
      </c>
      <c r="N261" s="5" t="s">
        <v>25</v>
      </c>
      <c r="O261" s="9"/>
      <c r="P261" s="5" t="s">
        <v>26</v>
      </c>
      <c r="Q261" s="2"/>
      <c r="R261" s="5" t="s">
        <v>27</v>
      </c>
      <c r="S261" s="5"/>
    </row>
    <row r="262" spans="1:20" ht="20.100000000000001" hidden="1" customHeight="1" x14ac:dyDescent="0.25">
      <c r="A262" s="26" t="str">
        <f>CONCATENATE(RIGHT(LEFT(RecebimentoConcreto[[#This Row],[Obra]],5),4),"RCBC",TEXT(RecebimentoConcreto[[#This Row],[Ordem]],"0000"))</f>
        <v>0184RCBC0568</v>
      </c>
      <c r="B262" s="1">
        <v>568</v>
      </c>
      <c r="C262" s="1" t="s">
        <v>21</v>
      </c>
      <c r="D262" s="35">
        <v>44648</v>
      </c>
      <c r="E262" s="1" t="s">
        <v>801</v>
      </c>
      <c r="F262" s="2" t="s">
        <v>802</v>
      </c>
      <c r="G262" s="2">
        <v>5408</v>
      </c>
      <c r="H262" s="2" t="s">
        <v>803</v>
      </c>
      <c r="K262" s="32">
        <f>_xlfn.MAXIFS(ConsumoConcreto[Fim do Bombeamento],ConsumoConcreto[RecebimentoID],RecebimentoConcreto[[#This Row],[RecebimentoID]])</f>
        <v>0</v>
      </c>
      <c r="M262" s="37">
        <v>36892</v>
      </c>
      <c r="N262" s="5" t="s">
        <v>25</v>
      </c>
      <c r="O262" s="9">
        <v>18</v>
      </c>
      <c r="P262" s="5" t="s">
        <v>26</v>
      </c>
      <c r="Q262" s="2">
        <v>2</v>
      </c>
      <c r="R262" s="5" t="s">
        <v>27</v>
      </c>
      <c r="S262" s="5" t="s">
        <v>32</v>
      </c>
      <c r="T262" s="39">
        <v>385.2</v>
      </c>
    </row>
    <row r="263" spans="1:20" ht="20.100000000000001" hidden="1" customHeight="1" x14ac:dyDescent="0.25">
      <c r="A263" s="26" t="str">
        <f>CONCATENATE(RIGHT(LEFT(RecebimentoConcreto[[#This Row],[Obra]],5),4),"RCBC",TEXT(RecebimentoConcreto[[#This Row],[Ordem]],"0000"))</f>
        <v>0184RCBC0569</v>
      </c>
      <c r="B263" s="1">
        <v>569</v>
      </c>
      <c r="C263" s="1" t="s">
        <v>21</v>
      </c>
      <c r="D263" s="35">
        <v>44650</v>
      </c>
      <c r="E263" s="1" t="s">
        <v>804</v>
      </c>
      <c r="F263" s="2" t="s">
        <v>805</v>
      </c>
      <c r="G263" s="2">
        <v>5408</v>
      </c>
      <c r="H263" s="2" t="s">
        <v>806</v>
      </c>
      <c r="K263" s="32">
        <f>_xlfn.MAXIFS(ConsumoConcreto[Fim do Bombeamento],ConsumoConcreto[RecebimentoID],RecebimentoConcreto[[#This Row],[RecebimentoID]])</f>
        <v>0</v>
      </c>
      <c r="M263" s="37">
        <v>36892</v>
      </c>
      <c r="N263" s="5" t="s">
        <v>25</v>
      </c>
      <c r="O263" s="9">
        <v>18.5</v>
      </c>
      <c r="P263" s="5" t="s">
        <v>26</v>
      </c>
      <c r="Q263" s="2">
        <v>2</v>
      </c>
      <c r="R263" s="5" t="s">
        <v>27</v>
      </c>
      <c r="S263" s="5" t="s">
        <v>32</v>
      </c>
      <c r="T263" s="39">
        <v>385.2</v>
      </c>
    </row>
    <row r="264" spans="1:20" ht="20.100000000000001" hidden="1" customHeight="1" x14ac:dyDescent="0.25">
      <c r="A264" s="26" t="str">
        <f>CONCATENATE(RIGHT(LEFT(RecebimentoConcreto[[#This Row],[Obra]],5),4),"RCBC",TEXT(RecebimentoConcreto[[#This Row],[Ordem]],"0000"))</f>
        <v>0184RCBC0570</v>
      </c>
      <c r="B264" s="1">
        <v>570</v>
      </c>
      <c r="C264" s="1" t="s">
        <v>21</v>
      </c>
      <c r="D264" s="35">
        <v>44652</v>
      </c>
      <c r="E264" s="1" t="s">
        <v>807</v>
      </c>
      <c r="F264" s="2" t="s">
        <v>808</v>
      </c>
      <c r="G264" s="2">
        <v>5408</v>
      </c>
      <c r="H264" s="2" t="s">
        <v>809</v>
      </c>
      <c r="J264" s="5">
        <v>0.6479166666666667</v>
      </c>
      <c r="K264" s="32">
        <f>_xlfn.MAXIFS(ConsumoConcreto[Fim do Bombeamento],ConsumoConcreto[RecebimentoID],RecebimentoConcreto[[#This Row],[RecebimentoID]])</f>
        <v>0.71875</v>
      </c>
      <c r="M264" s="37">
        <v>36892</v>
      </c>
      <c r="N264" s="5" t="s">
        <v>25</v>
      </c>
      <c r="O264" s="9">
        <v>18</v>
      </c>
      <c r="P264" s="5" t="s">
        <v>26</v>
      </c>
      <c r="Q264" s="2">
        <v>3</v>
      </c>
      <c r="R264" s="5" t="s">
        <v>27</v>
      </c>
      <c r="S264" s="5" t="s">
        <v>32</v>
      </c>
      <c r="T264" s="39">
        <v>412.16399999999999</v>
      </c>
    </row>
    <row r="265" spans="1:20" ht="20.100000000000001" hidden="1" customHeight="1" x14ac:dyDescent="0.25">
      <c r="A265" s="26" t="str">
        <f>CONCATENATE(RIGHT(LEFT(RecebimentoConcreto[[#This Row],[Obra]],5),4),"RCBC",TEXT(RecebimentoConcreto[[#This Row],[Ordem]],"0000"))</f>
        <v>0184RCBC0571</v>
      </c>
      <c r="B265" s="1">
        <v>571</v>
      </c>
      <c r="C265" s="1" t="s">
        <v>21</v>
      </c>
      <c r="D265" s="35">
        <v>44656</v>
      </c>
      <c r="E265" s="1" t="s">
        <v>810</v>
      </c>
      <c r="F265" s="2" t="s">
        <v>811</v>
      </c>
      <c r="G265" s="2">
        <v>5408</v>
      </c>
      <c r="H265" s="2" t="s">
        <v>812</v>
      </c>
      <c r="J265" s="5">
        <v>0.47916666666666669</v>
      </c>
      <c r="K265" s="32">
        <f>_xlfn.MAXIFS(ConsumoConcreto[Fim do Bombeamento],ConsumoConcreto[RecebimentoID],RecebimentoConcreto[[#This Row],[RecebimentoID]])</f>
        <v>0.63888888888888895</v>
      </c>
      <c r="M265" s="37">
        <v>36892</v>
      </c>
      <c r="N265" s="5" t="s">
        <v>25</v>
      </c>
      <c r="O265" s="9">
        <v>18</v>
      </c>
      <c r="P265" s="5" t="s">
        <v>26</v>
      </c>
      <c r="Q265" s="2">
        <v>3</v>
      </c>
      <c r="R265" s="5" t="s">
        <v>27</v>
      </c>
      <c r="S265" s="5" t="s">
        <v>32</v>
      </c>
      <c r="T265" s="39">
        <v>412.16399999999999</v>
      </c>
    </row>
    <row r="266" spans="1:20" ht="20.100000000000001" hidden="1" customHeight="1" x14ac:dyDescent="0.25">
      <c r="A266" s="26" t="str">
        <f>CONCATENATE(RIGHT(LEFT(RecebimentoConcreto[[#This Row],[Obra]],5),4),"RCBC",TEXT(RecebimentoConcreto[[#This Row],[Ordem]],"0000"))</f>
        <v>0184RCBC0572</v>
      </c>
      <c r="B266" s="1">
        <v>572</v>
      </c>
      <c r="C266" s="1" t="s">
        <v>21</v>
      </c>
      <c r="D266" s="35">
        <v>44657</v>
      </c>
      <c r="E266" s="1" t="s">
        <v>813</v>
      </c>
      <c r="F266" s="2" t="s">
        <v>814</v>
      </c>
      <c r="G266" s="2">
        <v>5408</v>
      </c>
      <c r="H266" s="2" t="s">
        <v>815</v>
      </c>
      <c r="J266" s="5">
        <v>0.76388888888888884</v>
      </c>
      <c r="K266" s="32">
        <f>_xlfn.MAXIFS(ConsumoConcreto[Fim do Bombeamento],ConsumoConcreto[RecebimentoID],RecebimentoConcreto[[#This Row],[RecebimentoID]])</f>
        <v>0.8125</v>
      </c>
      <c r="M266" s="37">
        <v>36892</v>
      </c>
      <c r="N266" s="5" t="s">
        <v>25</v>
      </c>
      <c r="O266" s="9">
        <v>18</v>
      </c>
      <c r="P266" s="5" t="s">
        <v>26</v>
      </c>
      <c r="Q266" s="2">
        <v>3</v>
      </c>
      <c r="R266" s="5" t="s">
        <v>27</v>
      </c>
      <c r="S266" s="5" t="s">
        <v>32</v>
      </c>
      <c r="T266" s="39">
        <v>412.16399999999999</v>
      </c>
    </row>
    <row r="267" spans="1:20" ht="20.100000000000001" hidden="1" customHeight="1" x14ac:dyDescent="0.25">
      <c r="A267" s="26" t="str">
        <f>CONCATENATE(RIGHT(LEFT(RecebimentoConcreto[[#This Row],[Obra]],5),4),"RCBC",TEXT(RecebimentoConcreto[[#This Row],[Ordem]],"0000"))</f>
        <v>0184RCBC0573</v>
      </c>
      <c r="B267" s="1">
        <v>573</v>
      </c>
      <c r="C267" s="1" t="s">
        <v>21</v>
      </c>
      <c r="D267" s="35">
        <v>44658</v>
      </c>
      <c r="E267" s="1" t="s">
        <v>816</v>
      </c>
      <c r="F267" s="2" t="s">
        <v>817</v>
      </c>
      <c r="G267" s="2">
        <v>5408</v>
      </c>
      <c r="H267" s="2" t="s">
        <v>818</v>
      </c>
      <c r="J267" s="5">
        <v>0.83333333333333337</v>
      </c>
      <c r="K267" s="32">
        <f>_xlfn.MAXIFS(ConsumoConcreto[Fim do Bombeamento],ConsumoConcreto[RecebimentoID],RecebimentoConcreto[[#This Row],[RecebimentoID]])</f>
        <v>0.88541666666666663</v>
      </c>
      <c r="M267" s="37">
        <v>36892</v>
      </c>
      <c r="N267" s="5" t="s">
        <v>25</v>
      </c>
      <c r="O267" s="9">
        <v>18</v>
      </c>
      <c r="P267" s="5" t="s">
        <v>26</v>
      </c>
      <c r="Q267" s="2">
        <v>3</v>
      </c>
      <c r="R267" s="5" t="s">
        <v>27</v>
      </c>
      <c r="S267" s="5" t="s">
        <v>32</v>
      </c>
      <c r="T267" s="39">
        <v>412.16399999999999</v>
      </c>
    </row>
    <row r="268" spans="1:20" ht="20.100000000000001" hidden="1" customHeight="1" x14ac:dyDescent="0.25">
      <c r="A268" s="26" t="str">
        <f>CONCATENATE(RIGHT(LEFT(RecebimentoConcreto[[#This Row],[Obra]],5),4),"RCBC",TEXT(RecebimentoConcreto[[#This Row],[Ordem]],"0000"))</f>
        <v>0184RCBC0574</v>
      </c>
      <c r="B268" s="1">
        <v>574</v>
      </c>
      <c r="C268" s="1" t="s">
        <v>21</v>
      </c>
      <c r="D268" s="35">
        <v>44659</v>
      </c>
      <c r="E268" s="1" t="s">
        <v>819</v>
      </c>
      <c r="F268" s="2" t="s">
        <v>820</v>
      </c>
      <c r="G268" s="2">
        <v>5408</v>
      </c>
      <c r="H268" s="2" t="s">
        <v>821</v>
      </c>
      <c r="J268" s="5">
        <v>0.84027777777777779</v>
      </c>
      <c r="K268" s="32">
        <f>_xlfn.MAXIFS(ConsumoConcreto[Fim do Bombeamento],ConsumoConcreto[RecebimentoID],RecebimentoConcreto[[#This Row],[RecebimentoID]])</f>
        <v>0.89236111111111116</v>
      </c>
      <c r="M268" s="37">
        <v>36892</v>
      </c>
      <c r="N268" s="5" t="s">
        <v>25</v>
      </c>
      <c r="O268" s="9">
        <v>18</v>
      </c>
      <c r="P268" s="5" t="s">
        <v>26</v>
      </c>
      <c r="Q268" s="2">
        <v>3</v>
      </c>
      <c r="R268" s="5" t="s">
        <v>27</v>
      </c>
      <c r="S268" s="5" t="s">
        <v>32</v>
      </c>
      <c r="T268" s="39">
        <v>412.16399999999999</v>
      </c>
    </row>
    <row r="269" spans="1:20" ht="20.100000000000001" hidden="1" customHeight="1" x14ac:dyDescent="0.25">
      <c r="A269" s="26" t="str">
        <f>CONCATENATE(RIGHT(LEFT(RecebimentoConcreto[[#This Row],[Obra]],5),4),"RCBC",TEXT(RecebimentoConcreto[[#This Row],[Ordem]],"0000"))</f>
        <v>0184RCBC0575</v>
      </c>
      <c r="B269" s="1">
        <v>575</v>
      </c>
      <c r="C269" s="1" t="s">
        <v>21</v>
      </c>
      <c r="D269" s="35">
        <v>44662</v>
      </c>
      <c r="E269" s="1" t="s">
        <v>822</v>
      </c>
      <c r="F269" s="2" t="s">
        <v>823</v>
      </c>
      <c r="G269" s="2">
        <v>5408</v>
      </c>
      <c r="H269" s="2" t="s">
        <v>824</v>
      </c>
      <c r="J269" s="5">
        <v>0.80902777777777779</v>
      </c>
      <c r="K269" s="32">
        <f>_xlfn.MAXIFS(ConsumoConcreto[Fim do Bombeamento],ConsumoConcreto[RecebimentoID],RecebimentoConcreto[[#This Row],[RecebimentoID]])</f>
        <v>0.88541666666666663</v>
      </c>
      <c r="M269" s="37">
        <v>36892</v>
      </c>
      <c r="N269" s="5" t="s">
        <v>25</v>
      </c>
      <c r="O269" s="9">
        <v>18</v>
      </c>
      <c r="P269" s="5" t="s">
        <v>26</v>
      </c>
      <c r="Q269" s="2">
        <v>3</v>
      </c>
      <c r="R269" s="5" t="s">
        <v>27</v>
      </c>
      <c r="S269" s="5" t="s">
        <v>32</v>
      </c>
      <c r="T269" s="39">
        <v>412.16</v>
      </c>
    </row>
    <row r="270" spans="1:20" ht="20.100000000000001" hidden="1" customHeight="1" x14ac:dyDescent="0.25">
      <c r="A270" s="26" t="str">
        <f>CONCATENATE(RIGHT(LEFT(RecebimentoConcreto[[#This Row],[Obra]],5),4),"RCBC",TEXT(RecebimentoConcreto[[#This Row],[Ordem]],"0000"))</f>
        <v>0184RCBC0576</v>
      </c>
      <c r="B270" s="1">
        <v>576</v>
      </c>
      <c r="C270" s="1" t="s">
        <v>21</v>
      </c>
      <c r="D270" s="35">
        <v>44663</v>
      </c>
      <c r="E270" s="1" t="s">
        <v>825</v>
      </c>
      <c r="F270" s="2" t="s">
        <v>826</v>
      </c>
      <c r="G270" s="2">
        <v>5408</v>
      </c>
      <c r="H270" s="2" t="s">
        <v>827</v>
      </c>
      <c r="J270" s="5">
        <v>0.78611111111111109</v>
      </c>
      <c r="K270" s="32">
        <f>_xlfn.MAXIFS(ConsumoConcreto[Fim do Bombeamento],ConsumoConcreto[RecebimentoID],RecebimentoConcreto[[#This Row],[RecebimentoID]])</f>
        <v>0.82986111111111116</v>
      </c>
      <c r="M270" s="37">
        <v>36892</v>
      </c>
      <c r="N270" s="5" t="s">
        <v>25</v>
      </c>
      <c r="O270" s="9">
        <v>18</v>
      </c>
      <c r="P270" s="5" t="s">
        <v>26</v>
      </c>
      <c r="Q270" s="2">
        <v>3</v>
      </c>
      <c r="R270" s="5" t="s">
        <v>27</v>
      </c>
      <c r="S270" s="5" t="s">
        <v>32</v>
      </c>
      <c r="T270" s="39">
        <v>412.16</v>
      </c>
    </row>
    <row r="271" spans="1:20" ht="20.100000000000001" hidden="1" customHeight="1" x14ac:dyDescent="0.25">
      <c r="A271" s="26" t="str">
        <f>CONCATENATE(RIGHT(LEFT(RecebimentoConcreto[[#This Row],[Obra]],5),4),"RCBC",TEXT(RecebimentoConcreto[[#This Row],[Ordem]],"0000"))</f>
        <v>0184RCBC0577</v>
      </c>
      <c r="B271" s="1">
        <v>577</v>
      </c>
      <c r="C271" s="1" t="s">
        <v>21</v>
      </c>
      <c r="D271" s="35">
        <v>44664</v>
      </c>
      <c r="E271" s="1" t="s">
        <v>828</v>
      </c>
      <c r="F271" s="2" t="s">
        <v>829</v>
      </c>
      <c r="G271" s="2">
        <v>5408</v>
      </c>
      <c r="H271" s="2" t="s">
        <v>830</v>
      </c>
      <c r="J271" s="5">
        <v>0.75347222222222221</v>
      </c>
      <c r="K271" s="32">
        <f>_xlfn.MAXIFS(ConsumoConcreto[Fim do Bombeamento],ConsumoConcreto[RecebimentoID],RecebimentoConcreto[[#This Row],[RecebimentoID]])</f>
        <v>0.79513888888888884</v>
      </c>
      <c r="M271" s="37">
        <v>36892</v>
      </c>
      <c r="N271" s="5" t="s">
        <v>25</v>
      </c>
      <c r="O271" s="9">
        <v>18</v>
      </c>
      <c r="P271" s="5" t="s">
        <v>26</v>
      </c>
      <c r="Q271" s="2">
        <v>3</v>
      </c>
      <c r="R271" s="5" t="s">
        <v>27</v>
      </c>
      <c r="S271" s="5" t="s">
        <v>32</v>
      </c>
      <c r="T271" s="39">
        <v>412.16</v>
      </c>
    </row>
    <row r="272" spans="1:20" ht="20.100000000000001" hidden="1" customHeight="1" x14ac:dyDescent="0.25">
      <c r="A272" s="26" t="str">
        <f>CONCATENATE(RIGHT(LEFT(RecebimentoConcreto[[#This Row],[Obra]],5),4),"RCBC",TEXT(RecebimentoConcreto[[#This Row],[Ordem]],"0000"))</f>
        <v>0184RCBC0578</v>
      </c>
      <c r="B272" s="1">
        <v>578</v>
      </c>
      <c r="C272" s="1" t="s">
        <v>21</v>
      </c>
      <c r="D272" s="35">
        <v>44669</v>
      </c>
      <c r="E272" s="1" t="s">
        <v>831</v>
      </c>
      <c r="F272" s="2" t="s">
        <v>832</v>
      </c>
      <c r="G272" s="2">
        <v>5408</v>
      </c>
      <c r="H272" s="2" t="s">
        <v>833</v>
      </c>
      <c r="J272" s="5">
        <v>0.60069444444444442</v>
      </c>
      <c r="K272" s="32">
        <f>_xlfn.MAXIFS(ConsumoConcreto[Fim do Bombeamento],ConsumoConcreto[RecebimentoID],RecebimentoConcreto[[#This Row],[RecebimentoID]])</f>
        <v>0.64236111111111105</v>
      </c>
      <c r="M272" s="37">
        <v>36892</v>
      </c>
      <c r="N272" s="5" t="s">
        <v>25</v>
      </c>
      <c r="O272" s="9">
        <v>18</v>
      </c>
      <c r="P272" s="5" t="s">
        <v>26</v>
      </c>
      <c r="Q272" s="2">
        <v>3</v>
      </c>
      <c r="R272" s="5" t="s">
        <v>27</v>
      </c>
      <c r="S272" s="5" t="s">
        <v>32</v>
      </c>
      <c r="T272" s="39">
        <v>412.16399999999999</v>
      </c>
    </row>
    <row r="273" spans="1:20" ht="20.100000000000001" hidden="1" customHeight="1" x14ac:dyDescent="0.25">
      <c r="A273" s="26" t="str">
        <f>CONCATENATE(RIGHT(LEFT(RecebimentoConcreto[[#This Row],[Obra]],5),4),"RCBC",TEXT(RecebimentoConcreto[[#This Row],[Ordem]],"0000"))</f>
        <v>0184RCBC0579</v>
      </c>
      <c r="B273" s="1">
        <v>579</v>
      </c>
      <c r="C273" s="1" t="s">
        <v>21</v>
      </c>
      <c r="D273" s="35">
        <v>44670</v>
      </c>
      <c r="E273" s="1" t="s">
        <v>834</v>
      </c>
      <c r="F273" s="2" t="s">
        <v>835</v>
      </c>
      <c r="G273" s="2">
        <v>5408</v>
      </c>
      <c r="H273" s="2" t="s">
        <v>836</v>
      </c>
      <c r="J273" s="5">
        <v>0.80902777777777779</v>
      </c>
      <c r="K273" s="32">
        <f>_xlfn.MAXIFS(ConsumoConcreto[Fim do Bombeamento],ConsumoConcreto[RecebimentoID],RecebimentoConcreto[[#This Row],[RecebimentoID]])</f>
        <v>0.87847222222222221</v>
      </c>
      <c r="M273" s="37">
        <v>36892</v>
      </c>
      <c r="N273" s="5" t="s">
        <v>25</v>
      </c>
      <c r="O273" s="9">
        <v>18</v>
      </c>
      <c r="P273" s="5" t="s">
        <v>26</v>
      </c>
      <c r="Q273" s="2">
        <v>3</v>
      </c>
      <c r="R273" s="5" t="s">
        <v>27</v>
      </c>
      <c r="S273" s="5" t="s">
        <v>32</v>
      </c>
      <c r="T273" s="39">
        <v>412.16399999999999</v>
      </c>
    </row>
    <row r="274" spans="1:20" ht="20.100000000000001" hidden="1" customHeight="1" x14ac:dyDescent="0.25">
      <c r="A274" s="26" t="str">
        <f>CONCATENATE(RIGHT(LEFT(RecebimentoConcreto[[#This Row],[Obra]],5),4),"RCBC",TEXT(RecebimentoConcreto[[#This Row],[Ordem]],"0000"))</f>
        <v>0184RCBC0580</v>
      </c>
      <c r="B274" s="1">
        <v>580</v>
      </c>
      <c r="C274" s="1" t="s">
        <v>21</v>
      </c>
      <c r="D274" s="35">
        <v>44671</v>
      </c>
      <c r="E274" s="1" t="s">
        <v>837</v>
      </c>
      <c r="F274" s="2" t="s">
        <v>838</v>
      </c>
      <c r="G274" s="2">
        <v>5408</v>
      </c>
      <c r="H274" s="2" t="s">
        <v>839</v>
      </c>
      <c r="J274" s="5">
        <v>0.85</v>
      </c>
      <c r="K274" s="32">
        <f>_xlfn.MAXIFS(ConsumoConcreto[Fim do Bombeamento],ConsumoConcreto[RecebimentoID],RecebimentoConcreto[[#This Row],[RecebimentoID]])</f>
        <v>0.9375</v>
      </c>
      <c r="M274" s="37">
        <v>36892</v>
      </c>
      <c r="N274" s="5" t="s">
        <v>25</v>
      </c>
      <c r="O274" s="9">
        <v>18</v>
      </c>
      <c r="P274" s="5" t="s">
        <v>26</v>
      </c>
      <c r="Q274" s="2">
        <v>3</v>
      </c>
      <c r="R274" s="5" t="s">
        <v>27</v>
      </c>
      <c r="S274" s="5" t="s">
        <v>32</v>
      </c>
      <c r="T274" s="39">
        <v>412.16399999999999</v>
      </c>
    </row>
    <row r="275" spans="1:20" ht="20.100000000000001" hidden="1" customHeight="1" x14ac:dyDescent="0.25">
      <c r="A275" s="26" t="str">
        <f>CONCATENATE(RIGHT(LEFT(RecebimentoConcreto[[#This Row],[Obra]],5),4),"RCBC",TEXT(RecebimentoConcreto[[#This Row],[Ordem]],"0000"))</f>
        <v>0184RCBC0581</v>
      </c>
      <c r="B275" s="1">
        <v>581</v>
      </c>
      <c r="C275" s="1" t="s">
        <v>21</v>
      </c>
      <c r="D275" s="35">
        <v>44676</v>
      </c>
      <c r="E275" s="1" t="s">
        <v>840</v>
      </c>
      <c r="F275" s="2" t="s">
        <v>841</v>
      </c>
      <c r="G275" s="2">
        <v>5408</v>
      </c>
      <c r="H275" s="2" t="s">
        <v>842</v>
      </c>
      <c r="J275" s="5">
        <v>0.61805555555555558</v>
      </c>
      <c r="K275" s="32">
        <f>_xlfn.MAXIFS(ConsumoConcreto[Fim do Bombeamento],ConsumoConcreto[RecebimentoID],RecebimentoConcreto[[#This Row],[RecebimentoID]])</f>
        <v>0.66666666666666663</v>
      </c>
      <c r="M275" s="37">
        <v>36892</v>
      </c>
      <c r="N275" s="5" t="s">
        <v>25</v>
      </c>
      <c r="O275" s="9">
        <v>18</v>
      </c>
      <c r="P275" s="5" t="s">
        <v>26</v>
      </c>
      <c r="Q275" s="2">
        <v>3</v>
      </c>
      <c r="R275" s="5" t="s">
        <v>27</v>
      </c>
      <c r="S275" s="5" t="s">
        <v>32</v>
      </c>
      <c r="T275" s="39">
        <v>412.16399999999999</v>
      </c>
    </row>
    <row r="276" spans="1:20" ht="20.100000000000001" hidden="1" customHeight="1" x14ac:dyDescent="0.25">
      <c r="A276" s="26" t="str">
        <f>CONCATENATE(RIGHT(LEFT(RecebimentoConcreto[[#This Row],[Obra]],5),4),"RCBC",TEXT(RecebimentoConcreto[[#This Row],[Ordem]],"0000"))</f>
        <v>0184RCBC0582</v>
      </c>
      <c r="B276" s="1">
        <v>582</v>
      </c>
      <c r="C276" s="1" t="s">
        <v>21</v>
      </c>
      <c r="D276" s="35">
        <v>44679</v>
      </c>
      <c r="E276" s="1" t="s">
        <v>843</v>
      </c>
      <c r="F276" s="2" t="s">
        <v>844</v>
      </c>
      <c r="G276" s="2">
        <v>5408</v>
      </c>
      <c r="H276" s="2" t="s">
        <v>845</v>
      </c>
      <c r="J276" s="5">
        <v>0.76874999999999993</v>
      </c>
      <c r="K276" s="32">
        <f>_xlfn.MAXIFS(ConsumoConcreto[Fim do Bombeamento],ConsumoConcreto[RecebimentoID],RecebimentoConcreto[[#This Row],[RecebimentoID]])</f>
        <v>0.84375</v>
      </c>
      <c r="M276" s="37">
        <v>36892</v>
      </c>
      <c r="N276" s="5" t="s">
        <v>25</v>
      </c>
      <c r="O276" s="9">
        <v>16.5</v>
      </c>
      <c r="P276" s="5" t="s">
        <v>26</v>
      </c>
      <c r="Q276" s="2">
        <v>3</v>
      </c>
      <c r="R276" s="5" t="s">
        <v>27</v>
      </c>
      <c r="S276" s="5" t="s">
        <v>32</v>
      </c>
      <c r="T276" s="39">
        <v>412.16399999999999</v>
      </c>
    </row>
    <row r="277" spans="1:20" ht="20.100000000000001" hidden="1" customHeight="1" x14ac:dyDescent="0.25">
      <c r="A277" s="26" t="str">
        <f>CONCATENATE(RIGHT(LEFT(RecebimentoConcreto[[#This Row],[Obra]],5),4),"RCBC",TEXT(RecebimentoConcreto[[#This Row],[Ordem]],"0000"))</f>
        <v>0184RCBC0583</v>
      </c>
      <c r="B277" s="1">
        <v>583</v>
      </c>
      <c r="C277" s="1" t="s">
        <v>21</v>
      </c>
      <c r="D277" s="35">
        <v>44680</v>
      </c>
      <c r="E277" s="1" t="s">
        <v>846</v>
      </c>
      <c r="F277" s="2" t="s">
        <v>847</v>
      </c>
      <c r="G277" s="2">
        <v>5408</v>
      </c>
      <c r="H277" s="2" t="s">
        <v>848</v>
      </c>
      <c r="J277" s="5">
        <v>0.68055555555555547</v>
      </c>
      <c r="K277" s="32">
        <f>_xlfn.MAXIFS(ConsumoConcreto[Fim do Bombeamento],ConsumoConcreto[RecebimentoID],RecebimentoConcreto[[#This Row],[RecebimentoID]])</f>
        <v>0.72013888888888899</v>
      </c>
      <c r="M277" s="37">
        <v>36892</v>
      </c>
      <c r="N277" s="5" t="s">
        <v>25</v>
      </c>
      <c r="O277" s="9">
        <v>15</v>
      </c>
      <c r="P277" s="5" t="s">
        <v>26</v>
      </c>
      <c r="Q277" s="2">
        <v>3</v>
      </c>
      <c r="R277" s="5" t="s">
        <v>27</v>
      </c>
      <c r="S277" s="5" t="s">
        <v>32</v>
      </c>
      <c r="T277" s="39">
        <v>412.16399999999999</v>
      </c>
    </row>
    <row r="278" spans="1:20" ht="20.100000000000001" hidden="1" customHeight="1" x14ac:dyDescent="0.25">
      <c r="A278" s="26" t="str">
        <f>CONCATENATE(RIGHT(LEFT(RecebimentoConcreto[[#This Row],[Obra]],5),4),"RCBC",TEXT(RecebimentoConcreto[[#This Row],[Ordem]],"0000"))</f>
        <v>0184RCBC0584</v>
      </c>
      <c r="B278" s="1">
        <v>584</v>
      </c>
      <c r="C278" s="1" t="s">
        <v>21</v>
      </c>
      <c r="D278" s="35">
        <v>44685</v>
      </c>
      <c r="E278" s="1" t="s">
        <v>849</v>
      </c>
      <c r="F278" s="2" t="s">
        <v>850</v>
      </c>
      <c r="G278" s="2">
        <v>5408</v>
      </c>
      <c r="H278" s="2" t="s">
        <v>851</v>
      </c>
      <c r="J278" s="5">
        <v>0.5395833333333333</v>
      </c>
      <c r="K278" s="32">
        <f>_xlfn.MAXIFS(ConsumoConcreto[Fim do Bombeamento],ConsumoConcreto[RecebimentoID],RecebimentoConcreto[[#This Row],[RecebimentoID]])</f>
        <v>0.60625000000000007</v>
      </c>
      <c r="M278" s="37">
        <v>36892</v>
      </c>
      <c r="N278" s="5" t="s">
        <v>25</v>
      </c>
      <c r="O278" s="9">
        <v>14.5</v>
      </c>
      <c r="P278" s="5" t="s">
        <v>26</v>
      </c>
      <c r="Q278" s="2">
        <v>3</v>
      </c>
      <c r="R278" s="5" t="s">
        <v>27</v>
      </c>
      <c r="S278" s="5" t="s">
        <v>32</v>
      </c>
      <c r="T278" s="39">
        <v>412.16399999999999</v>
      </c>
    </row>
    <row r="279" spans="1:20" ht="20.100000000000001" hidden="1" customHeight="1" x14ac:dyDescent="0.25">
      <c r="A279" s="26" t="str">
        <f>CONCATENATE(RIGHT(LEFT(RecebimentoConcreto[[#This Row],[Obra]],5),4),"RCBC",TEXT(RecebimentoConcreto[[#This Row],[Ordem]],"0000"))</f>
        <v>0184RCBC0585</v>
      </c>
      <c r="B279" s="1">
        <v>585</v>
      </c>
      <c r="C279" s="1" t="s">
        <v>21</v>
      </c>
      <c r="D279" s="35">
        <v>44686</v>
      </c>
      <c r="E279" s="1" t="s">
        <v>852</v>
      </c>
      <c r="F279" s="2" t="s">
        <v>853</v>
      </c>
      <c r="G279" s="2">
        <v>5408</v>
      </c>
      <c r="H279" s="2" t="s">
        <v>854</v>
      </c>
      <c r="J279" s="5">
        <v>0.69444444444444453</v>
      </c>
      <c r="K279" s="32">
        <f>_xlfn.MAXIFS(ConsumoConcreto[Fim do Bombeamento],ConsumoConcreto[RecebimentoID],RecebimentoConcreto[[#This Row],[RecebimentoID]])</f>
        <v>0.77777777777777779</v>
      </c>
      <c r="M279" s="37">
        <v>36892</v>
      </c>
      <c r="N279" s="5" t="s">
        <v>25</v>
      </c>
      <c r="O279" s="9">
        <v>14.5</v>
      </c>
      <c r="P279" s="5" t="s">
        <v>26</v>
      </c>
      <c r="Q279" s="2">
        <v>3</v>
      </c>
      <c r="R279" s="5" t="s">
        <v>27</v>
      </c>
      <c r="S279" s="5" t="s">
        <v>32</v>
      </c>
      <c r="T279" s="39">
        <v>412.16</v>
      </c>
    </row>
    <row r="280" spans="1:20" ht="20.100000000000001" hidden="1" customHeight="1" x14ac:dyDescent="0.25">
      <c r="A280" s="26" t="str">
        <f>CONCATENATE(RIGHT(LEFT(RecebimentoConcreto[[#This Row],[Obra]],5),4),"RCBC",TEXT(RecebimentoConcreto[[#This Row],[Ordem]],"0000"))</f>
        <v>0184RCBC0586</v>
      </c>
      <c r="B280" s="1">
        <v>586</v>
      </c>
      <c r="C280" s="1" t="s">
        <v>21</v>
      </c>
      <c r="D280" s="35">
        <v>44691</v>
      </c>
      <c r="E280" s="1" t="s">
        <v>855</v>
      </c>
      <c r="F280" s="2" t="s">
        <v>856</v>
      </c>
      <c r="G280" s="2">
        <v>5408</v>
      </c>
      <c r="H280" s="2" t="s">
        <v>857</v>
      </c>
      <c r="J280" s="5">
        <v>0.6875</v>
      </c>
      <c r="K280" s="32">
        <f>_xlfn.MAXIFS(ConsumoConcreto[Fim do Bombeamento],ConsumoConcreto[RecebimentoID],RecebimentoConcreto[[#This Row],[RecebimentoID]])</f>
        <v>0.73263888888888884</v>
      </c>
      <c r="M280" s="37">
        <v>36892</v>
      </c>
      <c r="N280" s="5" t="s">
        <v>25</v>
      </c>
      <c r="O280" s="9">
        <v>15</v>
      </c>
      <c r="P280" s="5" t="s">
        <v>26</v>
      </c>
      <c r="Q280" s="2">
        <v>3</v>
      </c>
      <c r="R280" s="5" t="s">
        <v>27</v>
      </c>
      <c r="S280" s="5" t="s">
        <v>32</v>
      </c>
      <c r="T280" s="39">
        <v>412.16</v>
      </c>
    </row>
    <row r="281" spans="1:20" ht="20.100000000000001" hidden="1" customHeight="1" x14ac:dyDescent="0.25">
      <c r="A281" s="26" t="str">
        <f>CONCATENATE(RIGHT(LEFT(RecebimentoConcreto[[#This Row],[Obra]],5),4),"RCBC",TEXT(RecebimentoConcreto[[#This Row],[Ordem]],"0000"))</f>
        <v>0184RCBC0587</v>
      </c>
      <c r="B281" s="1">
        <v>587</v>
      </c>
      <c r="C281" s="1" t="s">
        <v>21</v>
      </c>
      <c r="D281" s="35">
        <v>44693</v>
      </c>
      <c r="E281" s="1" t="s">
        <v>858</v>
      </c>
      <c r="F281" s="2" t="s">
        <v>859</v>
      </c>
      <c r="G281" s="2">
        <v>5408</v>
      </c>
      <c r="H281" s="2" t="s">
        <v>860</v>
      </c>
      <c r="J281" s="5">
        <v>0.72569444444444453</v>
      </c>
      <c r="K281" s="32">
        <f>_xlfn.MAXIFS(ConsumoConcreto[Fim do Bombeamento],ConsumoConcreto[RecebimentoID],RecebimentoConcreto[[#This Row],[RecebimentoID]])</f>
        <v>0.7944444444444444</v>
      </c>
      <c r="M281" s="37">
        <v>36892</v>
      </c>
      <c r="N281" s="5" t="s">
        <v>25</v>
      </c>
      <c r="O281" s="9">
        <v>15</v>
      </c>
      <c r="P281" s="5" t="s">
        <v>26</v>
      </c>
      <c r="Q281" s="2">
        <v>3</v>
      </c>
      <c r="R281" s="5" t="s">
        <v>27</v>
      </c>
      <c r="S281" s="5" t="s">
        <v>32</v>
      </c>
      <c r="T281" s="39">
        <v>412.16399999999999</v>
      </c>
    </row>
    <row r="282" spans="1:20" ht="20.100000000000001" hidden="1" customHeight="1" x14ac:dyDescent="0.25">
      <c r="A282" s="26" t="str">
        <f>CONCATENATE(RIGHT(LEFT(RecebimentoConcreto[[#This Row],[Obra]],5),4),"RCBC",TEXT(RecebimentoConcreto[[#This Row],[Ordem]],"0000"))</f>
        <v>0184RCBC0588</v>
      </c>
      <c r="B282" s="1">
        <v>588</v>
      </c>
      <c r="C282" s="1" t="s">
        <v>21</v>
      </c>
      <c r="D282" s="35">
        <v>44694</v>
      </c>
      <c r="E282" s="1" t="s">
        <v>861</v>
      </c>
      <c r="F282" s="2" t="s">
        <v>862</v>
      </c>
      <c r="G282" s="2">
        <v>5408</v>
      </c>
      <c r="H282" s="2" t="s">
        <v>863</v>
      </c>
      <c r="J282" s="5">
        <v>0.69791666666666663</v>
      </c>
      <c r="K282" s="32">
        <f>_xlfn.MAXIFS(ConsumoConcreto[Fim do Bombeamento],ConsumoConcreto[RecebimentoID],RecebimentoConcreto[[#This Row],[RecebimentoID]])</f>
        <v>0.74305555555555547</v>
      </c>
      <c r="M282" s="37">
        <v>36892</v>
      </c>
      <c r="N282" s="5" t="s">
        <v>25</v>
      </c>
      <c r="O282" s="9">
        <v>15</v>
      </c>
      <c r="P282" s="5" t="s">
        <v>26</v>
      </c>
      <c r="Q282" s="2">
        <v>3</v>
      </c>
      <c r="R282" s="5" t="s">
        <v>27</v>
      </c>
      <c r="S282" s="5" t="s">
        <v>32</v>
      </c>
      <c r="T282" s="39">
        <v>412.16</v>
      </c>
    </row>
    <row r="283" spans="1:20" ht="20.100000000000001" hidden="1" customHeight="1" x14ac:dyDescent="0.25">
      <c r="A283" s="26" t="str">
        <f>CONCATENATE(RIGHT(LEFT(RecebimentoConcreto[[#This Row],[Obra]],5),4),"RCBC",TEXT(RecebimentoConcreto[[#This Row],[Ordem]],"0000"))</f>
        <v>0184RCBC0589</v>
      </c>
      <c r="B283" s="1">
        <v>589</v>
      </c>
      <c r="C283" s="1" t="s">
        <v>21</v>
      </c>
      <c r="D283" s="35">
        <v>44697</v>
      </c>
      <c r="E283" s="1" t="s">
        <v>864</v>
      </c>
      <c r="F283" s="2" t="s">
        <v>865</v>
      </c>
      <c r="G283" s="2">
        <v>5408</v>
      </c>
      <c r="H283" s="2" t="s">
        <v>866</v>
      </c>
      <c r="J283" s="5">
        <v>0.65972222222222221</v>
      </c>
      <c r="K283" s="32">
        <f>_xlfn.MAXIFS(ConsumoConcreto[Fim do Bombeamento],ConsumoConcreto[RecebimentoID],RecebimentoConcreto[[#This Row],[RecebimentoID]])</f>
        <v>0.68958333333333333</v>
      </c>
      <c r="M283" s="37">
        <v>36892</v>
      </c>
      <c r="N283" s="5" t="s">
        <v>25</v>
      </c>
      <c r="O283" s="9">
        <v>15</v>
      </c>
      <c r="P283" s="5" t="s">
        <v>26</v>
      </c>
      <c r="Q283" s="2">
        <v>3</v>
      </c>
      <c r="R283" s="5" t="s">
        <v>27</v>
      </c>
      <c r="S283" s="5" t="s">
        <v>32</v>
      </c>
      <c r="T283" s="39">
        <v>412.16</v>
      </c>
    </row>
    <row r="284" spans="1:20" ht="20.100000000000001" hidden="1" customHeight="1" x14ac:dyDescent="0.25">
      <c r="A284" s="26" t="str">
        <f>CONCATENATE(RIGHT(LEFT(RecebimentoConcreto[[#This Row],[Obra]],5),4),"RCBC",TEXT(RecebimentoConcreto[[#This Row],[Ordem]],"0000"))</f>
        <v>0184RCBC0590</v>
      </c>
      <c r="B284" s="1">
        <v>590</v>
      </c>
      <c r="C284" s="1" t="s">
        <v>21</v>
      </c>
      <c r="D284" s="35">
        <v>44698</v>
      </c>
      <c r="E284" s="1" t="s">
        <v>152</v>
      </c>
      <c r="F284" s="2" t="s">
        <v>867</v>
      </c>
      <c r="G284" s="2">
        <v>5408</v>
      </c>
      <c r="H284" s="2" t="s">
        <v>868</v>
      </c>
      <c r="J284" s="5">
        <v>0.76041666666666663</v>
      </c>
      <c r="K284" s="32">
        <f>_xlfn.MAXIFS(ConsumoConcreto[Fim do Bombeamento],ConsumoConcreto[RecebimentoID],RecebimentoConcreto[[#This Row],[RecebimentoID]])</f>
        <v>0.80069444444444438</v>
      </c>
      <c r="M284" s="37">
        <v>36892</v>
      </c>
      <c r="N284" s="5" t="s">
        <v>25</v>
      </c>
      <c r="O284" s="9">
        <v>15</v>
      </c>
      <c r="P284" s="5" t="s">
        <v>26</v>
      </c>
      <c r="Q284" s="2">
        <v>3</v>
      </c>
      <c r="R284" s="5" t="s">
        <v>27</v>
      </c>
      <c r="S284" s="5" t="s">
        <v>32</v>
      </c>
      <c r="T284" s="39">
        <v>412.16</v>
      </c>
    </row>
    <row r="285" spans="1:20" ht="20.100000000000001" hidden="1" customHeight="1" x14ac:dyDescent="0.25">
      <c r="A285" s="26" t="str">
        <f>CONCATENATE(RIGHT(LEFT(RecebimentoConcreto[[#This Row],[Obra]],5),4),"RCBC",TEXT(RecebimentoConcreto[[#This Row],[Ordem]],"0000"))</f>
        <v>0184RCBC0591</v>
      </c>
      <c r="B285" s="1">
        <v>591</v>
      </c>
      <c r="C285" s="1" t="s">
        <v>21</v>
      </c>
      <c r="D285" s="35">
        <v>44699</v>
      </c>
      <c r="E285" s="1" t="s">
        <v>869</v>
      </c>
      <c r="F285" s="2" t="s">
        <v>870</v>
      </c>
      <c r="G285" s="2">
        <v>5408</v>
      </c>
      <c r="H285" s="2" t="s">
        <v>871</v>
      </c>
      <c r="J285" s="5">
        <v>0.77430555555555547</v>
      </c>
      <c r="K285" s="32">
        <f>_xlfn.MAXIFS(ConsumoConcreto[Fim do Bombeamento],ConsumoConcreto[RecebimentoID],RecebimentoConcreto[[#This Row],[RecebimentoID]])</f>
        <v>0.8125</v>
      </c>
      <c r="M285" s="37">
        <v>36892</v>
      </c>
      <c r="N285" s="5" t="s">
        <v>25</v>
      </c>
      <c r="O285" s="9">
        <v>15</v>
      </c>
      <c r="P285" s="5" t="s">
        <v>26</v>
      </c>
      <c r="Q285" s="2">
        <v>3</v>
      </c>
      <c r="R285" s="5" t="s">
        <v>27</v>
      </c>
      <c r="S285" s="5" t="s">
        <v>32</v>
      </c>
      <c r="T285" s="39">
        <v>450</v>
      </c>
    </row>
    <row r="286" spans="1:20" ht="20.100000000000001" hidden="1" customHeight="1" x14ac:dyDescent="0.25">
      <c r="A286" s="26" t="str">
        <f>CONCATENATE(RIGHT(LEFT(RecebimentoConcreto[[#This Row],[Obra]],5),4),"RCBC",TEXT(RecebimentoConcreto[[#This Row],[Ordem]],"0000"))</f>
        <v>0184RCBC0592</v>
      </c>
      <c r="B286" s="1">
        <v>592</v>
      </c>
      <c r="C286" s="1" t="s">
        <v>21</v>
      </c>
      <c r="D286" s="35">
        <v>44700</v>
      </c>
      <c r="E286" s="1" t="s">
        <v>107</v>
      </c>
      <c r="F286" s="2" t="s">
        <v>872</v>
      </c>
      <c r="G286" s="2">
        <v>5408</v>
      </c>
      <c r="H286" s="2" t="s">
        <v>873</v>
      </c>
      <c r="J286" s="5">
        <v>0.67708333333333337</v>
      </c>
      <c r="K286" s="32">
        <f>_xlfn.MAXIFS(ConsumoConcreto[Fim do Bombeamento],ConsumoConcreto[RecebimentoID],RecebimentoConcreto[[#This Row],[RecebimentoID]])</f>
        <v>0.70833333333333337</v>
      </c>
      <c r="M286" s="37">
        <v>36892</v>
      </c>
      <c r="N286" s="5" t="s">
        <v>25</v>
      </c>
      <c r="O286" s="9">
        <v>15</v>
      </c>
      <c r="P286" s="5" t="s">
        <v>26</v>
      </c>
      <c r="Q286" s="2">
        <v>3</v>
      </c>
      <c r="R286" s="5" t="s">
        <v>27</v>
      </c>
      <c r="S286" s="5" t="s">
        <v>32</v>
      </c>
      <c r="T286" s="39">
        <v>450</v>
      </c>
    </row>
    <row r="287" spans="1:20" ht="20.100000000000001" hidden="1" customHeight="1" x14ac:dyDescent="0.25">
      <c r="A287" s="26" t="str">
        <f>CONCATENATE(RIGHT(LEFT(RecebimentoConcreto[[#This Row],[Obra]],5),4),"RCBC",TEXT(RecebimentoConcreto[[#This Row],[Ordem]],"0000"))</f>
        <v>0184RCBC0593</v>
      </c>
      <c r="B287" s="1">
        <v>593</v>
      </c>
      <c r="C287" s="1" t="s">
        <v>21</v>
      </c>
      <c r="D287" s="35">
        <v>44701</v>
      </c>
      <c r="E287" s="1" t="s">
        <v>874</v>
      </c>
      <c r="F287" s="2" t="s">
        <v>875</v>
      </c>
      <c r="G287" s="2">
        <v>5408</v>
      </c>
      <c r="H287" s="2" t="s">
        <v>876</v>
      </c>
      <c r="J287" s="5">
        <v>0.73472222222222217</v>
      </c>
      <c r="K287" s="32">
        <f>_xlfn.MAXIFS(ConsumoConcreto[Fim do Bombeamento],ConsumoConcreto[RecebimentoID],RecebimentoConcreto[[#This Row],[RecebimentoID]])</f>
        <v>0.76388888888888884</v>
      </c>
      <c r="M287" s="37">
        <v>36892</v>
      </c>
      <c r="N287" s="5" t="s">
        <v>25</v>
      </c>
      <c r="O287" s="9">
        <v>15</v>
      </c>
      <c r="P287" s="5" t="s">
        <v>26</v>
      </c>
      <c r="Q287" s="2">
        <v>3</v>
      </c>
      <c r="R287" s="5" t="s">
        <v>27</v>
      </c>
      <c r="S287" s="5" t="s">
        <v>32</v>
      </c>
      <c r="T287" s="39">
        <v>450</v>
      </c>
    </row>
    <row r="288" spans="1:20" ht="20.100000000000001" hidden="1" customHeight="1" x14ac:dyDescent="0.25">
      <c r="A288" s="26" t="str">
        <f>CONCATENATE(RIGHT(LEFT(RecebimentoConcreto[[#This Row],[Obra]],5),4),"RCBC",TEXT(RecebimentoConcreto[[#This Row],[Ordem]],"0000"))</f>
        <v>0184RCBC0594</v>
      </c>
      <c r="B288" s="1">
        <v>594</v>
      </c>
      <c r="C288" s="1" t="s">
        <v>21</v>
      </c>
      <c r="D288" s="35">
        <v>44704</v>
      </c>
      <c r="E288" s="1" t="s">
        <v>877</v>
      </c>
      <c r="F288" s="2" t="s">
        <v>878</v>
      </c>
      <c r="G288" s="2">
        <v>5408</v>
      </c>
      <c r="H288" s="2" t="s">
        <v>879</v>
      </c>
      <c r="J288" s="5">
        <v>0.77777777777777779</v>
      </c>
      <c r="K288" s="32">
        <f>_xlfn.MAXIFS(ConsumoConcreto[Fim do Bombeamento],ConsumoConcreto[RecebimentoID],RecebimentoConcreto[[#This Row],[RecebimentoID]])</f>
        <v>0.81111111111111101</v>
      </c>
      <c r="M288" s="37">
        <v>36892</v>
      </c>
      <c r="N288" s="5" t="s">
        <v>25</v>
      </c>
      <c r="O288" s="9">
        <v>15</v>
      </c>
      <c r="P288" s="5" t="s">
        <v>26</v>
      </c>
      <c r="Q288" s="2">
        <v>3</v>
      </c>
      <c r="R288" s="5" t="s">
        <v>27</v>
      </c>
      <c r="S288" s="5" t="s">
        <v>32</v>
      </c>
      <c r="T288" s="39">
        <v>450</v>
      </c>
    </row>
    <row r="289" spans="1:20" ht="20.100000000000001" hidden="1" customHeight="1" x14ac:dyDescent="0.25">
      <c r="A289" s="26" t="str">
        <f>CONCATENATE(RIGHT(LEFT(RecebimentoConcreto[[#This Row],[Obra]],5),4),"RCBC",TEXT(RecebimentoConcreto[[#This Row],[Ordem]],"0000"))</f>
        <v>0184RCBC0611</v>
      </c>
      <c r="B289" s="1">
        <v>611</v>
      </c>
      <c r="C289" s="1" t="s">
        <v>21</v>
      </c>
      <c r="D289" s="35">
        <v>44762</v>
      </c>
      <c r="E289" s="1" t="s">
        <v>880</v>
      </c>
      <c r="F289" s="2" t="s">
        <v>881</v>
      </c>
      <c r="G289" s="2">
        <v>5408</v>
      </c>
      <c r="H289" s="2" t="s">
        <v>882</v>
      </c>
      <c r="J289" s="5">
        <v>0.81874999999999998</v>
      </c>
      <c r="K289" s="32">
        <f>_xlfn.MAXIFS(ConsumoConcreto[Fim do Bombeamento],ConsumoConcreto[RecebimentoID],RecebimentoConcreto[[#This Row],[RecebimentoID]])</f>
        <v>0.875</v>
      </c>
      <c r="M289" s="37">
        <v>36892</v>
      </c>
      <c r="N289" s="5" t="s">
        <v>25</v>
      </c>
      <c r="O289" s="9">
        <v>18</v>
      </c>
      <c r="P289" s="5" t="s">
        <v>26</v>
      </c>
      <c r="Q289" s="2">
        <v>3</v>
      </c>
      <c r="R289" s="5" t="s">
        <v>27</v>
      </c>
      <c r="S289" s="5" t="s">
        <v>32</v>
      </c>
      <c r="T289" s="39">
        <v>450</v>
      </c>
    </row>
    <row r="290" spans="1:20" ht="20.100000000000001" hidden="1" customHeight="1" x14ac:dyDescent="0.25">
      <c r="A290" s="26" t="str">
        <f>CONCATENATE(RIGHT(LEFT(RecebimentoConcreto[[#This Row],[Obra]],5),4),"RCBC",TEXT(RecebimentoConcreto[[#This Row],[Ordem]],"0000"))</f>
        <v>0184RCBC0612</v>
      </c>
      <c r="B290" s="1">
        <v>612</v>
      </c>
      <c r="C290" s="1" t="s">
        <v>21</v>
      </c>
      <c r="D290" s="35">
        <v>44764</v>
      </c>
      <c r="E290" s="1" t="s">
        <v>883</v>
      </c>
      <c r="F290" s="2" t="s">
        <v>884</v>
      </c>
      <c r="G290" s="2">
        <v>5408</v>
      </c>
      <c r="H290" s="2" t="s">
        <v>885</v>
      </c>
      <c r="J290" s="5">
        <v>0.77083333333333337</v>
      </c>
      <c r="K290" s="32">
        <f>_xlfn.MAXIFS(ConsumoConcreto[Fim do Bombeamento],ConsumoConcreto[RecebimentoID],RecebimentoConcreto[[#This Row],[RecebimentoID]])</f>
        <v>0.85555555555555562</v>
      </c>
      <c r="M290" s="37">
        <v>36892</v>
      </c>
      <c r="N290" s="5" t="s">
        <v>25</v>
      </c>
      <c r="O290" s="9">
        <v>18</v>
      </c>
      <c r="P290" s="5" t="s">
        <v>26</v>
      </c>
      <c r="Q290" s="2">
        <v>3</v>
      </c>
      <c r="R290" s="5" t="s">
        <v>27</v>
      </c>
      <c r="S290" s="5" t="s">
        <v>32</v>
      </c>
      <c r="T290" s="39">
        <v>450</v>
      </c>
    </row>
    <row r="291" spans="1:20" ht="20.100000000000001" hidden="1" customHeight="1" x14ac:dyDescent="0.25">
      <c r="A291" s="26" t="str">
        <f>CONCATENATE(RIGHT(LEFT(RecebimentoConcreto[[#This Row],[Obra]],5),4),"RCBC",TEXT(RecebimentoConcreto[[#This Row],[Ordem]],"0000"))</f>
        <v>0184RCBC0615</v>
      </c>
      <c r="B291" s="1">
        <v>615</v>
      </c>
      <c r="C291" s="1" t="s">
        <v>21</v>
      </c>
      <c r="D291" s="35">
        <v>44767</v>
      </c>
      <c r="E291" s="1" t="s">
        <v>886</v>
      </c>
      <c r="F291" s="2" t="s">
        <v>887</v>
      </c>
      <c r="G291" s="2">
        <v>5408</v>
      </c>
      <c r="H291" s="2" t="s">
        <v>888</v>
      </c>
      <c r="J291" s="5">
        <v>0.75902777777777775</v>
      </c>
      <c r="K291" s="32">
        <f>_xlfn.MAXIFS(ConsumoConcreto[Fim do Bombeamento],ConsumoConcreto[RecebimentoID],RecebimentoConcreto[[#This Row],[RecebimentoID]])</f>
        <v>0.87986111111111109</v>
      </c>
      <c r="M291" s="37">
        <v>36892</v>
      </c>
      <c r="N291" s="5" t="s">
        <v>25</v>
      </c>
      <c r="O291" s="9">
        <v>19</v>
      </c>
      <c r="P291" s="5" t="s">
        <v>26</v>
      </c>
      <c r="Q291" s="2">
        <v>3</v>
      </c>
      <c r="R291" s="5" t="s">
        <v>27</v>
      </c>
      <c r="S291" s="5" t="s">
        <v>32</v>
      </c>
      <c r="T291" s="39">
        <v>450</v>
      </c>
    </row>
    <row r="292" spans="1:20" ht="20.100000000000001" hidden="1" customHeight="1" x14ac:dyDescent="0.25">
      <c r="A292" s="26" t="str">
        <f>CONCATENATE(RIGHT(LEFT(RecebimentoConcreto[[#This Row],[Obra]],5),4),"RCBC",TEXT(RecebimentoConcreto[[#This Row],[Ordem]],"0000"))</f>
        <v>0184RCBC0617</v>
      </c>
      <c r="B292" s="1">
        <v>617</v>
      </c>
      <c r="C292" s="1" t="s">
        <v>21</v>
      </c>
      <c r="D292" s="35">
        <v>44768</v>
      </c>
      <c r="E292" s="1" t="s">
        <v>889</v>
      </c>
      <c r="F292" s="2" t="s">
        <v>890</v>
      </c>
      <c r="G292" s="2">
        <v>5408</v>
      </c>
      <c r="H292" s="2" t="s">
        <v>891</v>
      </c>
      <c r="J292" s="5">
        <v>0.79652777777777783</v>
      </c>
      <c r="K292" s="32">
        <f>_xlfn.MAXIFS(ConsumoConcreto[Fim do Bombeamento],ConsumoConcreto[RecebimentoID],RecebimentoConcreto[[#This Row],[RecebimentoID]])</f>
        <v>0.85138888888888886</v>
      </c>
      <c r="M292" s="37">
        <v>36892</v>
      </c>
      <c r="N292" s="5" t="s">
        <v>25</v>
      </c>
      <c r="O292" s="9">
        <v>18</v>
      </c>
      <c r="P292" s="5" t="s">
        <v>26</v>
      </c>
      <c r="Q292" s="2">
        <v>3</v>
      </c>
      <c r="R292" s="5" t="s">
        <v>27</v>
      </c>
      <c r="S292" s="5" t="s">
        <v>32</v>
      </c>
      <c r="T292" s="39">
        <v>450</v>
      </c>
    </row>
    <row r="293" spans="1:20" ht="20.100000000000001" hidden="1" customHeight="1" x14ac:dyDescent="0.25">
      <c r="A293" s="26" t="str">
        <f>CONCATENATE(RIGHT(LEFT(RecebimentoConcreto[[#This Row],[Obra]],5),4),"RCBC",TEXT(RecebimentoConcreto[[#This Row],[Ordem]],"0000"))</f>
        <v>0184RCBC0618</v>
      </c>
      <c r="B293" s="1">
        <v>618</v>
      </c>
      <c r="C293" s="1" t="s">
        <v>21</v>
      </c>
      <c r="D293" s="35">
        <v>44768</v>
      </c>
      <c r="E293" s="1" t="s">
        <v>892</v>
      </c>
      <c r="F293" s="2" t="s">
        <v>893</v>
      </c>
      <c r="G293" s="2">
        <v>5408</v>
      </c>
      <c r="H293" s="2" t="s">
        <v>894</v>
      </c>
      <c r="J293" s="5">
        <v>0.73611111111111116</v>
      </c>
      <c r="K293" s="32">
        <f>_xlfn.MAXIFS(ConsumoConcreto[Fim do Bombeamento],ConsumoConcreto[RecebimentoID],RecebimentoConcreto[[#This Row],[RecebimentoID]])</f>
        <v>0.78263888888888899</v>
      </c>
      <c r="M293" s="37">
        <v>36892</v>
      </c>
      <c r="N293" s="5" t="s">
        <v>25</v>
      </c>
      <c r="O293" s="9">
        <v>14</v>
      </c>
      <c r="P293" s="5" t="s">
        <v>26</v>
      </c>
      <c r="Q293" s="2">
        <v>3</v>
      </c>
      <c r="R293" s="5" t="s">
        <v>27</v>
      </c>
      <c r="S293" s="5" t="s">
        <v>32</v>
      </c>
      <c r="T293" s="39">
        <v>450</v>
      </c>
    </row>
    <row r="294" spans="1:20" ht="20.100000000000001" hidden="1" customHeight="1" x14ac:dyDescent="0.25">
      <c r="A294" s="26" t="str">
        <f>CONCATENATE(RIGHT(LEFT(RecebimentoConcreto[[#This Row],[Obra]],5),4),"RCBC",TEXT(RecebimentoConcreto[[#This Row],[Ordem]],"0000"))</f>
        <v>0184RCBC0623</v>
      </c>
      <c r="B294" s="1">
        <v>623</v>
      </c>
      <c r="C294" s="1" t="s">
        <v>21</v>
      </c>
      <c r="D294" s="35">
        <v>44769</v>
      </c>
      <c r="E294" s="1" t="s">
        <v>895</v>
      </c>
      <c r="F294" s="2" t="s">
        <v>896</v>
      </c>
      <c r="G294" s="2">
        <v>5408</v>
      </c>
      <c r="H294" s="2" t="s">
        <v>897</v>
      </c>
      <c r="J294" s="5">
        <v>0.70833333333333337</v>
      </c>
      <c r="K294" s="32">
        <f>_xlfn.MAXIFS(ConsumoConcreto[Fim do Bombeamento],ConsumoConcreto[RecebimentoID],RecebimentoConcreto[[#This Row],[RecebimentoID]])</f>
        <v>0.81527777777777777</v>
      </c>
      <c r="M294" s="37">
        <v>36892</v>
      </c>
      <c r="N294" s="5" t="s">
        <v>25</v>
      </c>
      <c r="O294" s="9">
        <v>19</v>
      </c>
      <c r="P294" s="5" t="s">
        <v>26</v>
      </c>
      <c r="Q294" s="2">
        <v>3</v>
      </c>
      <c r="R294" s="5" t="s">
        <v>27</v>
      </c>
      <c r="S294" s="5" t="s">
        <v>32</v>
      </c>
      <c r="T294" s="39">
        <v>450</v>
      </c>
    </row>
    <row r="295" spans="1:20" ht="20.100000000000001" hidden="1" customHeight="1" x14ac:dyDescent="0.25">
      <c r="A295" s="26" t="str">
        <f>CONCATENATE(RIGHT(LEFT(RecebimentoConcreto[[#This Row],[Obra]],5),4),"RCBC",TEXT(RecebimentoConcreto[[#This Row],[Ordem]],"0000"))</f>
        <v>0184RCBC0627</v>
      </c>
      <c r="B295" s="1">
        <v>627</v>
      </c>
      <c r="C295" s="1" t="s">
        <v>21</v>
      </c>
      <c r="D295" s="35">
        <v>44774</v>
      </c>
      <c r="E295" s="1" t="s">
        <v>898</v>
      </c>
      <c r="F295" s="2" t="s">
        <v>899</v>
      </c>
      <c r="G295" s="2">
        <v>5408</v>
      </c>
      <c r="H295" s="2" t="s">
        <v>900</v>
      </c>
      <c r="J295" s="5">
        <v>0.83194444444444438</v>
      </c>
      <c r="K295" s="32">
        <f>_xlfn.MAXIFS(ConsumoConcreto[Fim do Bombeamento],ConsumoConcreto[RecebimentoID],RecebimentoConcreto[[#This Row],[RecebimentoID]])</f>
        <v>0.8930555555555556</v>
      </c>
      <c r="M295" s="37">
        <v>36892</v>
      </c>
      <c r="N295" s="5" t="s">
        <v>25</v>
      </c>
      <c r="O295" s="9">
        <v>18</v>
      </c>
      <c r="P295" s="5" t="s">
        <v>26</v>
      </c>
      <c r="Q295" s="2">
        <v>3</v>
      </c>
      <c r="R295" s="5" t="s">
        <v>27</v>
      </c>
      <c r="S295" s="5" t="s">
        <v>32</v>
      </c>
      <c r="T295" s="39">
        <v>450</v>
      </c>
    </row>
    <row r="296" spans="1:20" ht="20.100000000000001" hidden="1" customHeight="1" x14ac:dyDescent="0.25">
      <c r="A296" s="26" t="str">
        <f>CONCATENATE(RIGHT(LEFT(RecebimentoConcreto[[#This Row],[Obra]],5),4),"RCBC",TEXT(RecebimentoConcreto[[#This Row],[Ordem]],"0000"))</f>
        <v>0184RCBC0628</v>
      </c>
      <c r="B296" s="1">
        <v>628</v>
      </c>
      <c r="C296" s="1" t="s">
        <v>21</v>
      </c>
      <c r="D296" s="35">
        <v>44774</v>
      </c>
      <c r="E296" s="1" t="s">
        <v>901</v>
      </c>
      <c r="F296" s="2" t="s">
        <v>902</v>
      </c>
      <c r="G296" s="2">
        <v>5408</v>
      </c>
      <c r="H296" s="2" t="s">
        <v>903</v>
      </c>
      <c r="J296" s="5">
        <v>0.77013888888888893</v>
      </c>
      <c r="K296" s="32">
        <f>_xlfn.MAXIFS(ConsumoConcreto[Fim do Bombeamento],ConsumoConcreto[RecebimentoID],RecebimentoConcreto[[#This Row],[RecebimentoID]])</f>
        <v>0.80902777777777779</v>
      </c>
      <c r="M296" s="37">
        <v>36892</v>
      </c>
      <c r="N296" s="5" t="s">
        <v>25</v>
      </c>
      <c r="O296" s="9">
        <v>14.5</v>
      </c>
      <c r="P296" s="5" t="s">
        <v>26</v>
      </c>
      <c r="Q296" s="2">
        <v>3</v>
      </c>
      <c r="R296" s="5" t="s">
        <v>27</v>
      </c>
      <c r="S296" s="5" t="s">
        <v>32</v>
      </c>
      <c r="T296" s="39">
        <v>450</v>
      </c>
    </row>
    <row r="297" spans="1:20" ht="20.100000000000001" hidden="1" customHeight="1" x14ac:dyDescent="0.25">
      <c r="A297" s="26" t="str">
        <f>CONCATENATE(RIGHT(LEFT(RecebimentoConcreto[[#This Row],[Obra]],5),4),"RCBC",TEXT(RecebimentoConcreto[[#This Row],[Ordem]],"0000"))</f>
        <v>0184RCBC0630</v>
      </c>
      <c r="B297" s="1">
        <v>630</v>
      </c>
      <c r="C297" s="1" t="s">
        <v>21</v>
      </c>
      <c r="D297" s="35">
        <v>44776</v>
      </c>
      <c r="E297" s="1" t="s">
        <v>904</v>
      </c>
      <c r="F297" s="2" t="s">
        <v>905</v>
      </c>
      <c r="G297" s="2">
        <v>5408</v>
      </c>
      <c r="H297" s="2" t="s">
        <v>906</v>
      </c>
      <c r="J297" s="5">
        <v>0.34027777777777773</v>
      </c>
      <c r="K297" s="32">
        <f>_xlfn.MAXIFS(ConsumoConcreto[Fim do Bombeamento],ConsumoConcreto[RecebimentoID],RecebimentoConcreto[[#This Row],[RecebimentoID]])</f>
        <v>0.41319444444444442</v>
      </c>
      <c r="M297" s="37">
        <v>36892</v>
      </c>
      <c r="N297" s="5" t="s">
        <v>25</v>
      </c>
      <c r="O297" s="9">
        <v>18</v>
      </c>
      <c r="P297" s="5" t="s">
        <v>26</v>
      </c>
      <c r="Q297" s="2">
        <v>3</v>
      </c>
      <c r="R297" s="5" t="s">
        <v>27</v>
      </c>
      <c r="S297" s="5" t="s">
        <v>32</v>
      </c>
      <c r="T297" s="39">
        <v>450</v>
      </c>
    </row>
    <row r="298" spans="1:20" ht="20.100000000000001" hidden="1" customHeight="1" x14ac:dyDescent="0.25">
      <c r="A298" s="26" t="str">
        <f>CONCATENATE(RIGHT(LEFT(RecebimentoConcreto[[#This Row],[Obra]],5),4),"RCBC",TEXT(RecebimentoConcreto[[#This Row],[Ordem]],"0000"))</f>
        <v>0184RCBC0631</v>
      </c>
      <c r="B298" s="1">
        <v>631</v>
      </c>
      <c r="C298" s="1" t="s">
        <v>21</v>
      </c>
      <c r="D298" s="35">
        <v>44776</v>
      </c>
      <c r="E298" s="1" t="s">
        <v>290</v>
      </c>
      <c r="F298" s="2" t="s">
        <v>907</v>
      </c>
      <c r="G298" s="2">
        <v>5408</v>
      </c>
      <c r="H298" s="2" t="s">
        <v>908</v>
      </c>
      <c r="J298" s="5">
        <v>0.49305555555555558</v>
      </c>
      <c r="K298" s="32">
        <f>_xlfn.MAXIFS(ConsumoConcreto[Fim do Bombeamento],ConsumoConcreto[RecebimentoID],RecebimentoConcreto[[#This Row],[RecebimentoID]])</f>
        <v>0.51736111111111105</v>
      </c>
      <c r="M298" s="37">
        <v>36892</v>
      </c>
      <c r="N298" s="5" t="s">
        <v>25</v>
      </c>
      <c r="O298" s="9">
        <v>14</v>
      </c>
      <c r="P298" s="5" t="s">
        <v>26</v>
      </c>
      <c r="Q298" s="2">
        <v>3</v>
      </c>
      <c r="R298" s="5" t="s">
        <v>27</v>
      </c>
      <c r="S298" s="5" t="s">
        <v>32</v>
      </c>
      <c r="T298" s="39">
        <v>450</v>
      </c>
    </row>
    <row r="299" spans="1:20" ht="20.100000000000001" hidden="1" customHeight="1" x14ac:dyDescent="0.25">
      <c r="A299" s="26" t="str">
        <f>CONCATENATE(RIGHT(LEFT(RecebimentoConcreto[[#This Row],[Obra]],5),4),"RCBC",TEXT(RecebimentoConcreto[[#This Row],[Ordem]],"0000"))</f>
        <v>0184RCBC0635</v>
      </c>
      <c r="B299" s="1">
        <v>635</v>
      </c>
      <c r="C299" s="1" t="s">
        <v>21</v>
      </c>
      <c r="D299" s="35">
        <v>44778</v>
      </c>
      <c r="E299" s="1" t="s">
        <v>909</v>
      </c>
      <c r="F299" s="2" t="s">
        <v>910</v>
      </c>
      <c r="G299" s="2">
        <v>5408</v>
      </c>
      <c r="H299" s="2" t="s">
        <v>911</v>
      </c>
      <c r="J299" s="5">
        <v>0.36527777777777781</v>
      </c>
      <c r="K299" s="32">
        <f>_xlfn.MAXIFS(ConsumoConcreto[Fim do Bombeamento],ConsumoConcreto[RecebimentoID],RecebimentoConcreto[[#This Row],[RecebimentoID]])</f>
        <v>0.39374999999999999</v>
      </c>
      <c r="M299" s="37">
        <v>36892</v>
      </c>
      <c r="N299" s="5" t="s">
        <v>25</v>
      </c>
      <c r="O299" s="9">
        <v>14</v>
      </c>
      <c r="P299" s="5" t="s">
        <v>26</v>
      </c>
      <c r="Q299" s="2">
        <v>3</v>
      </c>
      <c r="R299" s="5" t="s">
        <v>27</v>
      </c>
      <c r="S299" s="5" t="s">
        <v>32</v>
      </c>
      <c r="T299" s="39">
        <v>450</v>
      </c>
    </row>
    <row r="300" spans="1:20" ht="20.100000000000001" hidden="1" customHeight="1" x14ac:dyDescent="0.25">
      <c r="A300" s="26" t="str">
        <f>CONCATENATE(RIGHT(LEFT(RecebimentoConcreto[[#This Row],[Obra]],5),4),"RCBC",TEXT(RecebimentoConcreto[[#This Row],[Ordem]],"0000"))</f>
        <v>0184RCBC0636</v>
      </c>
      <c r="B300" s="1">
        <v>636</v>
      </c>
      <c r="C300" s="1" t="s">
        <v>21</v>
      </c>
      <c r="D300" s="35">
        <v>44778</v>
      </c>
      <c r="E300" s="1" t="s">
        <v>912</v>
      </c>
      <c r="F300" s="2" t="s">
        <v>913</v>
      </c>
      <c r="G300" s="2">
        <v>5408</v>
      </c>
      <c r="H300" s="2" t="s">
        <v>914</v>
      </c>
      <c r="J300" s="5">
        <v>0.43541666666666662</v>
      </c>
      <c r="K300" s="32">
        <f>_xlfn.MAXIFS(ConsumoConcreto[Fim do Bombeamento],ConsumoConcreto[RecebimentoID],RecebimentoConcreto[[#This Row],[RecebimentoID]])</f>
        <v>0.47152777777777777</v>
      </c>
      <c r="M300" s="37">
        <v>36892</v>
      </c>
      <c r="N300" s="5" t="s">
        <v>25</v>
      </c>
      <c r="O300" s="9">
        <v>14.3</v>
      </c>
      <c r="P300" s="5" t="s">
        <v>26</v>
      </c>
      <c r="Q300" s="2">
        <v>3</v>
      </c>
      <c r="R300" s="5" t="s">
        <v>27</v>
      </c>
      <c r="S300" s="5" t="s">
        <v>32</v>
      </c>
      <c r="T300" s="39">
        <v>450</v>
      </c>
    </row>
    <row r="301" spans="1:20" ht="20.100000000000001" hidden="1" customHeight="1" x14ac:dyDescent="0.25">
      <c r="A301" s="26" t="str">
        <f>CONCATENATE(RIGHT(LEFT(RecebimentoConcreto[[#This Row],[Obra]],5),4),"RCBC",TEXT(RecebimentoConcreto[[#This Row],[Ordem]],"0000"))</f>
        <v>0184RCBC0637</v>
      </c>
      <c r="B301" s="1">
        <v>637</v>
      </c>
      <c r="C301" s="1" t="s">
        <v>21</v>
      </c>
      <c r="D301" s="35">
        <v>44781</v>
      </c>
      <c r="E301" s="1" t="s">
        <v>915</v>
      </c>
      <c r="F301" s="2" t="s">
        <v>916</v>
      </c>
      <c r="G301" s="2">
        <v>5408</v>
      </c>
      <c r="H301" s="2" t="s">
        <v>917</v>
      </c>
      <c r="J301" s="5">
        <v>0.8979166666666667</v>
      </c>
      <c r="K301" s="32">
        <f>_xlfn.MAXIFS(ConsumoConcreto[Fim do Bombeamento],ConsumoConcreto[RecebimentoID],RecebimentoConcreto[[#This Row],[RecebimentoID]])</f>
        <v>0.93194444444444446</v>
      </c>
      <c r="M301" s="37">
        <v>36892</v>
      </c>
      <c r="N301" s="5" t="s">
        <v>25</v>
      </c>
      <c r="O301" s="9">
        <v>14</v>
      </c>
      <c r="P301" s="5" t="s">
        <v>26</v>
      </c>
      <c r="Q301" s="2">
        <v>3</v>
      </c>
      <c r="R301" s="5" t="s">
        <v>27</v>
      </c>
      <c r="S301" s="5" t="s">
        <v>32</v>
      </c>
      <c r="T301" s="39">
        <v>450</v>
      </c>
    </row>
    <row r="302" spans="1:20" ht="20.100000000000001" hidden="1" customHeight="1" x14ac:dyDescent="0.25">
      <c r="A302" s="26" t="str">
        <f>CONCATENATE(RIGHT(LEFT(RecebimentoConcreto[[#This Row],[Obra]],5),4),"RCBC",TEXT(RecebimentoConcreto[[#This Row],[Ordem]],"0000"))</f>
        <v>0184RCBC0638</v>
      </c>
      <c r="B302" s="1">
        <v>638</v>
      </c>
      <c r="C302" s="1" t="s">
        <v>21</v>
      </c>
      <c r="D302" s="35">
        <v>44781</v>
      </c>
      <c r="E302" s="1" t="s">
        <v>313</v>
      </c>
      <c r="F302" s="2" t="s">
        <v>918</v>
      </c>
      <c r="G302" s="2">
        <v>5408</v>
      </c>
      <c r="H302" s="2" t="s">
        <v>919</v>
      </c>
      <c r="J302" s="5">
        <v>1.5972222222222224E-2</v>
      </c>
      <c r="K302" s="32">
        <f>_xlfn.MAXIFS(ConsumoConcreto[Fim do Bombeamento],ConsumoConcreto[RecebimentoID],RecebimentoConcreto[[#This Row],[RecebimentoID]])</f>
        <v>3.7499999999999999E-2</v>
      </c>
      <c r="M302" s="37">
        <v>36892</v>
      </c>
      <c r="N302" s="5" t="s">
        <v>25</v>
      </c>
      <c r="O302" s="9">
        <v>14.5</v>
      </c>
      <c r="P302" s="5" t="s">
        <v>26</v>
      </c>
      <c r="Q302" s="2">
        <v>3</v>
      </c>
      <c r="R302" s="5" t="s">
        <v>27</v>
      </c>
      <c r="S302" s="5" t="s">
        <v>32</v>
      </c>
      <c r="T302" s="39">
        <v>450</v>
      </c>
    </row>
    <row r="303" spans="1:20" ht="20.100000000000001" hidden="1" customHeight="1" x14ac:dyDescent="0.25">
      <c r="A303" s="26" t="str">
        <f>CONCATENATE(RIGHT(LEFT(RecebimentoConcreto[[#This Row],[Obra]],5),4),"RCBC",TEXT(RecebimentoConcreto[[#This Row],[Ordem]],"0000"))</f>
        <v>0184RCBC0641</v>
      </c>
      <c r="B303" s="1">
        <v>641</v>
      </c>
      <c r="C303" s="1" t="s">
        <v>21</v>
      </c>
      <c r="D303" s="35">
        <v>44782</v>
      </c>
      <c r="E303" s="1" t="s">
        <v>920</v>
      </c>
      <c r="F303" s="2" t="s">
        <v>921</v>
      </c>
      <c r="G303" s="2">
        <v>5408</v>
      </c>
      <c r="H303" s="2" t="s">
        <v>922</v>
      </c>
      <c r="J303" s="5">
        <v>0.67499999999999993</v>
      </c>
      <c r="K303" s="32">
        <f>_xlfn.MAXIFS(ConsumoConcreto[Fim do Bombeamento],ConsumoConcreto[RecebimentoID],RecebimentoConcreto[[#This Row],[RecebimentoID]])</f>
        <v>0.70972222222222225</v>
      </c>
      <c r="M303" s="37">
        <v>36892</v>
      </c>
      <c r="N303" s="5" t="s">
        <v>25</v>
      </c>
      <c r="O303" s="9">
        <v>14.5</v>
      </c>
      <c r="P303" s="5" t="s">
        <v>26</v>
      </c>
      <c r="Q303" s="2">
        <v>3</v>
      </c>
      <c r="R303" s="5" t="s">
        <v>27</v>
      </c>
      <c r="S303" s="5" t="s">
        <v>32</v>
      </c>
      <c r="T303" s="39">
        <v>450</v>
      </c>
    </row>
    <row r="304" spans="1:20" ht="20.100000000000001" hidden="1" customHeight="1" x14ac:dyDescent="0.25">
      <c r="A304" s="26" t="str">
        <f>CONCATENATE(RIGHT(LEFT(RecebimentoConcreto[[#This Row],[Obra]],5),4),"RCBC",TEXT(RecebimentoConcreto[[#This Row],[Ordem]],"0000"))</f>
        <v>0184RCBC0642</v>
      </c>
      <c r="B304" s="1">
        <v>642</v>
      </c>
      <c r="C304" s="1" t="s">
        <v>21</v>
      </c>
      <c r="D304" s="35">
        <v>44783</v>
      </c>
      <c r="E304" s="1" t="s">
        <v>923</v>
      </c>
      <c r="F304" s="2" t="s">
        <v>924</v>
      </c>
      <c r="G304" s="2">
        <v>5408</v>
      </c>
      <c r="H304" s="2" t="s">
        <v>925</v>
      </c>
      <c r="J304" s="5">
        <v>0.71527777777777779</v>
      </c>
      <c r="K304" s="32">
        <f>_xlfn.MAXIFS(ConsumoConcreto[Fim do Bombeamento],ConsumoConcreto[RecebimentoID],RecebimentoConcreto[[#This Row],[RecebimentoID]])</f>
        <v>0.73819444444444438</v>
      </c>
      <c r="M304" s="37">
        <v>36892</v>
      </c>
      <c r="N304" s="5" t="s">
        <v>25</v>
      </c>
      <c r="O304" s="9">
        <v>14.5</v>
      </c>
      <c r="P304" s="5" t="s">
        <v>26</v>
      </c>
      <c r="Q304" s="2">
        <v>3</v>
      </c>
      <c r="R304" s="5" t="s">
        <v>27</v>
      </c>
      <c r="S304" s="5" t="s">
        <v>32</v>
      </c>
      <c r="T304" s="39">
        <v>450</v>
      </c>
    </row>
    <row r="305" spans="1:20" ht="20.100000000000001" hidden="1" customHeight="1" x14ac:dyDescent="0.25">
      <c r="A305" s="26" t="str">
        <f>CONCATENATE(RIGHT(LEFT(RecebimentoConcreto[[#This Row],[Obra]],5),4),"RCBC",TEXT(RecebimentoConcreto[[#This Row],[Ordem]],"0000"))</f>
        <v>0184RCBC0643</v>
      </c>
      <c r="B305" s="1">
        <v>643</v>
      </c>
      <c r="C305" s="1" t="s">
        <v>21</v>
      </c>
      <c r="D305" s="35">
        <v>44783</v>
      </c>
      <c r="E305" s="1" t="s">
        <v>926</v>
      </c>
      <c r="F305" s="2" t="s">
        <v>927</v>
      </c>
      <c r="G305" s="2">
        <v>5408</v>
      </c>
      <c r="H305" s="2" t="s">
        <v>928</v>
      </c>
      <c r="J305" s="5">
        <v>0.75902777777777775</v>
      </c>
      <c r="K305" s="32">
        <f>_xlfn.MAXIFS(ConsumoConcreto[Fim do Bombeamento],ConsumoConcreto[RecebimentoID],RecebimentoConcreto[[#This Row],[RecebimentoID]])</f>
        <v>0.78125</v>
      </c>
      <c r="M305" s="37">
        <v>36892</v>
      </c>
      <c r="N305" s="5" t="s">
        <v>25</v>
      </c>
      <c r="O305" s="9">
        <v>15</v>
      </c>
      <c r="P305" s="5" t="s">
        <v>26</v>
      </c>
      <c r="Q305" s="2">
        <v>3</v>
      </c>
      <c r="R305" s="5" t="s">
        <v>27</v>
      </c>
      <c r="S305" s="5" t="s">
        <v>32</v>
      </c>
      <c r="T305" s="39">
        <v>450</v>
      </c>
    </row>
    <row r="306" spans="1:20" ht="20.100000000000001" hidden="1" customHeight="1" x14ac:dyDescent="0.25">
      <c r="A306" s="26" t="str">
        <f>CONCATENATE(RIGHT(LEFT(RecebimentoConcreto[[#This Row],[Obra]],5),4),"RCBC",TEXT(RecebimentoConcreto[[#This Row],[Ordem]],"0000"))</f>
        <v>0184RCBC0649</v>
      </c>
      <c r="B306" s="1">
        <v>649</v>
      </c>
      <c r="C306" s="1" t="s">
        <v>21</v>
      </c>
      <c r="D306" s="35">
        <v>44785</v>
      </c>
      <c r="E306" s="1" t="s">
        <v>929</v>
      </c>
      <c r="F306" s="2" t="s">
        <v>930</v>
      </c>
      <c r="G306" s="2">
        <v>5408</v>
      </c>
      <c r="H306" s="2" t="s">
        <v>931</v>
      </c>
      <c r="J306" s="5">
        <v>0.49236111111111108</v>
      </c>
      <c r="K306" s="32">
        <f>_xlfn.MAXIFS(ConsumoConcreto[Fim do Bombeamento],ConsumoConcreto[RecebimentoID],RecebimentoConcreto[[#This Row],[RecebimentoID]])</f>
        <v>0.52986111111111112</v>
      </c>
      <c r="M306" s="37">
        <v>36892</v>
      </c>
      <c r="N306" s="5" t="s">
        <v>25</v>
      </c>
      <c r="O306" s="9">
        <v>14.5</v>
      </c>
      <c r="P306" s="5" t="s">
        <v>26</v>
      </c>
      <c r="Q306" s="2">
        <v>3</v>
      </c>
      <c r="R306" s="5" t="s">
        <v>27</v>
      </c>
      <c r="S306" s="5" t="s">
        <v>32</v>
      </c>
      <c r="T306" s="39">
        <v>450</v>
      </c>
    </row>
    <row r="307" spans="1:20" ht="20.100000000000001" hidden="1" customHeight="1" x14ac:dyDescent="0.25">
      <c r="A307" s="26" t="str">
        <f>CONCATENATE(RIGHT(LEFT(RecebimentoConcreto[[#This Row],[Obra]],5),4),"RCBC",TEXT(RecebimentoConcreto[[#This Row],[Ordem]],"0000"))</f>
        <v>0184RCBC0650</v>
      </c>
      <c r="B307" s="1">
        <v>650</v>
      </c>
      <c r="C307" s="1" t="s">
        <v>21</v>
      </c>
      <c r="D307" s="35">
        <v>44785</v>
      </c>
      <c r="E307" s="1" t="s">
        <v>932</v>
      </c>
      <c r="F307" s="2" t="s">
        <v>933</v>
      </c>
      <c r="G307" s="2">
        <v>5408</v>
      </c>
      <c r="H307" s="2" t="s">
        <v>934</v>
      </c>
      <c r="J307" s="5">
        <v>0.55555555555555558</v>
      </c>
      <c r="K307" s="32">
        <f>_xlfn.MAXIFS(ConsumoConcreto[Fim do Bombeamento],ConsumoConcreto[RecebimentoID],RecebimentoConcreto[[#This Row],[RecebimentoID]])</f>
        <v>0.58750000000000002</v>
      </c>
      <c r="M307" s="37">
        <v>36892</v>
      </c>
      <c r="N307" s="5" t="s">
        <v>25</v>
      </c>
      <c r="O307" s="9">
        <v>14</v>
      </c>
      <c r="P307" s="5" t="s">
        <v>26</v>
      </c>
      <c r="Q307" s="2">
        <v>3</v>
      </c>
      <c r="R307" s="5" t="s">
        <v>27</v>
      </c>
      <c r="S307" s="5" t="s">
        <v>32</v>
      </c>
      <c r="T307" s="39">
        <v>450</v>
      </c>
    </row>
    <row r="308" spans="1:20" ht="20.100000000000001" hidden="1" customHeight="1" x14ac:dyDescent="0.25">
      <c r="A308" s="26" t="str">
        <f>CONCATENATE(RIGHT(LEFT(RecebimentoConcreto[[#This Row],[Obra]],5),4),"RCBC",TEXT(RecebimentoConcreto[[#This Row],[Ordem]],"0000"))</f>
        <v>0184RCBC0651</v>
      </c>
      <c r="B308" s="1">
        <v>651</v>
      </c>
      <c r="C308" s="1" t="s">
        <v>21</v>
      </c>
      <c r="D308" s="35">
        <v>44788</v>
      </c>
      <c r="E308" s="1" t="s">
        <v>307</v>
      </c>
      <c r="F308" s="2" t="s">
        <v>935</v>
      </c>
      <c r="G308" s="2">
        <v>5408</v>
      </c>
      <c r="H308" s="2" t="s">
        <v>936</v>
      </c>
      <c r="J308" s="5">
        <v>0.76041666666666663</v>
      </c>
      <c r="K308" s="32">
        <f>_xlfn.MAXIFS(ConsumoConcreto[Fim do Bombeamento],ConsumoConcreto[RecebimentoID],RecebimentoConcreto[[#This Row],[RecebimentoID]])</f>
        <v>0.78333333333333333</v>
      </c>
      <c r="M308" s="37">
        <v>36892</v>
      </c>
      <c r="N308" s="5" t="s">
        <v>25</v>
      </c>
      <c r="O308" s="9">
        <v>14.5</v>
      </c>
      <c r="P308" s="5" t="s">
        <v>26</v>
      </c>
      <c r="Q308" s="2">
        <v>4</v>
      </c>
      <c r="R308" s="5" t="s">
        <v>27</v>
      </c>
      <c r="S308" s="5" t="s">
        <v>32</v>
      </c>
      <c r="T308" s="39">
        <v>450</v>
      </c>
    </row>
    <row r="309" spans="1:20" ht="20.100000000000001" hidden="1" customHeight="1" x14ac:dyDescent="0.25">
      <c r="A309" s="26" t="str">
        <f>CONCATENATE(RIGHT(LEFT(RecebimentoConcreto[[#This Row],[Obra]],5),4),"RCBC",TEXT(RecebimentoConcreto[[#This Row],[Ordem]],"0000"))</f>
        <v>0184RCBC0652</v>
      </c>
      <c r="B309" s="1">
        <v>652</v>
      </c>
      <c r="C309" s="1" t="s">
        <v>21</v>
      </c>
      <c r="D309" s="35">
        <v>44788</v>
      </c>
      <c r="E309" s="1" t="s">
        <v>370</v>
      </c>
      <c r="F309" s="2" t="s">
        <v>937</v>
      </c>
      <c r="G309" s="2">
        <v>5408</v>
      </c>
      <c r="H309" s="2" t="s">
        <v>938</v>
      </c>
      <c r="J309" s="5">
        <v>0.81319444444444444</v>
      </c>
      <c r="K309" s="32">
        <f>_xlfn.MAXIFS(ConsumoConcreto[Fim do Bombeamento],ConsumoConcreto[RecebimentoID],RecebimentoConcreto[[#This Row],[RecebimentoID]])</f>
        <v>0.84444444444444444</v>
      </c>
      <c r="M309" s="37">
        <v>36892</v>
      </c>
      <c r="N309" s="5" t="s">
        <v>25</v>
      </c>
      <c r="O309" s="9">
        <v>14</v>
      </c>
      <c r="P309" s="5" t="s">
        <v>26</v>
      </c>
      <c r="Q309" s="2">
        <v>4</v>
      </c>
      <c r="R309" s="5" t="s">
        <v>27</v>
      </c>
      <c r="S309" s="5" t="s">
        <v>32</v>
      </c>
      <c r="T309" s="39">
        <v>450</v>
      </c>
    </row>
    <row r="310" spans="1:20" ht="20.100000000000001" hidden="1" customHeight="1" x14ac:dyDescent="0.25">
      <c r="A310" s="26" t="str">
        <f>CONCATENATE(RIGHT(LEFT(RecebimentoConcreto[[#This Row],[Obra]],5),4),"RCBC",TEXT(RecebimentoConcreto[[#This Row],[Ordem]],"0000"))</f>
        <v>0184RCBC0653</v>
      </c>
      <c r="B310" s="1">
        <v>653</v>
      </c>
      <c r="C310" s="1" t="s">
        <v>21</v>
      </c>
      <c r="D310" s="35">
        <v>44789</v>
      </c>
      <c r="E310" s="1" t="s">
        <v>184</v>
      </c>
      <c r="F310" s="2" t="s">
        <v>939</v>
      </c>
      <c r="G310" s="2">
        <v>5408</v>
      </c>
      <c r="H310" s="2" t="s">
        <v>940</v>
      </c>
      <c r="J310" s="5">
        <v>0.80208333333333337</v>
      </c>
      <c r="K310" s="32">
        <f>_xlfn.MAXIFS(ConsumoConcreto[Fim do Bombeamento],ConsumoConcreto[RecebimentoID],RecebimentoConcreto[[#This Row],[RecebimentoID]])</f>
        <v>0.84166666666666667</v>
      </c>
      <c r="M310" s="37">
        <v>36892</v>
      </c>
      <c r="N310" s="5" t="s">
        <v>25</v>
      </c>
      <c r="O310" s="9">
        <v>14.5</v>
      </c>
      <c r="P310" s="5" t="s">
        <v>26</v>
      </c>
      <c r="Q310" s="2">
        <v>4</v>
      </c>
      <c r="R310" s="5" t="s">
        <v>27</v>
      </c>
      <c r="S310" s="5" t="s">
        <v>32</v>
      </c>
      <c r="T310" s="39">
        <v>450</v>
      </c>
    </row>
    <row r="311" spans="1:20" ht="20.100000000000001" hidden="1" customHeight="1" x14ac:dyDescent="0.25">
      <c r="A311" s="26" t="str">
        <f>CONCATENATE(RIGHT(LEFT(RecebimentoConcreto[[#This Row],[Obra]],5),4),"RCBC",TEXT(RecebimentoConcreto[[#This Row],[Ordem]],"0000"))</f>
        <v>0184RCBC0654</v>
      </c>
      <c r="B311" s="1">
        <v>654</v>
      </c>
      <c r="C311" s="1" t="s">
        <v>21</v>
      </c>
      <c r="D311" s="35">
        <v>44789</v>
      </c>
      <c r="E311" s="1" t="s">
        <v>941</v>
      </c>
      <c r="F311" s="2" t="s">
        <v>942</v>
      </c>
      <c r="G311" s="2">
        <v>5408</v>
      </c>
      <c r="H311" s="2" t="s">
        <v>943</v>
      </c>
      <c r="J311" s="5">
        <v>0.85</v>
      </c>
      <c r="K311" s="32">
        <f>_xlfn.MAXIFS(ConsumoConcreto[Fim do Bombeamento],ConsumoConcreto[RecebimentoID],RecebimentoConcreto[[#This Row],[RecebimentoID]])</f>
        <v>0.88263888888888886</v>
      </c>
      <c r="M311" s="37">
        <v>36892</v>
      </c>
      <c r="N311" s="5" t="s">
        <v>25</v>
      </c>
      <c r="O311" s="9">
        <v>14</v>
      </c>
      <c r="P311" s="5" t="s">
        <v>26</v>
      </c>
      <c r="Q311" s="2">
        <v>4</v>
      </c>
      <c r="R311" s="5" t="s">
        <v>27</v>
      </c>
      <c r="S311" s="5" t="s">
        <v>32</v>
      </c>
      <c r="T311" s="39">
        <v>450</v>
      </c>
    </row>
    <row r="312" spans="1:20" ht="20.100000000000001" hidden="1" customHeight="1" x14ac:dyDescent="0.25">
      <c r="A312" s="26" t="str">
        <f>CONCATENATE(RIGHT(LEFT(RecebimentoConcreto[[#This Row],[Obra]],5),4),"RCBC",TEXT(RecebimentoConcreto[[#This Row],[Ordem]],"0000"))</f>
        <v>0184RCBC0655</v>
      </c>
      <c r="B312" s="1">
        <v>655</v>
      </c>
      <c r="C312" s="1" t="s">
        <v>21</v>
      </c>
      <c r="D312" s="35">
        <v>44790</v>
      </c>
      <c r="E312" s="1" t="s">
        <v>323</v>
      </c>
      <c r="F312" s="2" t="s">
        <v>944</v>
      </c>
      <c r="G312" s="2">
        <v>5408</v>
      </c>
      <c r="H312" s="2" t="s">
        <v>945</v>
      </c>
      <c r="J312" s="5">
        <v>0.73472222222222217</v>
      </c>
      <c r="K312" s="32">
        <f>_xlfn.MAXIFS(ConsumoConcreto[Fim do Bombeamento],ConsumoConcreto[RecebimentoID],RecebimentoConcreto[[#This Row],[RecebimentoID]])</f>
        <v>0.83333333333333337</v>
      </c>
      <c r="M312" s="37">
        <v>36892</v>
      </c>
      <c r="N312" s="5" t="s">
        <v>25</v>
      </c>
      <c r="O312" s="9">
        <v>14</v>
      </c>
      <c r="P312" s="5" t="s">
        <v>26</v>
      </c>
      <c r="Q312" s="2">
        <v>4</v>
      </c>
      <c r="R312" s="5" t="s">
        <v>27</v>
      </c>
      <c r="S312" s="5" t="s">
        <v>32</v>
      </c>
      <c r="T312" s="39">
        <v>450</v>
      </c>
    </row>
    <row r="313" spans="1:20" ht="20.100000000000001" hidden="1" customHeight="1" x14ac:dyDescent="0.25">
      <c r="A313" s="26" t="str">
        <f>CONCATENATE(RIGHT(LEFT(RecebimentoConcreto[[#This Row],[Obra]],5),4),"RCBC",TEXT(RecebimentoConcreto[[#This Row],[Ordem]],"0000"))</f>
        <v>0184RCBC0656</v>
      </c>
      <c r="B313" s="1">
        <v>656</v>
      </c>
      <c r="C313" s="1" t="s">
        <v>21</v>
      </c>
      <c r="D313" s="35">
        <v>44791</v>
      </c>
      <c r="E313" s="1" t="s">
        <v>946</v>
      </c>
      <c r="F313" s="2" t="s">
        <v>947</v>
      </c>
      <c r="G313" s="2">
        <v>5408</v>
      </c>
      <c r="H313" s="2" t="s">
        <v>948</v>
      </c>
      <c r="J313" s="5">
        <v>0.87152777777777779</v>
      </c>
      <c r="K313" s="32">
        <f>_xlfn.MAXIFS(ConsumoConcreto[Fim do Bombeamento],ConsumoConcreto[RecebimentoID],RecebimentoConcreto[[#This Row],[RecebimentoID]])</f>
        <v>0.9</v>
      </c>
      <c r="M313" s="37">
        <v>36892</v>
      </c>
      <c r="N313" s="5" t="s">
        <v>25</v>
      </c>
      <c r="O313" s="9">
        <v>14</v>
      </c>
      <c r="P313" s="5" t="s">
        <v>26</v>
      </c>
      <c r="Q313" s="2">
        <v>4</v>
      </c>
      <c r="R313" s="5" t="s">
        <v>27</v>
      </c>
      <c r="S313" s="5" t="s">
        <v>32</v>
      </c>
      <c r="T313" s="39">
        <v>450</v>
      </c>
    </row>
    <row r="314" spans="1:20" ht="20.100000000000001" hidden="1" customHeight="1" x14ac:dyDescent="0.25">
      <c r="A314" s="26" t="str">
        <f>CONCATENATE(RIGHT(LEFT(RecebimentoConcreto[[#This Row],[Obra]],5),4),"RCBC",TEXT(RecebimentoConcreto[[#This Row],[Ordem]],"0000"))</f>
        <v>0184RCBC0657</v>
      </c>
      <c r="B314" s="1">
        <v>657</v>
      </c>
      <c r="C314" s="1" t="s">
        <v>21</v>
      </c>
      <c r="D314" s="35">
        <v>44791</v>
      </c>
      <c r="E314" s="1" t="s">
        <v>519</v>
      </c>
      <c r="F314" s="2" t="s">
        <v>949</v>
      </c>
      <c r="G314" s="2">
        <v>5408</v>
      </c>
      <c r="H314" s="2" t="s">
        <v>950</v>
      </c>
      <c r="J314" s="5">
        <v>0.90902777777777777</v>
      </c>
      <c r="K314" s="32">
        <f>_xlfn.MAXIFS(ConsumoConcreto[Fim do Bombeamento],ConsumoConcreto[RecebimentoID],RecebimentoConcreto[[#This Row],[RecebimentoID]])</f>
        <v>0.94305555555555554</v>
      </c>
      <c r="M314" s="37">
        <v>36892</v>
      </c>
      <c r="N314" s="5" t="s">
        <v>25</v>
      </c>
      <c r="O314" s="9">
        <v>14</v>
      </c>
      <c r="P314" s="5" t="s">
        <v>26</v>
      </c>
      <c r="Q314" s="2">
        <v>4</v>
      </c>
      <c r="R314" s="5" t="s">
        <v>27</v>
      </c>
      <c r="S314" s="5" t="s">
        <v>32</v>
      </c>
      <c r="T314" s="39">
        <v>450</v>
      </c>
    </row>
    <row r="315" spans="1:20" ht="20.100000000000001" hidden="1" customHeight="1" x14ac:dyDescent="0.25">
      <c r="A315" s="26" t="str">
        <f>CONCATENATE(RIGHT(LEFT(RecebimentoConcreto[[#This Row],[Obra]],5),4),"RCBC",TEXT(RecebimentoConcreto[[#This Row],[Ordem]],"0000"))</f>
        <v>0184RCBC0658</v>
      </c>
      <c r="B315" s="1">
        <v>658</v>
      </c>
      <c r="C315" s="1" t="s">
        <v>21</v>
      </c>
      <c r="D315" s="35">
        <v>44793</v>
      </c>
      <c r="E315" s="1" t="s">
        <v>951</v>
      </c>
      <c r="F315" s="2" t="s">
        <v>952</v>
      </c>
      <c r="G315" s="2">
        <v>5408</v>
      </c>
      <c r="H315" s="2" t="s">
        <v>953</v>
      </c>
      <c r="J315" s="5">
        <v>0.45416666666666666</v>
      </c>
      <c r="K315" s="32">
        <f>_xlfn.MAXIFS(ConsumoConcreto[Fim do Bombeamento],ConsumoConcreto[RecebimentoID],RecebimentoConcreto[[#This Row],[RecebimentoID]])</f>
        <v>0.48125000000000001</v>
      </c>
      <c r="M315" s="37">
        <v>36892</v>
      </c>
      <c r="N315" s="5" t="s">
        <v>25</v>
      </c>
      <c r="O315" s="9">
        <v>14</v>
      </c>
      <c r="P315" s="5" t="s">
        <v>26</v>
      </c>
      <c r="Q315" s="2">
        <v>4</v>
      </c>
      <c r="R315" s="5" t="s">
        <v>27</v>
      </c>
      <c r="S315" s="5" t="s">
        <v>32</v>
      </c>
      <c r="T315" s="39">
        <v>450</v>
      </c>
    </row>
    <row r="316" spans="1:20" ht="20.100000000000001" hidden="1" customHeight="1" x14ac:dyDescent="0.25">
      <c r="A316" s="26" t="str">
        <f>CONCATENATE(RIGHT(LEFT(RecebimentoConcreto[[#This Row],[Obra]],5),4),"RCBC",TEXT(RecebimentoConcreto[[#This Row],[Ordem]],"0000"))</f>
        <v>0184RCBC0659</v>
      </c>
      <c r="B316" s="1">
        <v>659</v>
      </c>
      <c r="C316" s="1" t="s">
        <v>21</v>
      </c>
      <c r="D316" s="35">
        <v>44793</v>
      </c>
      <c r="E316" s="1" t="s">
        <v>954</v>
      </c>
      <c r="F316" s="2" t="s">
        <v>955</v>
      </c>
      <c r="G316" s="2">
        <v>5408</v>
      </c>
      <c r="H316" s="2" t="s">
        <v>956</v>
      </c>
      <c r="J316" s="5">
        <v>0.49513888888888885</v>
      </c>
      <c r="K316" s="32">
        <f>_xlfn.MAXIFS(ConsumoConcreto[Fim do Bombeamento],ConsumoConcreto[RecebimentoID],RecebimentoConcreto[[#This Row],[RecebimentoID]])</f>
        <v>0.56597222222222221</v>
      </c>
      <c r="M316" s="37">
        <v>36892</v>
      </c>
      <c r="N316" s="5" t="s">
        <v>25</v>
      </c>
      <c r="O316" s="9">
        <v>15</v>
      </c>
      <c r="P316" s="5" t="s">
        <v>26</v>
      </c>
      <c r="Q316" s="2">
        <v>4</v>
      </c>
      <c r="R316" s="5" t="s">
        <v>27</v>
      </c>
      <c r="S316" s="5" t="s">
        <v>32</v>
      </c>
      <c r="T316" s="39">
        <v>450</v>
      </c>
    </row>
    <row r="317" spans="1:20" ht="20.100000000000001" hidden="1" customHeight="1" x14ac:dyDescent="0.25">
      <c r="A317" s="26" t="str">
        <f>CONCATENATE(RIGHT(LEFT(RecebimentoConcreto[[#This Row],[Obra]],5),4),"RCBC",TEXT(RecebimentoConcreto[[#This Row],[Ordem]],"0000"))</f>
        <v>0184RCBC0660</v>
      </c>
      <c r="B317" s="1">
        <v>660</v>
      </c>
      <c r="C317" s="1" t="s">
        <v>21</v>
      </c>
      <c r="D317" s="35">
        <v>44795</v>
      </c>
      <c r="E317" s="1" t="s">
        <v>957</v>
      </c>
      <c r="F317" s="2" t="s">
        <v>958</v>
      </c>
      <c r="G317" s="2">
        <v>5408</v>
      </c>
      <c r="H317" s="2" t="s">
        <v>959</v>
      </c>
      <c r="J317" s="5">
        <v>0.7270833333333333</v>
      </c>
      <c r="K317" s="32">
        <f>_xlfn.MAXIFS(ConsumoConcreto[Fim do Bombeamento],ConsumoConcreto[RecebimentoID],RecebimentoConcreto[[#This Row],[RecebimentoID]])</f>
        <v>0.75694444444444453</v>
      </c>
      <c r="M317" s="37">
        <v>36892</v>
      </c>
      <c r="N317" s="5" t="s">
        <v>25</v>
      </c>
      <c r="O317" s="9">
        <v>14</v>
      </c>
      <c r="P317" s="5" t="s">
        <v>26</v>
      </c>
      <c r="Q317" s="2">
        <v>4</v>
      </c>
      <c r="R317" s="5" t="s">
        <v>27</v>
      </c>
      <c r="S317" s="5" t="s">
        <v>32</v>
      </c>
      <c r="T317" s="39">
        <v>450</v>
      </c>
    </row>
    <row r="318" spans="1:20" ht="20.100000000000001" hidden="1" customHeight="1" x14ac:dyDescent="0.25">
      <c r="A318" s="26" t="str">
        <f>CONCATENATE(RIGHT(LEFT(RecebimentoConcreto[[#This Row],[Obra]],5),4),"RCBC",TEXT(RecebimentoConcreto[[#This Row],[Ordem]],"0000"))</f>
        <v>0184RCBC0661</v>
      </c>
      <c r="B318" s="1">
        <v>661</v>
      </c>
      <c r="C318" s="1" t="s">
        <v>21</v>
      </c>
      <c r="D318" s="35">
        <v>44795</v>
      </c>
      <c r="E318" s="1" t="s">
        <v>960</v>
      </c>
      <c r="F318" s="2" t="s">
        <v>961</v>
      </c>
      <c r="G318" s="2">
        <v>5408</v>
      </c>
      <c r="H318" s="2" t="s">
        <v>962</v>
      </c>
      <c r="J318" s="5">
        <v>0.7680555555555556</v>
      </c>
      <c r="K318" s="32">
        <f>_xlfn.MAXIFS(ConsumoConcreto[Fim do Bombeamento],ConsumoConcreto[RecebimentoID],RecebimentoConcreto[[#This Row],[RecebimentoID]])</f>
        <v>0.84027777777777779</v>
      </c>
      <c r="M318" s="37">
        <v>36892</v>
      </c>
      <c r="N318" s="5" t="s">
        <v>25</v>
      </c>
      <c r="O318" s="9">
        <v>15</v>
      </c>
      <c r="P318" s="5" t="s">
        <v>26</v>
      </c>
      <c r="Q318" s="2">
        <v>4</v>
      </c>
      <c r="R318" s="5" t="s">
        <v>27</v>
      </c>
      <c r="S318" s="5" t="s">
        <v>32</v>
      </c>
      <c r="T318" s="39">
        <v>450</v>
      </c>
    </row>
    <row r="319" spans="1:20" ht="20.100000000000001" hidden="1" customHeight="1" x14ac:dyDescent="0.25">
      <c r="A319" s="26" t="str">
        <f>CONCATENATE(RIGHT(LEFT(RecebimentoConcreto[[#This Row],[Obra]],5),4),"RCBC",TEXT(RecebimentoConcreto[[#This Row],[Ordem]],"0000"))</f>
        <v>0184RCBC0662</v>
      </c>
      <c r="B319" s="1">
        <v>662</v>
      </c>
      <c r="C319" s="1" t="s">
        <v>21</v>
      </c>
      <c r="D319" s="35">
        <v>44796</v>
      </c>
      <c r="E319" s="1" t="s">
        <v>963</v>
      </c>
      <c r="F319" s="2" t="s">
        <v>964</v>
      </c>
      <c r="G319" s="2">
        <v>5408</v>
      </c>
      <c r="H319" s="2" t="s">
        <v>965</v>
      </c>
      <c r="J319" s="5">
        <v>0.76666666666666661</v>
      </c>
      <c r="K319" s="32">
        <f>_xlfn.MAXIFS(ConsumoConcreto[Fim do Bombeamento],ConsumoConcreto[RecebimentoID],RecebimentoConcreto[[#This Row],[RecebimentoID]])</f>
        <v>0.79652777777777783</v>
      </c>
      <c r="M319" s="37">
        <v>36892</v>
      </c>
      <c r="N319" s="5" t="s">
        <v>25</v>
      </c>
      <c r="O319" s="9">
        <v>14</v>
      </c>
      <c r="P319" s="5" t="s">
        <v>26</v>
      </c>
      <c r="Q319" s="2">
        <v>4</v>
      </c>
      <c r="R319" s="5" t="s">
        <v>27</v>
      </c>
      <c r="S319" s="5" t="s">
        <v>32</v>
      </c>
      <c r="T319" s="39">
        <v>450</v>
      </c>
    </row>
    <row r="320" spans="1:20" ht="20.100000000000001" hidden="1" customHeight="1" x14ac:dyDescent="0.25">
      <c r="A320" s="26" t="str">
        <f>CONCATENATE(RIGHT(LEFT(RecebimentoConcreto[[#This Row],[Obra]],5),4),"RCBC",TEXT(RecebimentoConcreto[[#This Row],[Ordem]],"0000"))</f>
        <v>0184RCBC0663</v>
      </c>
      <c r="B320" s="1">
        <v>663</v>
      </c>
      <c r="C320" s="1" t="s">
        <v>21</v>
      </c>
      <c r="D320" s="35">
        <v>44796</v>
      </c>
      <c r="E320" s="1" t="s">
        <v>951</v>
      </c>
      <c r="F320" s="2" t="s">
        <v>966</v>
      </c>
      <c r="G320" s="2">
        <v>5408</v>
      </c>
      <c r="H320" s="2" t="s">
        <v>967</v>
      </c>
      <c r="J320" s="5">
        <v>0.80972222222222223</v>
      </c>
      <c r="K320" s="32">
        <f>_xlfn.MAXIFS(ConsumoConcreto[Fim do Bombeamento],ConsumoConcreto[RecebimentoID],RecebimentoConcreto[[#This Row],[RecebimentoID]])</f>
        <v>0.86111111111111116</v>
      </c>
      <c r="M320" s="37">
        <v>36892</v>
      </c>
      <c r="N320" s="5" t="s">
        <v>25</v>
      </c>
      <c r="O320" s="9">
        <v>14.5</v>
      </c>
      <c r="P320" s="5" t="s">
        <v>26</v>
      </c>
      <c r="Q320" s="2">
        <v>4</v>
      </c>
      <c r="R320" s="5" t="s">
        <v>27</v>
      </c>
      <c r="S320" s="5" t="s">
        <v>32</v>
      </c>
      <c r="T320" s="39">
        <v>450</v>
      </c>
    </row>
    <row r="321" spans="1:20" ht="20.100000000000001" hidden="1" customHeight="1" x14ac:dyDescent="0.25">
      <c r="A321" s="26" t="str">
        <f>CONCATENATE(RIGHT(LEFT(RecebimentoConcreto[[#This Row],[Obra]],5),4),"RCBC",TEXT(RecebimentoConcreto[[#This Row],[Ordem]],"0000"))</f>
        <v>0184RCBC0664</v>
      </c>
      <c r="B321" s="1">
        <v>664</v>
      </c>
      <c r="C321" s="1" t="s">
        <v>21</v>
      </c>
      <c r="D321" s="35">
        <v>44797</v>
      </c>
      <c r="E321" s="1" t="s">
        <v>375</v>
      </c>
      <c r="F321" s="2" t="s">
        <v>968</v>
      </c>
      <c r="G321" s="2">
        <v>5408</v>
      </c>
      <c r="H321" s="2" t="s">
        <v>969</v>
      </c>
      <c r="J321" s="5">
        <v>0.78472222222222221</v>
      </c>
      <c r="K321" s="32">
        <f>_xlfn.MAXIFS(ConsumoConcreto[Fim do Bombeamento],ConsumoConcreto[RecebimentoID],RecebimentoConcreto[[#This Row],[RecebimentoID]])</f>
        <v>0.8354166666666667</v>
      </c>
      <c r="M321" s="37">
        <v>36892</v>
      </c>
      <c r="N321" s="5" t="s">
        <v>25</v>
      </c>
      <c r="O321" s="9">
        <v>14.5</v>
      </c>
      <c r="P321" s="5" t="s">
        <v>26</v>
      </c>
      <c r="Q321" s="2">
        <v>4</v>
      </c>
      <c r="R321" s="5" t="s">
        <v>27</v>
      </c>
      <c r="S321" s="5" t="s">
        <v>32</v>
      </c>
      <c r="T321" s="39">
        <v>450</v>
      </c>
    </row>
    <row r="322" spans="1:20" ht="20.100000000000001" hidden="1" customHeight="1" x14ac:dyDescent="0.25">
      <c r="A322" s="26" t="str">
        <f>CONCATENATE(RIGHT(LEFT(RecebimentoConcreto[[#This Row],[Obra]],5),4),"RCBC",TEXT(RecebimentoConcreto[[#This Row],[Ordem]],"0000"))</f>
        <v>0184RCBC0665</v>
      </c>
      <c r="B322" s="1">
        <v>665</v>
      </c>
      <c r="C322" s="1" t="s">
        <v>21</v>
      </c>
      <c r="D322" s="35">
        <v>44797</v>
      </c>
      <c r="E322" s="1" t="s">
        <v>957</v>
      </c>
      <c r="F322" s="2" t="s">
        <v>970</v>
      </c>
      <c r="G322" s="2">
        <v>5408</v>
      </c>
      <c r="H322" s="2" t="s">
        <v>971</v>
      </c>
      <c r="J322" s="5">
        <v>0.84305555555555556</v>
      </c>
      <c r="K322" s="32">
        <f>_xlfn.MAXIFS(ConsumoConcreto[Fim do Bombeamento],ConsumoConcreto[RecebimentoID],RecebimentoConcreto[[#This Row],[RecebimentoID]])</f>
        <v>0.87638888888888899</v>
      </c>
      <c r="M322" s="37">
        <v>36892</v>
      </c>
      <c r="N322" s="5" t="s">
        <v>25</v>
      </c>
      <c r="O322" s="9">
        <v>14</v>
      </c>
      <c r="P322" s="5" t="s">
        <v>26</v>
      </c>
      <c r="Q322" s="2">
        <v>4</v>
      </c>
      <c r="R322" s="5" t="s">
        <v>27</v>
      </c>
      <c r="S322" s="5" t="s">
        <v>32</v>
      </c>
      <c r="T322" s="39">
        <v>450</v>
      </c>
    </row>
    <row r="323" spans="1:20" ht="20.100000000000001" hidden="1" customHeight="1" x14ac:dyDescent="0.25">
      <c r="A323" s="26" t="str">
        <f>CONCATENATE(RIGHT(LEFT(RecebimentoConcreto[[#This Row],[Obra]],5),4),"RCBC",TEXT(RecebimentoConcreto[[#This Row],[Ordem]],"0000"))</f>
        <v>0184RCBC0666</v>
      </c>
      <c r="B323" s="1">
        <v>666</v>
      </c>
      <c r="C323" s="1" t="s">
        <v>21</v>
      </c>
      <c r="D323" s="35">
        <v>44799</v>
      </c>
      <c r="E323" s="1" t="s">
        <v>972</v>
      </c>
      <c r="F323" s="2" t="s">
        <v>973</v>
      </c>
      <c r="G323" s="2">
        <v>5408</v>
      </c>
      <c r="H323" s="2" t="s">
        <v>974</v>
      </c>
      <c r="J323" s="5">
        <v>0.8125</v>
      </c>
      <c r="K323" s="32">
        <f>_xlfn.MAXIFS(ConsumoConcreto[Fim do Bombeamento],ConsumoConcreto[RecebimentoID],RecebimentoConcreto[[#This Row],[RecebimentoID]])</f>
        <v>0.87986111111111109</v>
      </c>
      <c r="M323" s="37">
        <v>36892</v>
      </c>
      <c r="N323" s="5" t="s">
        <v>25</v>
      </c>
      <c r="O323" s="9">
        <v>18</v>
      </c>
      <c r="P323" s="5" t="s">
        <v>26</v>
      </c>
      <c r="Q323" s="2">
        <v>4</v>
      </c>
      <c r="R323" s="5" t="s">
        <v>27</v>
      </c>
      <c r="S323" s="5" t="s">
        <v>32</v>
      </c>
      <c r="T323" s="39">
        <v>450</v>
      </c>
    </row>
    <row r="324" spans="1:20" ht="20.100000000000001" hidden="1" customHeight="1" x14ac:dyDescent="0.25">
      <c r="A324" s="26" t="str">
        <f>CONCATENATE(RIGHT(LEFT(RecebimentoConcreto[[#This Row],[Obra]],5),4),"RCBC",TEXT(RecebimentoConcreto[[#This Row],[Ordem]],"0000"))</f>
        <v>0184RCBC0667</v>
      </c>
      <c r="B324" s="1">
        <v>667</v>
      </c>
      <c r="C324" s="1" t="s">
        <v>21</v>
      </c>
      <c r="D324" s="35">
        <v>44799</v>
      </c>
      <c r="E324" s="1" t="s">
        <v>975</v>
      </c>
      <c r="F324" s="2" t="s">
        <v>976</v>
      </c>
      <c r="G324" s="2">
        <v>5408</v>
      </c>
      <c r="H324" s="2" t="s">
        <v>977</v>
      </c>
      <c r="J324" s="5">
        <v>0.72499999999999998</v>
      </c>
      <c r="K324" s="32">
        <f>_xlfn.MAXIFS(ConsumoConcreto[Fim do Bombeamento],ConsumoConcreto[RecebimentoID],RecebimentoConcreto[[#This Row],[RecebimentoID]])</f>
        <v>0.75347222222222221</v>
      </c>
      <c r="M324" s="37">
        <v>36892</v>
      </c>
      <c r="N324" s="5" t="s">
        <v>25</v>
      </c>
      <c r="O324" s="9">
        <v>14</v>
      </c>
      <c r="P324" s="5" t="s">
        <v>26</v>
      </c>
      <c r="Q324" s="2">
        <v>4</v>
      </c>
      <c r="R324" s="5" t="s">
        <v>27</v>
      </c>
      <c r="S324" s="5" t="s">
        <v>32</v>
      </c>
      <c r="T324" s="39">
        <v>450</v>
      </c>
    </row>
    <row r="325" spans="1:20" ht="20.100000000000001" hidden="1" customHeight="1" x14ac:dyDescent="0.25">
      <c r="A325" s="26" t="str">
        <f>CONCATENATE(RIGHT(LEFT(RecebimentoConcreto[[#This Row],[Obra]],5),4),"RCBC",TEXT(RecebimentoConcreto[[#This Row],[Ordem]],"0000"))</f>
        <v>0184RCBC0668</v>
      </c>
      <c r="B325" s="1">
        <v>668</v>
      </c>
      <c r="C325" s="1" t="s">
        <v>21</v>
      </c>
      <c r="D325" s="35">
        <v>44802</v>
      </c>
      <c r="E325" s="1" t="s">
        <v>113</v>
      </c>
      <c r="F325" s="2" t="s">
        <v>978</v>
      </c>
      <c r="G325" s="2">
        <v>5408</v>
      </c>
      <c r="H325" s="2" t="s">
        <v>979</v>
      </c>
      <c r="J325" s="5">
        <v>0.84722222222222221</v>
      </c>
      <c r="K325" s="32">
        <f>_xlfn.MAXIFS(ConsumoConcreto[Fim do Bombeamento],ConsumoConcreto[RecebimentoID],RecebimentoConcreto[[#This Row],[RecebimentoID]])</f>
        <v>0.87361111111111101</v>
      </c>
      <c r="M325" s="37">
        <v>36892</v>
      </c>
      <c r="N325" s="5" t="s">
        <v>25</v>
      </c>
      <c r="O325" s="9">
        <v>14</v>
      </c>
      <c r="P325" s="5" t="s">
        <v>26</v>
      </c>
      <c r="Q325" s="2">
        <v>4</v>
      </c>
      <c r="R325" s="5" t="s">
        <v>27</v>
      </c>
      <c r="S325" s="5" t="s">
        <v>32</v>
      </c>
      <c r="T325" s="39">
        <v>450</v>
      </c>
    </row>
    <row r="326" spans="1:20" ht="20.100000000000001" hidden="1" customHeight="1" x14ac:dyDescent="0.25">
      <c r="A326" s="26" t="str">
        <f>CONCATENATE(RIGHT(LEFT(RecebimentoConcreto[[#This Row],[Obra]],5),4),"RCBC",TEXT(RecebimentoConcreto[[#This Row],[Ordem]],"0000"))</f>
        <v>0184RCBC0684</v>
      </c>
      <c r="B326" s="1">
        <v>684</v>
      </c>
      <c r="C326" s="1" t="s">
        <v>21</v>
      </c>
      <c r="D326" s="35">
        <v>44714</v>
      </c>
      <c r="E326" s="1" t="s">
        <v>230</v>
      </c>
      <c r="F326" s="2" t="s">
        <v>980</v>
      </c>
      <c r="G326" s="2">
        <v>5408</v>
      </c>
      <c r="H326" s="2" t="s">
        <v>981</v>
      </c>
      <c r="J326" s="5">
        <v>0.63541666666666663</v>
      </c>
      <c r="K326" s="32">
        <f>_xlfn.MAXIFS(ConsumoConcreto[Fim do Bombeamento],ConsumoConcreto[RecebimentoID],RecebimentoConcreto[[#This Row],[RecebimentoID]])</f>
        <v>0.67361111111111116</v>
      </c>
      <c r="M326" s="37">
        <v>36892</v>
      </c>
      <c r="N326" s="5" t="s">
        <v>25</v>
      </c>
      <c r="O326" s="9">
        <v>15</v>
      </c>
      <c r="P326" s="5" t="s">
        <v>26</v>
      </c>
      <c r="Q326" s="2">
        <v>3</v>
      </c>
      <c r="R326" s="5" t="s">
        <v>27</v>
      </c>
      <c r="S326" s="5" t="s">
        <v>32</v>
      </c>
      <c r="T326" s="39">
        <v>450</v>
      </c>
    </row>
    <row r="327" spans="1:20" ht="20.100000000000001" hidden="1" customHeight="1" x14ac:dyDescent="0.25">
      <c r="A327" s="26" t="str">
        <f>CONCATENATE(RIGHT(LEFT(RecebimentoConcreto[[#This Row],[Obra]],5),4),"RCBC",TEXT(RecebimentoConcreto[[#This Row],[Ordem]],"0000"))</f>
        <v>0184RCBC0685</v>
      </c>
      <c r="B327" s="1">
        <v>685</v>
      </c>
      <c r="C327" s="1" t="s">
        <v>21</v>
      </c>
      <c r="D327" s="35">
        <v>44715</v>
      </c>
      <c r="E327" s="1" t="s">
        <v>982</v>
      </c>
      <c r="F327" s="2" t="s">
        <v>983</v>
      </c>
      <c r="G327" s="2">
        <v>5408</v>
      </c>
      <c r="H327" s="2" t="s">
        <v>984</v>
      </c>
      <c r="J327" s="5">
        <v>0.84861111111111109</v>
      </c>
      <c r="K327" s="32">
        <f>_xlfn.MAXIFS(ConsumoConcreto[Fim do Bombeamento],ConsumoConcreto[RecebimentoID],RecebimentoConcreto[[#This Row],[RecebimentoID]])</f>
        <v>0.88194444444444453</v>
      </c>
      <c r="M327" s="37">
        <v>36892</v>
      </c>
      <c r="N327" s="5" t="s">
        <v>25</v>
      </c>
      <c r="O327" s="9">
        <v>14.5</v>
      </c>
      <c r="P327" s="5" t="s">
        <v>26</v>
      </c>
      <c r="Q327" s="2">
        <v>3</v>
      </c>
      <c r="R327" s="5" t="s">
        <v>27</v>
      </c>
      <c r="S327" s="5" t="s">
        <v>32</v>
      </c>
      <c r="T327" s="39">
        <v>450</v>
      </c>
    </row>
    <row r="328" spans="1:20" ht="20.100000000000001" hidden="1" customHeight="1" x14ac:dyDescent="0.25">
      <c r="A328" s="26" t="str">
        <f>CONCATENATE(RIGHT(LEFT(RecebimentoConcreto[[#This Row],[Obra]],5),4),"RCBC",TEXT(RecebimentoConcreto[[#This Row],[Ordem]],"0000"))</f>
        <v>0184RCBC0686</v>
      </c>
      <c r="B328" s="1">
        <v>686</v>
      </c>
      <c r="C328" s="1" t="s">
        <v>21</v>
      </c>
      <c r="D328" s="35">
        <v>44715</v>
      </c>
      <c r="E328" s="1" t="s">
        <v>923</v>
      </c>
      <c r="F328" s="2" t="s">
        <v>985</v>
      </c>
      <c r="G328" s="2">
        <v>5408</v>
      </c>
      <c r="H328" s="2" t="s">
        <v>986</v>
      </c>
      <c r="J328" s="5">
        <v>0.78472222222222221</v>
      </c>
      <c r="K328" s="32">
        <f>_xlfn.MAXIFS(ConsumoConcreto[Fim do Bombeamento],ConsumoConcreto[RecebimentoID],RecebimentoConcreto[[#This Row],[RecebimentoID]])</f>
        <v>0.82638888888888884</v>
      </c>
      <c r="M328" s="37">
        <v>36892</v>
      </c>
      <c r="N328" s="5" t="s">
        <v>25</v>
      </c>
      <c r="O328" s="9">
        <v>15</v>
      </c>
      <c r="P328" s="5" t="s">
        <v>26</v>
      </c>
      <c r="Q328" s="2">
        <v>3</v>
      </c>
      <c r="R328" s="5" t="s">
        <v>27</v>
      </c>
      <c r="S328" s="5" t="s">
        <v>32</v>
      </c>
      <c r="T328" s="39">
        <v>450</v>
      </c>
    </row>
    <row r="329" spans="1:20" ht="20.100000000000001" hidden="1" customHeight="1" x14ac:dyDescent="0.25">
      <c r="A329" s="26" t="str">
        <f>CONCATENATE(RIGHT(LEFT(RecebimentoConcreto[[#This Row],[Obra]],5),4),"RCBC",TEXT(RecebimentoConcreto[[#This Row],[Ordem]],"0000"))</f>
        <v>0184RCBC0687</v>
      </c>
      <c r="B329" s="1">
        <v>687</v>
      </c>
      <c r="C329" s="1" t="s">
        <v>21</v>
      </c>
      <c r="D329" s="35">
        <v>44718</v>
      </c>
      <c r="E329" s="1" t="s">
        <v>987</v>
      </c>
      <c r="F329" s="2" t="s">
        <v>988</v>
      </c>
      <c r="G329" s="2">
        <v>5408</v>
      </c>
      <c r="H329" s="2" t="s">
        <v>989</v>
      </c>
      <c r="J329" s="5">
        <v>0.57152777777777775</v>
      </c>
      <c r="K329" s="32">
        <f>_xlfn.MAXIFS(ConsumoConcreto[Fim do Bombeamento],ConsumoConcreto[RecebimentoID],RecebimentoConcreto[[#This Row],[RecebimentoID]])</f>
        <v>0.73611111111111116</v>
      </c>
      <c r="M329" s="37">
        <v>36892</v>
      </c>
      <c r="N329" s="5" t="s">
        <v>25</v>
      </c>
      <c r="O329" s="9">
        <v>30</v>
      </c>
      <c r="P329" s="5" t="s">
        <v>26</v>
      </c>
      <c r="Q329" s="2">
        <v>3</v>
      </c>
      <c r="R329" s="5" t="s">
        <v>27</v>
      </c>
      <c r="S329" s="5" t="s">
        <v>32</v>
      </c>
      <c r="T329" s="39">
        <v>450</v>
      </c>
    </row>
    <row r="330" spans="1:20" ht="20.100000000000001" hidden="1" customHeight="1" x14ac:dyDescent="0.25">
      <c r="A330" s="26" t="str">
        <f>CONCATENATE(RIGHT(LEFT(RecebimentoConcreto[[#This Row],[Obra]],5),4),"RCBC",TEXT(RecebimentoConcreto[[#This Row],[Ordem]],"0000"))</f>
        <v>0184RCBC0688</v>
      </c>
      <c r="B330" s="1">
        <v>688</v>
      </c>
      <c r="C330" s="1" t="s">
        <v>21</v>
      </c>
      <c r="D330" s="35">
        <v>44719</v>
      </c>
      <c r="E330" s="1" t="s">
        <v>287</v>
      </c>
      <c r="F330" s="2" t="s">
        <v>990</v>
      </c>
      <c r="G330" s="2">
        <v>5408</v>
      </c>
      <c r="H330" s="2" t="s">
        <v>991</v>
      </c>
      <c r="J330" s="5">
        <v>0.77430555555555547</v>
      </c>
      <c r="K330" s="32">
        <f>_xlfn.MAXIFS(ConsumoConcreto[Fim do Bombeamento],ConsumoConcreto[RecebimentoID],RecebimentoConcreto[[#This Row],[RecebimentoID]])</f>
        <v>0.875</v>
      </c>
      <c r="M330" s="37">
        <v>36892</v>
      </c>
      <c r="N330" s="5" t="s">
        <v>25</v>
      </c>
      <c r="O330" s="9">
        <v>15</v>
      </c>
      <c r="P330" s="5" t="s">
        <v>26</v>
      </c>
      <c r="Q330" s="2">
        <v>3</v>
      </c>
      <c r="R330" s="5" t="s">
        <v>27</v>
      </c>
      <c r="S330" s="5" t="s">
        <v>32</v>
      </c>
      <c r="T330" s="39">
        <v>450</v>
      </c>
    </row>
    <row r="331" spans="1:20" ht="20.100000000000001" hidden="1" customHeight="1" x14ac:dyDescent="0.25">
      <c r="A331" s="26" t="str">
        <f>CONCATENATE(RIGHT(LEFT(RecebimentoConcreto[[#This Row],[Obra]],5),4),"RCBC",TEXT(RecebimentoConcreto[[#This Row],[Ordem]],"0000"))</f>
        <v>0184RCBC0689</v>
      </c>
      <c r="B331" s="1">
        <v>689</v>
      </c>
      <c r="C331" s="1" t="s">
        <v>21</v>
      </c>
      <c r="D331" s="35">
        <v>44720</v>
      </c>
      <c r="E331" s="1" t="s">
        <v>250</v>
      </c>
      <c r="F331" s="2" t="s">
        <v>992</v>
      </c>
      <c r="G331" s="2">
        <v>5408</v>
      </c>
      <c r="H331" s="2" t="s">
        <v>993</v>
      </c>
      <c r="J331" s="5">
        <v>0.67013888888888884</v>
      </c>
      <c r="K331" s="32">
        <f>_xlfn.MAXIFS(ConsumoConcreto[Fim do Bombeamento],ConsumoConcreto[RecebimentoID],RecebimentoConcreto[[#This Row],[RecebimentoID]])</f>
        <v>0.71875</v>
      </c>
      <c r="M331" s="37">
        <v>36892</v>
      </c>
      <c r="N331" s="5" t="s">
        <v>25</v>
      </c>
      <c r="O331" s="9">
        <v>15</v>
      </c>
      <c r="P331" s="5" t="s">
        <v>26</v>
      </c>
      <c r="Q331" s="2">
        <v>3</v>
      </c>
      <c r="R331" s="5" t="s">
        <v>27</v>
      </c>
      <c r="S331" s="5" t="s">
        <v>32</v>
      </c>
      <c r="T331" s="39">
        <v>450</v>
      </c>
    </row>
    <row r="332" spans="1:20" ht="20.100000000000001" hidden="1" customHeight="1" x14ac:dyDescent="0.25">
      <c r="A332" s="26" t="str">
        <f>CONCATENATE(RIGHT(LEFT(RecebimentoConcreto[[#This Row],[Obra]],5),4),"RCBC",TEXT(RecebimentoConcreto[[#This Row],[Ordem]],"0000"))</f>
        <v>0184RCBC0690</v>
      </c>
      <c r="B332" s="1">
        <v>690</v>
      </c>
      <c r="C332" s="1" t="s">
        <v>21</v>
      </c>
      <c r="D332" s="35">
        <v>44720</v>
      </c>
      <c r="E332" s="1" t="s">
        <v>994</v>
      </c>
      <c r="F332" s="2" t="s">
        <v>995</v>
      </c>
      <c r="G332" s="2">
        <v>5408</v>
      </c>
      <c r="H332" s="2" t="s">
        <v>996</v>
      </c>
      <c r="J332" s="5">
        <v>0.72916666666666663</v>
      </c>
      <c r="K332" s="32">
        <f>_xlfn.MAXIFS(ConsumoConcreto[Fim do Bombeamento],ConsumoConcreto[RecebimentoID],RecebimentoConcreto[[#This Row],[RecebimentoID]])</f>
        <v>0.77083333333333337</v>
      </c>
      <c r="M332" s="37">
        <v>36892</v>
      </c>
      <c r="N332" s="5" t="s">
        <v>25</v>
      </c>
      <c r="O332" s="9">
        <v>14.5</v>
      </c>
      <c r="P332" s="5" t="s">
        <v>26</v>
      </c>
      <c r="Q332" s="2">
        <v>3</v>
      </c>
      <c r="R332" s="5" t="s">
        <v>27</v>
      </c>
      <c r="S332" s="5" t="s">
        <v>32</v>
      </c>
      <c r="T332" s="39">
        <v>450</v>
      </c>
    </row>
    <row r="333" spans="1:20" ht="20.100000000000001" hidden="1" customHeight="1" x14ac:dyDescent="0.25">
      <c r="A333" s="26" t="str">
        <f>CONCATENATE(RIGHT(LEFT(RecebimentoConcreto[[#This Row],[Obra]],5),4),"RCBC",TEXT(RecebimentoConcreto[[#This Row],[Ordem]],"0000"))</f>
        <v>0184RCBC0691</v>
      </c>
      <c r="B333" s="1">
        <v>691</v>
      </c>
      <c r="C333" s="1" t="s">
        <v>21</v>
      </c>
      <c r="D333" s="35">
        <v>44721</v>
      </c>
      <c r="E333" s="1" t="s">
        <v>994</v>
      </c>
      <c r="F333" s="2" t="s">
        <v>997</v>
      </c>
      <c r="G333" s="2">
        <v>5408</v>
      </c>
      <c r="H333" s="2" t="s">
        <v>998</v>
      </c>
      <c r="J333" s="5">
        <v>0.82430555555555562</v>
      </c>
      <c r="K333" s="32">
        <f>_xlfn.MAXIFS(ConsumoConcreto[Fim do Bombeamento],ConsumoConcreto[RecebimentoID],RecebimentoConcreto[[#This Row],[RecebimentoID]])</f>
        <v>0.86597222222222225</v>
      </c>
      <c r="M333" s="37">
        <v>36892</v>
      </c>
      <c r="N333" s="5" t="s">
        <v>25</v>
      </c>
      <c r="O333" s="9">
        <v>15.5</v>
      </c>
      <c r="P333" s="5" t="s">
        <v>26</v>
      </c>
      <c r="Q333" s="2">
        <v>3</v>
      </c>
      <c r="R333" s="5" t="s">
        <v>27</v>
      </c>
      <c r="S333" s="5" t="s">
        <v>32</v>
      </c>
      <c r="T333" s="39">
        <v>450</v>
      </c>
    </row>
    <row r="334" spans="1:20" ht="20.100000000000001" hidden="1" customHeight="1" x14ac:dyDescent="0.25">
      <c r="A334" s="26" t="str">
        <f>CONCATENATE(RIGHT(LEFT(RecebimentoConcreto[[#This Row],[Obra]],5),4),"RCBC",TEXT(RecebimentoConcreto[[#This Row],[Ordem]],"0000"))</f>
        <v>0184RCBC0692</v>
      </c>
      <c r="B334" s="1">
        <v>692</v>
      </c>
      <c r="C334" s="1" t="s">
        <v>21</v>
      </c>
      <c r="D334" s="35">
        <v>44721</v>
      </c>
      <c r="E334" s="1" t="s">
        <v>999</v>
      </c>
      <c r="F334" s="2" t="s">
        <v>1000</v>
      </c>
      <c r="G334" s="2">
        <v>5408</v>
      </c>
      <c r="H334" s="2" t="s">
        <v>1001</v>
      </c>
      <c r="J334" s="5">
        <v>0.74236111111111114</v>
      </c>
      <c r="K334" s="32">
        <f>_xlfn.MAXIFS(ConsumoConcreto[Fim do Bombeamento],ConsumoConcreto[RecebimentoID],RecebimentoConcreto[[#This Row],[RecebimentoID]])</f>
        <v>0.78402777777777777</v>
      </c>
      <c r="M334" s="37">
        <v>36892</v>
      </c>
      <c r="N334" s="5" t="s">
        <v>25</v>
      </c>
      <c r="O334" s="9">
        <v>15</v>
      </c>
      <c r="P334" s="5" t="s">
        <v>26</v>
      </c>
      <c r="Q334" s="2">
        <v>3</v>
      </c>
      <c r="R334" s="5" t="s">
        <v>27</v>
      </c>
      <c r="S334" s="5" t="s">
        <v>32</v>
      </c>
      <c r="T334" s="39">
        <v>450</v>
      </c>
    </row>
    <row r="335" spans="1:20" ht="20.100000000000001" hidden="1" customHeight="1" x14ac:dyDescent="0.25">
      <c r="A335" s="26" t="str">
        <f>CONCATENATE(RIGHT(LEFT(RecebimentoConcreto[[#This Row],[Obra]],5),4),"RCBC",TEXT(RecebimentoConcreto[[#This Row],[Ordem]],"0000"))</f>
        <v>0184RCBC0693</v>
      </c>
      <c r="B335" s="1">
        <v>693</v>
      </c>
      <c r="C335" s="1" t="s">
        <v>21</v>
      </c>
      <c r="D335" s="35">
        <v>44722</v>
      </c>
      <c r="E335" s="1" t="s">
        <v>198</v>
      </c>
      <c r="F335" s="2" t="s">
        <v>1002</v>
      </c>
      <c r="G335" s="2">
        <v>5408</v>
      </c>
      <c r="H335" s="2" t="s">
        <v>1003</v>
      </c>
      <c r="J335" s="5">
        <v>0.84236111111111101</v>
      </c>
      <c r="K335" s="32">
        <f>_xlfn.MAXIFS(ConsumoConcreto[Fim do Bombeamento],ConsumoConcreto[RecebimentoID],RecebimentoConcreto[[#This Row],[RecebimentoID]])</f>
        <v>0.88402777777777775</v>
      </c>
      <c r="M335" s="37">
        <v>36892</v>
      </c>
      <c r="N335" s="5" t="s">
        <v>25</v>
      </c>
      <c r="O335" s="9">
        <v>14.5</v>
      </c>
      <c r="P335" s="5" t="s">
        <v>26</v>
      </c>
      <c r="Q335" s="2">
        <v>3</v>
      </c>
      <c r="R335" s="5" t="s">
        <v>27</v>
      </c>
      <c r="S335" s="5" t="s">
        <v>32</v>
      </c>
      <c r="T335" s="39">
        <v>450</v>
      </c>
    </row>
    <row r="336" spans="1:20" ht="20.100000000000001" hidden="1" customHeight="1" x14ac:dyDescent="0.25">
      <c r="A336" s="26" t="str">
        <f>CONCATENATE(RIGHT(LEFT(RecebimentoConcreto[[#This Row],[Obra]],5),4),"RCBC",TEXT(RecebimentoConcreto[[#This Row],[Ordem]],"0000"))</f>
        <v>0184RCBC0694</v>
      </c>
      <c r="B336" s="1">
        <v>694</v>
      </c>
      <c r="C336" s="1" t="s">
        <v>21</v>
      </c>
      <c r="D336" s="35">
        <v>44722</v>
      </c>
      <c r="E336" s="1" t="s">
        <v>920</v>
      </c>
      <c r="F336" s="2" t="s">
        <v>1004</v>
      </c>
      <c r="G336" s="2">
        <v>5408</v>
      </c>
      <c r="H336" s="2" t="s">
        <v>1005</v>
      </c>
      <c r="J336" s="5">
        <v>0.77847222222222223</v>
      </c>
      <c r="K336" s="32">
        <f>_xlfn.MAXIFS(ConsumoConcreto[Fim do Bombeamento],ConsumoConcreto[RecebimentoID],RecebimentoConcreto[[#This Row],[RecebimentoID]])</f>
        <v>0.81944444444444453</v>
      </c>
      <c r="M336" s="37">
        <v>36892</v>
      </c>
      <c r="N336" s="5" t="s">
        <v>25</v>
      </c>
      <c r="O336" s="9">
        <v>15</v>
      </c>
      <c r="P336" s="5" t="s">
        <v>26</v>
      </c>
      <c r="Q336" s="2">
        <v>3</v>
      </c>
      <c r="R336" s="5" t="s">
        <v>27</v>
      </c>
      <c r="S336" s="5" t="s">
        <v>32</v>
      </c>
      <c r="T336" s="39">
        <v>450</v>
      </c>
    </row>
    <row r="337" spans="1:20" ht="20.100000000000001" hidden="1" customHeight="1" x14ac:dyDescent="0.25">
      <c r="A337" s="26" t="str">
        <f>CONCATENATE(RIGHT(LEFT(RecebimentoConcreto[[#This Row],[Obra]],5),4),"RCBC",TEXT(RecebimentoConcreto[[#This Row],[Ordem]],"0000"))</f>
        <v>0184RCBC0695</v>
      </c>
      <c r="B337" s="1">
        <v>695</v>
      </c>
      <c r="C337" s="1" t="s">
        <v>21</v>
      </c>
      <c r="D337" s="35">
        <v>44723</v>
      </c>
      <c r="E337" s="1" t="s">
        <v>290</v>
      </c>
      <c r="F337" s="2" t="s">
        <v>1006</v>
      </c>
      <c r="G337" s="2">
        <v>5408</v>
      </c>
      <c r="H337" s="2" t="s">
        <v>1007</v>
      </c>
      <c r="J337" s="5">
        <v>0.67986111111111114</v>
      </c>
      <c r="K337" s="32">
        <f>_xlfn.MAXIFS(ConsumoConcreto[Fim do Bombeamento],ConsumoConcreto[RecebimentoID],RecebimentoConcreto[[#This Row],[RecebimentoID]])</f>
        <v>0.70833333333333337</v>
      </c>
      <c r="M337" s="37">
        <v>36892</v>
      </c>
      <c r="N337" s="5" t="s">
        <v>25</v>
      </c>
      <c r="O337" s="9">
        <v>14.5</v>
      </c>
      <c r="P337" s="5" t="s">
        <v>26</v>
      </c>
      <c r="Q337" s="2">
        <v>3</v>
      </c>
      <c r="R337" s="5" t="s">
        <v>27</v>
      </c>
      <c r="S337" s="5" t="s">
        <v>32</v>
      </c>
      <c r="T337" s="39">
        <v>450</v>
      </c>
    </row>
    <row r="338" spans="1:20" ht="20.100000000000001" hidden="1" customHeight="1" x14ac:dyDescent="0.25">
      <c r="A338" s="26" t="str">
        <f>CONCATENATE(RIGHT(LEFT(RecebimentoConcreto[[#This Row],[Obra]],5),4),"RCBC",TEXT(RecebimentoConcreto[[#This Row],[Ordem]],"0000"))</f>
        <v>0184RCBC0696</v>
      </c>
      <c r="B338" s="1">
        <v>696</v>
      </c>
      <c r="C338" s="1" t="s">
        <v>21</v>
      </c>
      <c r="D338" s="35">
        <v>44723</v>
      </c>
      <c r="E338" s="1" t="s">
        <v>1008</v>
      </c>
      <c r="F338" s="2" t="s">
        <v>1009</v>
      </c>
      <c r="G338" s="2">
        <v>5408</v>
      </c>
      <c r="H338" s="2" t="s">
        <v>1010</v>
      </c>
      <c r="J338" s="5">
        <v>0.62847222222222221</v>
      </c>
      <c r="K338" s="32">
        <f>_xlfn.MAXIFS(ConsumoConcreto[Fim do Bombeamento],ConsumoConcreto[RecebimentoID],RecebimentoConcreto[[#This Row],[RecebimentoID]])</f>
        <v>0.66666666666666663</v>
      </c>
      <c r="M338" s="37">
        <v>36892</v>
      </c>
      <c r="N338" s="5" t="s">
        <v>25</v>
      </c>
      <c r="O338" s="9">
        <v>15</v>
      </c>
      <c r="P338" s="5" t="s">
        <v>26</v>
      </c>
      <c r="Q338" s="2">
        <v>3</v>
      </c>
      <c r="R338" s="5" t="s">
        <v>27</v>
      </c>
      <c r="S338" s="5" t="s">
        <v>32</v>
      </c>
      <c r="T338" s="39">
        <v>450</v>
      </c>
    </row>
    <row r="339" spans="1:20" ht="20.100000000000001" hidden="1" customHeight="1" x14ac:dyDescent="0.25">
      <c r="A339" s="26" t="str">
        <f>CONCATENATE(RIGHT(LEFT(RecebimentoConcreto[[#This Row],[Obra]],5),4),"RCBC",TEXT(RecebimentoConcreto[[#This Row],[Ordem]],"0000"))</f>
        <v>0184RCBC0697</v>
      </c>
      <c r="B339" s="1">
        <v>697</v>
      </c>
      <c r="C339" s="1" t="s">
        <v>21</v>
      </c>
      <c r="D339" s="35">
        <v>44725</v>
      </c>
      <c r="E339" s="1" t="s">
        <v>929</v>
      </c>
      <c r="F339" s="2" t="s">
        <v>1011</v>
      </c>
      <c r="G339" s="2">
        <v>5408</v>
      </c>
      <c r="H339" s="2" t="s">
        <v>1012</v>
      </c>
      <c r="J339" s="5">
        <v>0.73541666666666661</v>
      </c>
      <c r="K339" s="32">
        <f>_xlfn.MAXIFS(ConsumoConcreto[Fim do Bombeamento],ConsumoConcreto[RecebimentoID],RecebimentoConcreto[[#This Row],[RecebimentoID]])</f>
        <v>0.77083333333333337</v>
      </c>
      <c r="M339" s="37">
        <v>36892</v>
      </c>
      <c r="N339" s="5" t="s">
        <v>25</v>
      </c>
      <c r="O339" s="9">
        <v>15</v>
      </c>
      <c r="P339" s="5" t="s">
        <v>26</v>
      </c>
      <c r="Q339" s="2">
        <v>3</v>
      </c>
      <c r="R339" s="5" t="s">
        <v>27</v>
      </c>
      <c r="S339" s="5" t="s">
        <v>32</v>
      </c>
      <c r="T339" s="39">
        <v>450</v>
      </c>
    </row>
    <row r="340" spans="1:20" ht="20.100000000000001" hidden="1" customHeight="1" x14ac:dyDescent="0.25">
      <c r="A340" s="26" t="str">
        <f>CONCATENATE(RIGHT(LEFT(RecebimentoConcreto[[#This Row],[Obra]],5),4),"RCBC",TEXT(RecebimentoConcreto[[#This Row],[Ordem]],"0000"))</f>
        <v>0184RCBC0717</v>
      </c>
      <c r="B340" s="1">
        <v>717</v>
      </c>
      <c r="C340" s="1" t="s">
        <v>21</v>
      </c>
      <c r="D340" s="35">
        <v>44737</v>
      </c>
      <c r="E340" s="1" t="s">
        <v>1013</v>
      </c>
      <c r="F340" s="2" t="s">
        <v>1014</v>
      </c>
      <c r="G340" s="2">
        <v>5408</v>
      </c>
      <c r="H340" s="2" t="s">
        <v>1015</v>
      </c>
      <c r="J340" s="5">
        <v>0.5</v>
      </c>
      <c r="K340" s="32">
        <f>_xlfn.MAXIFS(ConsumoConcreto[Fim do Bombeamento],ConsumoConcreto[RecebimentoID],RecebimentoConcreto[[#This Row],[RecebimentoID]])</f>
        <v>0.59027777777777779</v>
      </c>
      <c r="M340" s="37">
        <v>36892</v>
      </c>
      <c r="N340" s="5" t="s">
        <v>25</v>
      </c>
      <c r="O340" s="9">
        <v>18</v>
      </c>
      <c r="P340" s="5" t="s">
        <v>26</v>
      </c>
      <c r="Q340" s="2">
        <v>3</v>
      </c>
      <c r="R340" s="5" t="s">
        <v>27</v>
      </c>
      <c r="S340" s="5" t="s">
        <v>32</v>
      </c>
      <c r="T340" s="39">
        <v>450</v>
      </c>
    </row>
    <row r="341" spans="1:20" ht="20.100000000000001" hidden="1" customHeight="1" x14ac:dyDescent="0.25">
      <c r="A341" s="26" t="str">
        <f>CONCATENATE(RIGHT(LEFT(RecebimentoConcreto[[#This Row],[Obra]],5),4),"RCBC",TEXT(RecebimentoConcreto[[#This Row],[Ordem]],"0000"))</f>
        <v>0184RCBC0718</v>
      </c>
      <c r="B341" s="1">
        <v>718</v>
      </c>
      <c r="C341" s="1" t="s">
        <v>21</v>
      </c>
      <c r="D341" s="35">
        <v>44739</v>
      </c>
      <c r="E341" s="1" t="s">
        <v>941</v>
      </c>
      <c r="F341" s="2" t="s">
        <v>1016</v>
      </c>
      <c r="G341" s="2">
        <v>5408</v>
      </c>
      <c r="H341" s="2" t="s">
        <v>1017</v>
      </c>
      <c r="J341" s="5">
        <v>0.74583333333333324</v>
      </c>
      <c r="K341" s="32">
        <f>_xlfn.MAXIFS(ConsumoConcreto[Fim do Bombeamento],ConsumoConcreto[RecebimentoID],RecebimentoConcreto[[#This Row],[RecebimentoID]])</f>
        <v>0.77569444444444446</v>
      </c>
      <c r="M341" s="37">
        <v>36892</v>
      </c>
      <c r="N341" s="5" t="s">
        <v>25</v>
      </c>
      <c r="O341" s="9">
        <v>15</v>
      </c>
      <c r="P341" s="5" t="s">
        <v>26</v>
      </c>
      <c r="Q341" s="2">
        <v>3</v>
      </c>
      <c r="R341" s="5" t="s">
        <v>27</v>
      </c>
      <c r="S341" s="5" t="s">
        <v>32</v>
      </c>
      <c r="T341" s="39">
        <v>450</v>
      </c>
    </row>
    <row r="342" spans="1:20" ht="20.100000000000001" hidden="1" customHeight="1" x14ac:dyDescent="0.25">
      <c r="A342" s="26" t="str">
        <f>CONCATENATE(RIGHT(LEFT(RecebimentoConcreto[[#This Row],[Obra]],5),4),"RCBC",TEXT(RecebimentoConcreto[[#This Row],[Ordem]],"0000"))</f>
        <v>0184RCBC0719</v>
      </c>
      <c r="B342" s="1">
        <v>719</v>
      </c>
      <c r="C342" s="1" t="s">
        <v>21</v>
      </c>
      <c r="D342" s="35">
        <v>44740</v>
      </c>
      <c r="E342" s="1" t="s">
        <v>1018</v>
      </c>
      <c r="F342" s="2" t="s">
        <v>1019</v>
      </c>
      <c r="G342" s="2">
        <v>5408</v>
      </c>
      <c r="H342" s="2" t="s">
        <v>1020</v>
      </c>
      <c r="J342" s="5">
        <v>0.73611111111111116</v>
      </c>
      <c r="K342" s="32">
        <f>_xlfn.MAXIFS(ConsumoConcreto[Fim do Bombeamento],ConsumoConcreto[RecebimentoID],RecebimentoConcreto[[#This Row],[RecebimentoID]])</f>
        <v>0.78472222222222221</v>
      </c>
      <c r="M342" s="37">
        <v>36892</v>
      </c>
      <c r="N342" s="5" t="s">
        <v>25</v>
      </c>
      <c r="O342" s="9">
        <v>14.5</v>
      </c>
      <c r="P342" s="5" t="s">
        <v>26</v>
      </c>
      <c r="Q342" s="2">
        <v>3</v>
      </c>
      <c r="R342" s="5" t="s">
        <v>27</v>
      </c>
      <c r="S342" s="5" t="s">
        <v>32</v>
      </c>
      <c r="T342" s="39">
        <v>450</v>
      </c>
    </row>
    <row r="343" spans="1:20" ht="20.100000000000001" hidden="1" customHeight="1" x14ac:dyDescent="0.25">
      <c r="A343" s="26" t="str">
        <f>CONCATENATE(RIGHT(LEFT(RecebimentoConcreto[[#This Row],[Obra]],5),4),"RCBC",TEXT(RecebimentoConcreto[[#This Row],[Ordem]],"0000"))</f>
        <v>0184RCBC0720</v>
      </c>
      <c r="B343" s="1">
        <v>720</v>
      </c>
      <c r="C343" s="1" t="s">
        <v>21</v>
      </c>
      <c r="D343" s="35">
        <v>44740</v>
      </c>
      <c r="E343" s="1" t="s">
        <v>1021</v>
      </c>
      <c r="F343" s="2" t="s">
        <v>1022</v>
      </c>
      <c r="G343" s="2">
        <v>5408</v>
      </c>
      <c r="H343" s="2" t="s">
        <v>1023</v>
      </c>
      <c r="J343" s="5">
        <v>0.69027777777777777</v>
      </c>
      <c r="K343" s="32">
        <f>_xlfn.MAXIFS(ConsumoConcreto[Fim do Bombeamento],ConsumoConcreto[RecebimentoID],RecebimentoConcreto[[#This Row],[RecebimentoID]])</f>
        <v>0.71875</v>
      </c>
      <c r="M343" s="37">
        <v>36892</v>
      </c>
      <c r="N343" s="5" t="s">
        <v>25</v>
      </c>
      <c r="O343" s="9">
        <v>15</v>
      </c>
      <c r="P343" s="5" t="s">
        <v>26</v>
      </c>
      <c r="Q343" s="2">
        <v>3</v>
      </c>
      <c r="R343" s="5" t="s">
        <v>27</v>
      </c>
      <c r="S343" s="5" t="s">
        <v>32</v>
      </c>
      <c r="T343" s="39">
        <v>450</v>
      </c>
    </row>
    <row r="344" spans="1:20" ht="20.100000000000001" hidden="1" customHeight="1" x14ac:dyDescent="0.25">
      <c r="A344" s="26" t="str">
        <f>CONCATENATE(RIGHT(LEFT(RecebimentoConcreto[[#This Row],[Obra]],5),4),"RCBC",TEXT(RecebimentoConcreto[[#This Row],[Ordem]],"0000"))</f>
        <v>0184RCBC0721</v>
      </c>
      <c r="B344" s="1">
        <v>721</v>
      </c>
      <c r="C344" s="1" t="s">
        <v>21</v>
      </c>
      <c r="D344" s="35">
        <v>44741</v>
      </c>
      <c r="E344" s="1" t="s">
        <v>946</v>
      </c>
      <c r="F344" s="2" t="s">
        <v>1024</v>
      </c>
      <c r="G344" s="2">
        <v>5408</v>
      </c>
      <c r="H344" s="2" t="s">
        <v>1025</v>
      </c>
      <c r="J344" s="5">
        <v>0.66666666666666663</v>
      </c>
      <c r="K344" s="32">
        <f>_xlfn.MAXIFS(ConsumoConcreto[Fim do Bombeamento],ConsumoConcreto[RecebimentoID],RecebimentoConcreto[[#This Row],[RecebimentoID]])</f>
        <v>0.70694444444444438</v>
      </c>
      <c r="M344" s="37">
        <v>36892</v>
      </c>
      <c r="N344" s="5" t="s">
        <v>25</v>
      </c>
      <c r="O344" s="9">
        <v>15</v>
      </c>
      <c r="P344" s="5" t="s">
        <v>26</v>
      </c>
      <c r="Q344" s="2">
        <v>3</v>
      </c>
      <c r="R344" s="5" t="s">
        <v>27</v>
      </c>
      <c r="S344" s="5" t="s">
        <v>32</v>
      </c>
      <c r="T344" s="39">
        <v>450</v>
      </c>
    </row>
    <row r="345" spans="1:20" ht="20.100000000000001" hidden="1" customHeight="1" x14ac:dyDescent="0.25">
      <c r="A345" s="26" t="str">
        <f>CONCATENATE(RIGHT(LEFT(RecebimentoConcreto[[#This Row],[Obra]],5),4),"RCBC",TEXT(RecebimentoConcreto[[#This Row],[Ordem]],"0000"))</f>
        <v>0184RCBC0722</v>
      </c>
      <c r="B345" s="1">
        <v>722</v>
      </c>
      <c r="C345" s="1" t="s">
        <v>21</v>
      </c>
      <c r="D345" s="35">
        <v>44742</v>
      </c>
      <c r="E345" s="1" t="s">
        <v>152</v>
      </c>
      <c r="F345" s="2" t="s">
        <v>1026</v>
      </c>
      <c r="G345" s="2">
        <v>5408</v>
      </c>
      <c r="H345" s="2" t="s">
        <v>1027</v>
      </c>
      <c r="J345" s="5">
        <v>0.73611111111111116</v>
      </c>
      <c r="K345" s="32">
        <f>_xlfn.MAXIFS(ConsumoConcreto[Fim do Bombeamento],ConsumoConcreto[RecebimentoID],RecebimentoConcreto[[#This Row],[RecebimentoID]])</f>
        <v>0.78472222222222221</v>
      </c>
      <c r="M345" s="37">
        <v>36892</v>
      </c>
      <c r="N345" s="5" t="s">
        <v>25</v>
      </c>
      <c r="O345" s="9">
        <v>14.5</v>
      </c>
      <c r="P345" s="5" t="s">
        <v>26</v>
      </c>
      <c r="Q345" s="2">
        <v>3</v>
      </c>
      <c r="R345" s="5" t="s">
        <v>27</v>
      </c>
      <c r="S345" s="5" t="s">
        <v>32</v>
      </c>
      <c r="T345" s="39">
        <v>450</v>
      </c>
    </row>
    <row r="346" spans="1:20" ht="20.100000000000001" hidden="1" customHeight="1" x14ac:dyDescent="0.25">
      <c r="A346" s="26" t="str">
        <f>CONCATENATE(RIGHT(LEFT(RecebimentoConcreto[[#This Row],[Obra]],5),4),"RCBC",TEXT(RecebimentoConcreto[[#This Row],[Ordem]],"0000"))</f>
        <v>0184RCBC0723</v>
      </c>
      <c r="B346" s="1">
        <v>723</v>
      </c>
      <c r="C346" s="1" t="s">
        <v>21</v>
      </c>
      <c r="D346" s="35">
        <v>44742</v>
      </c>
      <c r="E346" s="1" t="s">
        <v>1028</v>
      </c>
      <c r="F346" s="2" t="s">
        <v>1029</v>
      </c>
      <c r="G346" s="2">
        <v>5408</v>
      </c>
      <c r="H346" s="2" t="s">
        <v>1030</v>
      </c>
      <c r="J346" s="5">
        <v>0.66527777777777775</v>
      </c>
      <c r="K346" s="32">
        <f>_xlfn.MAXIFS(ConsumoConcreto[Fim do Bombeamento],ConsumoConcreto[RecebimentoID],RecebimentoConcreto[[#This Row],[RecebimentoID]])</f>
        <v>0.72569444444444453</v>
      </c>
      <c r="M346" s="37">
        <v>36892</v>
      </c>
      <c r="N346" s="5" t="s">
        <v>25</v>
      </c>
      <c r="O346" s="9">
        <v>15</v>
      </c>
      <c r="P346" s="5" t="s">
        <v>26</v>
      </c>
      <c r="Q346" s="2">
        <v>3</v>
      </c>
      <c r="R346" s="5" t="s">
        <v>27</v>
      </c>
      <c r="S346" s="5" t="s">
        <v>32</v>
      </c>
      <c r="T346" s="39">
        <v>450</v>
      </c>
    </row>
    <row r="347" spans="1:20" ht="20.100000000000001" hidden="1" customHeight="1" x14ac:dyDescent="0.25">
      <c r="A347" s="26" t="str">
        <f>CONCATENATE(RIGHT(LEFT(RecebimentoConcreto[[#This Row],[Obra]],5),4),"RCBC",TEXT(RecebimentoConcreto[[#This Row],[Ordem]],"0000"))</f>
        <v>0184RCBC0724</v>
      </c>
      <c r="B347" s="1">
        <v>724</v>
      </c>
      <c r="C347" s="1" t="s">
        <v>21</v>
      </c>
      <c r="D347" s="35">
        <v>44743</v>
      </c>
      <c r="E347" s="1" t="s">
        <v>198</v>
      </c>
      <c r="F347" s="2" t="s">
        <v>1031</v>
      </c>
      <c r="G347" s="2">
        <v>5408</v>
      </c>
      <c r="H347" s="2" t="s">
        <v>1032</v>
      </c>
      <c r="J347" s="5">
        <v>0.79861111111111116</v>
      </c>
      <c r="K347" s="32">
        <f>_xlfn.MAXIFS(ConsumoConcreto[Fim do Bombeamento],ConsumoConcreto[RecebimentoID],RecebimentoConcreto[[#This Row],[RecebimentoID]])</f>
        <v>0.82986111111111116</v>
      </c>
      <c r="M347" s="37">
        <v>36892</v>
      </c>
      <c r="N347" s="5" t="s">
        <v>25</v>
      </c>
      <c r="O347" s="9">
        <v>14</v>
      </c>
      <c r="P347" s="5" t="s">
        <v>26</v>
      </c>
      <c r="Q347" s="2">
        <v>3</v>
      </c>
      <c r="R347" s="5" t="s">
        <v>27</v>
      </c>
      <c r="S347" s="5" t="s">
        <v>32</v>
      </c>
      <c r="T347" s="39">
        <v>450</v>
      </c>
    </row>
    <row r="348" spans="1:20" ht="20.100000000000001" hidden="1" customHeight="1" x14ac:dyDescent="0.25">
      <c r="A348" s="26" t="str">
        <f>CONCATENATE(RIGHT(LEFT(RecebimentoConcreto[[#This Row],[Obra]],5),4),"RCBC",TEXT(RecebimentoConcreto[[#This Row],[Ordem]],"0000"))</f>
        <v>0184RCBC0725</v>
      </c>
      <c r="B348" s="1">
        <v>725</v>
      </c>
      <c r="C348" s="1" t="s">
        <v>21</v>
      </c>
      <c r="D348" s="35">
        <v>44743</v>
      </c>
      <c r="E348" s="1" t="s">
        <v>1033</v>
      </c>
      <c r="F348" s="2" t="s">
        <v>1034</v>
      </c>
      <c r="G348" s="2">
        <v>5408</v>
      </c>
      <c r="H348" s="2" t="s">
        <v>1035</v>
      </c>
      <c r="J348" s="5">
        <v>0.74652777777777779</v>
      </c>
      <c r="K348" s="32">
        <f>_xlfn.MAXIFS(ConsumoConcreto[Fim do Bombeamento],ConsumoConcreto[RecebimentoID],RecebimentoConcreto[[#This Row],[RecebimentoID]])</f>
        <v>0.78263888888888899</v>
      </c>
      <c r="M348" s="37">
        <v>36892</v>
      </c>
      <c r="N348" s="5" t="s">
        <v>25</v>
      </c>
      <c r="O348" s="9">
        <v>14</v>
      </c>
      <c r="P348" s="5" t="s">
        <v>26</v>
      </c>
      <c r="Q348" s="2">
        <v>3</v>
      </c>
      <c r="R348" s="5" t="s">
        <v>27</v>
      </c>
      <c r="S348" s="5" t="s">
        <v>32</v>
      </c>
      <c r="T348" s="39">
        <v>450</v>
      </c>
    </row>
    <row r="349" spans="1:20" ht="20.100000000000001" hidden="1" customHeight="1" x14ac:dyDescent="0.25">
      <c r="A349" s="26" t="str">
        <f>CONCATENATE(RIGHT(LEFT(RecebimentoConcreto[[#This Row],[Obra]],5),4),"RCBC",TEXT(RecebimentoConcreto[[#This Row],[Ordem]],"0000"))</f>
        <v>0184RCBC0726</v>
      </c>
      <c r="B349" s="1">
        <v>726</v>
      </c>
      <c r="C349" s="1" t="s">
        <v>21</v>
      </c>
      <c r="D349" s="35">
        <v>44746</v>
      </c>
      <c r="E349" s="1" t="s">
        <v>287</v>
      </c>
      <c r="F349" s="2" t="s">
        <v>1036</v>
      </c>
      <c r="G349" s="2">
        <v>5408</v>
      </c>
      <c r="H349" s="2" t="s">
        <v>1037</v>
      </c>
      <c r="J349" s="5">
        <v>0.77638888888888891</v>
      </c>
      <c r="K349" s="32">
        <f>_xlfn.MAXIFS(ConsumoConcreto[Fim do Bombeamento],ConsumoConcreto[RecebimentoID],RecebimentoConcreto[[#This Row],[RecebimentoID]])</f>
        <v>0.85972222222222217</v>
      </c>
      <c r="M349" s="37">
        <v>36892</v>
      </c>
      <c r="N349" s="5" t="s">
        <v>25</v>
      </c>
      <c r="O349" s="9">
        <v>14</v>
      </c>
      <c r="P349" s="5" t="s">
        <v>26</v>
      </c>
      <c r="Q349" s="2">
        <v>3</v>
      </c>
      <c r="R349" s="5" t="s">
        <v>27</v>
      </c>
      <c r="S349" s="5" t="s">
        <v>32</v>
      </c>
      <c r="T349" s="39">
        <v>450</v>
      </c>
    </row>
    <row r="350" spans="1:20" ht="20.100000000000001" hidden="1" customHeight="1" x14ac:dyDescent="0.25">
      <c r="A350" s="26" t="str">
        <f>CONCATENATE(RIGHT(LEFT(RecebimentoConcreto[[#This Row],[Obra]],5),4),"RCBC",TEXT(RecebimentoConcreto[[#This Row],[Ordem]],"0000"))</f>
        <v>0184RCBC0727</v>
      </c>
      <c r="B350" s="1">
        <v>727</v>
      </c>
      <c r="C350" s="1" t="s">
        <v>21</v>
      </c>
      <c r="D350" s="35">
        <v>44746</v>
      </c>
      <c r="E350" s="1" t="s">
        <v>107</v>
      </c>
      <c r="F350" s="2" t="s">
        <v>108</v>
      </c>
      <c r="G350" s="2">
        <v>5408</v>
      </c>
      <c r="H350" s="2" t="s">
        <v>109</v>
      </c>
      <c r="J350" s="5">
        <v>0.68194444444444446</v>
      </c>
      <c r="K350" s="32">
        <f>_xlfn.MAXIFS(ConsumoConcreto[Fim do Bombeamento],ConsumoConcreto[RecebimentoID],RecebimentoConcreto[[#This Row],[RecebimentoID]])</f>
        <v>0.70833333333333337</v>
      </c>
      <c r="M350" s="37">
        <v>36892</v>
      </c>
      <c r="N350" s="5" t="s">
        <v>25</v>
      </c>
      <c r="O350" s="9">
        <v>14</v>
      </c>
      <c r="P350" s="5" t="s">
        <v>26</v>
      </c>
      <c r="Q350" s="2">
        <v>3</v>
      </c>
      <c r="R350" s="5" t="s">
        <v>27</v>
      </c>
      <c r="S350" s="5" t="s">
        <v>32</v>
      </c>
      <c r="T350" s="39">
        <v>450</v>
      </c>
    </row>
    <row r="351" spans="1:20" ht="20.100000000000001" hidden="1" customHeight="1" x14ac:dyDescent="0.25">
      <c r="A351" s="26" t="str">
        <f>CONCATENATE(RIGHT(LEFT(RecebimentoConcreto[[#This Row],[Obra]],5),4),"RCBC",TEXT(RecebimentoConcreto[[#This Row],[Ordem]],"0000"))</f>
        <v>0184RCBC0728</v>
      </c>
      <c r="B351" s="1">
        <v>728</v>
      </c>
      <c r="C351" s="1" t="s">
        <v>21</v>
      </c>
      <c r="D351" s="35">
        <v>44747</v>
      </c>
      <c r="E351" s="1" t="s">
        <v>110</v>
      </c>
      <c r="F351" s="2" t="s">
        <v>111</v>
      </c>
      <c r="G351" s="2">
        <v>5408</v>
      </c>
      <c r="H351" s="2" t="s">
        <v>112</v>
      </c>
      <c r="J351" s="5">
        <v>0.66666666666666663</v>
      </c>
      <c r="K351" s="32">
        <f>_xlfn.MAXIFS(ConsumoConcreto[Fim do Bombeamento],ConsumoConcreto[RecebimentoID],RecebimentoConcreto[[#This Row],[RecebimentoID]])</f>
        <v>0.72291666666666676</v>
      </c>
      <c r="M351" s="37">
        <v>36892</v>
      </c>
      <c r="N351" s="5" t="s">
        <v>25</v>
      </c>
      <c r="O351" s="9">
        <v>14</v>
      </c>
      <c r="P351" s="5" t="s">
        <v>26</v>
      </c>
      <c r="Q351" s="2">
        <v>3</v>
      </c>
      <c r="R351" s="5" t="s">
        <v>27</v>
      </c>
      <c r="S351" s="5" t="s">
        <v>32</v>
      </c>
      <c r="T351" s="39">
        <v>450</v>
      </c>
    </row>
    <row r="352" spans="1:20" ht="20.100000000000001" hidden="1" customHeight="1" x14ac:dyDescent="0.25">
      <c r="A352" s="26" t="str">
        <f>CONCATENATE(RIGHT(LEFT(RecebimentoConcreto[[#This Row],[Obra]],5),4),"RCBC",TEXT(RecebimentoConcreto[[#This Row],[Ordem]],"0000"))</f>
        <v>0184RCBC0729</v>
      </c>
      <c r="B352" s="1">
        <v>729</v>
      </c>
      <c r="C352" s="1" t="s">
        <v>21</v>
      </c>
      <c r="D352" s="35">
        <v>44747</v>
      </c>
      <c r="E352" s="1" t="s">
        <v>110</v>
      </c>
      <c r="F352" s="2" t="s">
        <v>1038</v>
      </c>
      <c r="G352" s="2">
        <v>5408</v>
      </c>
      <c r="H352" s="2" t="s">
        <v>1039</v>
      </c>
      <c r="J352" s="5">
        <v>0.59722222222222221</v>
      </c>
      <c r="K352" s="32">
        <f>_xlfn.MAXIFS(ConsumoConcreto[Fim do Bombeamento],ConsumoConcreto[RecebimentoID],RecebimentoConcreto[[#This Row],[RecebimentoID]])</f>
        <v>0.62361111111111112</v>
      </c>
      <c r="M352" s="37">
        <v>36892</v>
      </c>
      <c r="N352" s="5" t="s">
        <v>25</v>
      </c>
      <c r="O352" s="9">
        <v>14</v>
      </c>
      <c r="P352" s="5" t="s">
        <v>26</v>
      </c>
      <c r="Q352" s="2">
        <v>3</v>
      </c>
      <c r="R352" s="5" t="s">
        <v>27</v>
      </c>
      <c r="S352" s="5" t="s">
        <v>32</v>
      </c>
      <c r="T352" s="39">
        <v>450</v>
      </c>
    </row>
    <row r="353" spans="1:20" ht="20.100000000000001" hidden="1" customHeight="1" x14ac:dyDescent="0.25">
      <c r="A353" s="26" t="str">
        <f>CONCATENATE(RIGHT(LEFT(RecebimentoConcreto[[#This Row],[Obra]],5),4),"RCBC",TEXT(RecebimentoConcreto[[#This Row],[Ordem]],"0000"))</f>
        <v>0184RCBC0730</v>
      </c>
      <c r="B353" s="1">
        <v>730</v>
      </c>
      <c r="C353" s="1" t="s">
        <v>21</v>
      </c>
      <c r="D353" s="35">
        <v>44748</v>
      </c>
      <c r="E353" s="1" t="s">
        <v>1040</v>
      </c>
      <c r="F353" s="2" t="s">
        <v>1041</v>
      </c>
      <c r="G353" s="2">
        <v>5408</v>
      </c>
      <c r="H353" s="2" t="s">
        <v>1042</v>
      </c>
      <c r="J353" s="5">
        <v>0.68125000000000002</v>
      </c>
      <c r="K353" s="32">
        <f>_xlfn.MAXIFS(ConsumoConcreto[Fim do Bombeamento],ConsumoConcreto[RecebimentoID],RecebimentoConcreto[[#This Row],[RecebimentoID]])</f>
        <v>0.72569444444444453</v>
      </c>
      <c r="M353" s="37">
        <v>36892</v>
      </c>
      <c r="N353" s="5" t="s">
        <v>25</v>
      </c>
      <c r="O353" s="9">
        <v>14</v>
      </c>
      <c r="P353" s="5" t="s">
        <v>26</v>
      </c>
      <c r="Q353" s="2">
        <v>3</v>
      </c>
      <c r="R353" s="5" t="s">
        <v>27</v>
      </c>
      <c r="S353" s="5" t="s">
        <v>32</v>
      </c>
      <c r="T353" s="39">
        <v>450</v>
      </c>
    </row>
    <row r="354" spans="1:20" ht="20.100000000000001" hidden="1" customHeight="1" x14ac:dyDescent="0.25">
      <c r="A354" s="26" t="str">
        <f>CONCATENATE(RIGHT(LEFT(RecebimentoConcreto[[#This Row],[Obra]],5),4),"RCBC",TEXT(RecebimentoConcreto[[#This Row],[Ordem]],"0000"))</f>
        <v>0184RCBC0731</v>
      </c>
      <c r="B354" s="1">
        <v>731</v>
      </c>
      <c r="C354" s="1" t="s">
        <v>21</v>
      </c>
      <c r="D354" s="35">
        <v>44748</v>
      </c>
      <c r="E354" s="1" t="s">
        <v>113</v>
      </c>
      <c r="F354" s="2" t="s">
        <v>114</v>
      </c>
      <c r="G354" s="2">
        <v>5408</v>
      </c>
      <c r="H354" s="2" t="s">
        <v>115</v>
      </c>
      <c r="J354" s="5">
        <v>0.62222222222222223</v>
      </c>
      <c r="K354" s="32">
        <f>_xlfn.MAXIFS(ConsumoConcreto[Fim do Bombeamento],ConsumoConcreto[RecebimentoID],RecebimentoConcreto[[#This Row],[RecebimentoID]])</f>
        <v>0.65069444444444446</v>
      </c>
      <c r="M354" s="37">
        <v>36892</v>
      </c>
      <c r="N354" s="5" t="s">
        <v>25</v>
      </c>
      <c r="O354" s="9">
        <v>14</v>
      </c>
      <c r="P354" s="5" t="s">
        <v>26</v>
      </c>
      <c r="Q354" s="2">
        <v>3</v>
      </c>
      <c r="R354" s="5" t="s">
        <v>27</v>
      </c>
      <c r="S354" s="5" t="s">
        <v>32</v>
      </c>
      <c r="T354" s="39">
        <v>450</v>
      </c>
    </row>
    <row r="355" spans="1:20" ht="20.100000000000001" hidden="1" customHeight="1" x14ac:dyDescent="0.25">
      <c r="A355" s="26" t="str">
        <f>CONCATENATE(RIGHT(LEFT(RecebimentoConcreto[[#This Row],[Obra]],5),4),"RCBC",TEXT(RecebimentoConcreto[[#This Row],[Ordem]],"0000"))</f>
        <v>0184RCBC0732</v>
      </c>
      <c r="B355" s="1">
        <v>732</v>
      </c>
      <c r="C355" s="1" t="s">
        <v>21</v>
      </c>
      <c r="D355" s="35">
        <v>44749</v>
      </c>
      <c r="E355" s="1" t="s">
        <v>1043</v>
      </c>
      <c r="F355" s="2" t="s">
        <v>1044</v>
      </c>
      <c r="G355" s="2">
        <v>5408</v>
      </c>
      <c r="H355" s="2" t="s">
        <v>1045</v>
      </c>
      <c r="J355" s="5">
        <v>0.75694444444444453</v>
      </c>
      <c r="K355" s="32">
        <f>_xlfn.MAXIFS(ConsumoConcreto[Fim do Bombeamento],ConsumoConcreto[RecebimentoID],RecebimentoConcreto[[#This Row],[RecebimentoID]])</f>
        <v>0.79166666666666663</v>
      </c>
      <c r="M355" s="37">
        <v>36892</v>
      </c>
      <c r="N355" s="5" t="s">
        <v>25</v>
      </c>
      <c r="O355" s="9">
        <v>14</v>
      </c>
      <c r="P355" s="5" t="s">
        <v>26</v>
      </c>
      <c r="Q355" s="2">
        <v>3</v>
      </c>
      <c r="R355" s="5" t="s">
        <v>27</v>
      </c>
      <c r="S355" s="5" t="s">
        <v>32</v>
      </c>
      <c r="T355" s="39">
        <v>450</v>
      </c>
    </row>
    <row r="356" spans="1:20" ht="20.100000000000001" hidden="1" customHeight="1" x14ac:dyDescent="0.25">
      <c r="A356" s="26" t="str">
        <f>CONCATENATE(RIGHT(LEFT(RecebimentoConcreto[[#This Row],[Obra]],5),4),"RCBC",TEXT(RecebimentoConcreto[[#This Row],[Ordem]],"0000"))</f>
        <v>0184RCBC0733</v>
      </c>
      <c r="B356" s="1">
        <v>733</v>
      </c>
      <c r="C356" s="1" t="s">
        <v>21</v>
      </c>
      <c r="D356" s="35">
        <v>44749</v>
      </c>
      <c r="E356" s="1" t="s">
        <v>370</v>
      </c>
      <c r="F356" s="2" t="s">
        <v>1046</v>
      </c>
      <c r="G356" s="2">
        <v>5408</v>
      </c>
      <c r="H356" s="2" t="s">
        <v>1047</v>
      </c>
      <c r="J356" s="5">
        <v>0.70277777777777783</v>
      </c>
      <c r="K356" s="32">
        <f>_xlfn.MAXIFS(ConsumoConcreto[Fim do Bombeamento],ConsumoConcreto[RecebimentoID],RecebimentoConcreto[[#This Row],[RecebimentoID]])</f>
        <v>0.73958333333333337</v>
      </c>
      <c r="M356" s="37">
        <v>36892</v>
      </c>
      <c r="N356" s="5" t="s">
        <v>25</v>
      </c>
      <c r="O356" s="9">
        <v>14</v>
      </c>
      <c r="P356" s="5" t="s">
        <v>26</v>
      </c>
      <c r="Q356" s="2">
        <v>3</v>
      </c>
      <c r="R356" s="5" t="s">
        <v>27</v>
      </c>
      <c r="S356" s="5" t="s">
        <v>32</v>
      </c>
      <c r="T356" s="39">
        <v>450</v>
      </c>
    </row>
    <row r="357" spans="1:20" ht="20.100000000000001" hidden="1" customHeight="1" x14ac:dyDescent="0.25">
      <c r="A357" s="26" t="str">
        <f>CONCATENATE(RIGHT(LEFT(RecebimentoConcreto[[#This Row],[Obra]],5),4),"RCBC",TEXT(RecebimentoConcreto[[#This Row],[Ordem]],"0000"))</f>
        <v>0184RCBC0734</v>
      </c>
      <c r="B357" s="1">
        <v>734</v>
      </c>
      <c r="C357" s="1" t="s">
        <v>21</v>
      </c>
      <c r="D357" s="35">
        <v>44750</v>
      </c>
      <c r="E357" s="1" t="s">
        <v>116</v>
      </c>
      <c r="F357" s="2" t="s">
        <v>117</v>
      </c>
      <c r="G357" s="2">
        <v>5408</v>
      </c>
      <c r="H357" s="2" t="s">
        <v>118</v>
      </c>
      <c r="J357" s="5">
        <v>0.66249999999999998</v>
      </c>
      <c r="K357" s="32">
        <f>_xlfn.MAXIFS(ConsumoConcreto[Fim do Bombeamento],ConsumoConcreto[RecebimentoID],RecebimentoConcreto[[#This Row],[RecebimentoID]])</f>
        <v>0.70277777777777783</v>
      </c>
      <c r="M357" s="37">
        <v>36892</v>
      </c>
      <c r="N357" s="5" t="s">
        <v>25</v>
      </c>
      <c r="O357" s="9">
        <v>14.5</v>
      </c>
      <c r="P357" s="5" t="s">
        <v>26</v>
      </c>
      <c r="Q357" s="2">
        <v>3</v>
      </c>
      <c r="R357" s="5" t="s">
        <v>27</v>
      </c>
      <c r="S357" s="5" t="s">
        <v>32</v>
      </c>
      <c r="T357" s="39">
        <v>450</v>
      </c>
    </row>
    <row r="358" spans="1:20" ht="20.100000000000001" hidden="1" customHeight="1" x14ac:dyDescent="0.25">
      <c r="A358" s="26" t="str">
        <f>CONCATENATE(RIGHT(LEFT(RecebimentoConcreto[[#This Row],[Obra]],5),4),"RCBC",TEXT(RecebimentoConcreto[[#This Row],[Ordem]],"0000"))</f>
        <v>0184RCBC0735</v>
      </c>
      <c r="B358" s="1">
        <v>735</v>
      </c>
      <c r="C358" s="1" t="s">
        <v>21</v>
      </c>
      <c r="D358" s="35">
        <v>44750</v>
      </c>
      <c r="E358" s="1" t="s">
        <v>116</v>
      </c>
      <c r="F358" s="2" t="s">
        <v>117</v>
      </c>
      <c r="G358" s="2">
        <v>5408</v>
      </c>
      <c r="H358" s="2" t="s">
        <v>118</v>
      </c>
      <c r="J358" s="5">
        <v>0.66249999999999998</v>
      </c>
      <c r="K358" s="32">
        <f>_xlfn.MAXIFS(ConsumoConcreto[Fim do Bombeamento],ConsumoConcreto[RecebimentoID],RecebimentoConcreto[[#This Row],[RecebimentoID]])</f>
        <v>0.70277777777777783</v>
      </c>
      <c r="M358" s="37">
        <v>36892</v>
      </c>
      <c r="N358" s="5" t="s">
        <v>25</v>
      </c>
      <c r="O358" s="9">
        <v>14</v>
      </c>
      <c r="P358" s="5" t="s">
        <v>26</v>
      </c>
      <c r="Q358" s="2">
        <v>3</v>
      </c>
      <c r="R358" s="5" t="s">
        <v>27</v>
      </c>
      <c r="S358" s="5" t="s">
        <v>32</v>
      </c>
      <c r="T358" s="39">
        <v>450</v>
      </c>
    </row>
    <row r="359" spans="1:20" ht="20.100000000000001" hidden="1" customHeight="1" x14ac:dyDescent="0.25">
      <c r="A359" s="26" t="str">
        <f>CONCATENATE(RIGHT(LEFT(RecebimentoConcreto[[#This Row],[Obra]],5),4),"RCBC",TEXT(RecebimentoConcreto[[#This Row],[Ordem]],"0000"))</f>
        <v>0184RCBC0741</v>
      </c>
      <c r="B359" s="1">
        <v>741</v>
      </c>
      <c r="C359" s="1" t="s">
        <v>21</v>
      </c>
      <c r="D359" s="35"/>
      <c r="K359" s="32">
        <f>_xlfn.MAXIFS(ConsumoConcreto[Fim do Bombeamento],ConsumoConcreto[RecebimentoID],RecebimentoConcreto[[#This Row],[RecebimentoID]])</f>
        <v>0</v>
      </c>
      <c r="M359" s="37">
        <v>36892</v>
      </c>
      <c r="N359" s="5" t="s">
        <v>25</v>
      </c>
      <c r="O359" s="9"/>
      <c r="P359" s="5" t="s">
        <v>26</v>
      </c>
      <c r="Q359" s="2"/>
      <c r="R359" s="5" t="s">
        <v>27</v>
      </c>
      <c r="S359" s="5"/>
    </row>
    <row r="360" spans="1:20" ht="20.100000000000001" customHeight="1" x14ac:dyDescent="0.25">
      <c r="A360" s="26" t="str">
        <f>CONCATENATE(RIGHT(LEFT(RecebimentoConcreto[[#This Row],[Obra]],5),4),"RCBC",TEXT(RecebimentoConcreto[[#This Row],[Ordem]],"0000"))</f>
        <v>0184RCBC0759</v>
      </c>
      <c r="B360" s="1">
        <v>759</v>
      </c>
      <c r="C360" s="1" t="s">
        <v>21</v>
      </c>
      <c r="D360" s="35">
        <v>44847</v>
      </c>
      <c r="E360" s="1" t="s">
        <v>1048</v>
      </c>
      <c r="F360" s="2" t="s">
        <v>1049</v>
      </c>
      <c r="G360" s="2">
        <v>5408</v>
      </c>
      <c r="H360" s="2" t="s">
        <v>1050</v>
      </c>
      <c r="I360" s="5" t="s">
        <v>1051</v>
      </c>
      <c r="J360" s="5">
        <v>0.76736111111111116</v>
      </c>
      <c r="K360" s="32">
        <f>_xlfn.MAXIFS(ConsumoConcreto[Fim do Bombeamento],ConsumoConcreto[RecebimentoID],RecebimentoConcreto[[#This Row],[RecebimentoID]])</f>
        <v>0.82847222222222217</v>
      </c>
      <c r="L360" s="1" t="s">
        <v>1052</v>
      </c>
      <c r="M360" s="37">
        <v>36892</v>
      </c>
      <c r="N360" s="5" t="s">
        <v>25</v>
      </c>
      <c r="O360" s="9">
        <v>14.5</v>
      </c>
      <c r="P360" s="5" t="s">
        <v>26</v>
      </c>
      <c r="Q360" s="2">
        <v>6</v>
      </c>
      <c r="R360" s="5" t="s">
        <v>27</v>
      </c>
      <c r="S360" s="5" t="s">
        <v>32</v>
      </c>
      <c r="T360" s="39">
        <v>450</v>
      </c>
    </row>
    <row r="361" spans="1:20" ht="20.100000000000001" hidden="1" customHeight="1" x14ac:dyDescent="0.25">
      <c r="A361" s="26" t="str">
        <f>CONCATENATE(RIGHT(LEFT(RecebimentoConcreto[[#This Row],[Obra]],5),4),"RCBC",TEXT(RecebimentoConcreto[[#This Row],[Ordem]],"0000"))</f>
        <v>0184RCBC0760</v>
      </c>
      <c r="B361" s="1">
        <v>760</v>
      </c>
      <c r="C361" s="1" t="s">
        <v>21</v>
      </c>
      <c r="D361" s="35">
        <v>44848</v>
      </c>
      <c r="E361" s="1" t="s">
        <v>1053</v>
      </c>
      <c r="F361" s="2" t="s">
        <v>1054</v>
      </c>
      <c r="G361" s="2">
        <v>5408</v>
      </c>
      <c r="H361" s="2" t="s">
        <v>1055</v>
      </c>
      <c r="I361" s="5" t="s">
        <v>1056</v>
      </c>
      <c r="J361" s="5">
        <v>0.76180555555555562</v>
      </c>
      <c r="K361" s="32">
        <f>_xlfn.MAXIFS(ConsumoConcreto[Fim do Bombeamento],ConsumoConcreto[RecebimentoID],RecebimentoConcreto[[#This Row],[RecebimentoID]])</f>
        <v>0.8125</v>
      </c>
      <c r="L361" s="1" t="s">
        <v>1057</v>
      </c>
      <c r="M361" s="37">
        <v>36892</v>
      </c>
      <c r="N361" s="5" t="s">
        <v>25</v>
      </c>
      <c r="O361" s="9">
        <v>18</v>
      </c>
      <c r="P361" s="5" t="s">
        <v>26</v>
      </c>
      <c r="Q361" s="2">
        <v>6</v>
      </c>
      <c r="R361" s="5" t="s">
        <v>27</v>
      </c>
      <c r="S361" s="5" t="s">
        <v>32</v>
      </c>
      <c r="T361" s="39">
        <v>450</v>
      </c>
    </row>
    <row r="362" spans="1:20" ht="20.100000000000001" hidden="1" customHeight="1" x14ac:dyDescent="0.25">
      <c r="A362" s="26" t="str">
        <f>CONCATENATE(RIGHT(LEFT(RecebimentoConcreto[[#This Row],[Obra]],5),4),"RCBC",TEXT(RecebimentoConcreto[[#This Row],[Ordem]],"0000"))</f>
        <v>0184RCBC0761</v>
      </c>
      <c r="B362" s="1">
        <v>761</v>
      </c>
      <c r="C362" s="1" t="s">
        <v>21</v>
      </c>
      <c r="D362" s="35">
        <v>44851</v>
      </c>
      <c r="E362" s="1" t="s">
        <v>1058</v>
      </c>
      <c r="F362" s="2" t="s">
        <v>1059</v>
      </c>
      <c r="G362" s="2">
        <v>5408</v>
      </c>
      <c r="H362" s="2" t="s">
        <v>1060</v>
      </c>
      <c r="I362" s="5" t="s">
        <v>1061</v>
      </c>
      <c r="J362" s="5">
        <v>0.76944444444444438</v>
      </c>
      <c r="K362" s="32">
        <f>_xlfn.MAXIFS(ConsumoConcreto[Fim do Bombeamento],ConsumoConcreto[RecebimentoID],RecebimentoConcreto[[#This Row],[RecebimentoID]])</f>
        <v>0.80763888888888891</v>
      </c>
      <c r="L362" s="1" t="s">
        <v>1062</v>
      </c>
      <c r="M362" s="37">
        <v>36892</v>
      </c>
      <c r="N362" s="5" t="s">
        <v>25</v>
      </c>
      <c r="O362" s="9">
        <v>18.5</v>
      </c>
      <c r="P362" s="5" t="s">
        <v>26</v>
      </c>
      <c r="Q362" s="2">
        <v>6</v>
      </c>
      <c r="R362" s="5" t="s">
        <v>27</v>
      </c>
      <c r="S362" s="5" t="s">
        <v>32</v>
      </c>
      <c r="T362" s="39">
        <v>450</v>
      </c>
    </row>
    <row r="363" spans="1:20" ht="20.100000000000001" hidden="1" customHeight="1" x14ac:dyDescent="0.25">
      <c r="A363" s="26" t="str">
        <f>CONCATENATE(RIGHT(LEFT(RecebimentoConcreto[[#This Row],[Obra]],5),4),"RCBC",TEXT(RecebimentoConcreto[[#This Row],[Ordem]],"0000"))</f>
        <v>0184RCBC0762</v>
      </c>
      <c r="B363" s="1">
        <v>762</v>
      </c>
      <c r="C363" s="1" t="s">
        <v>21</v>
      </c>
      <c r="D363" s="35">
        <v>44852</v>
      </c>
      <c r="E363" s="1" t="s">
        <v>994</v>
      </c>
      <c r="F363" s="2" t="s">
        <v>1063</v>
      </c>
      <c r="G363" s="2">
        <v>5408</v>
      </c>
      <c r="H363" s="2" t="s">
        <v>1064</v>
      </c>
      <c r="I363" s="5" t="s">
        <v>1065</v>
      </c>
      <c r="J363" s="5">
        <v>0.75902777777777775</v>
      </c>
      <c r="K363" s="32">
        <f>_xlfn.MAXIFS(ConsumoConcreto[Fim do Bombeamento],ConsumoConcreto[RecebimentoID],RecebimentoConcreto[[#This Row],[RecebimentoID]])</f>
        <v>0.8208333333333333</v>
      </c>
      <c r="L363" s="1" t="s">
        <v>1066</v>
      </c>
      <c r="M363" s="37">
        <v>36892</v>
      </c>
      <c r="N363" s="5" t="s">
        <v>25</v>
      </c>
      <c r="O363" s="9">
        <v>14.5</v>
      </c>
      <c r="P363" s="5" t="s">
        <v>26</v>
      </c>
      <c r="Q363" s="2">
        <v>6</v>
      </c>
      <c r="R363" s="5" t="s">
        <v>27</v>
      </c>
      <c r="S363" s="5" t="s">
        <v>32</v>
      </c>
      <c r="T363" s="39">
        <v>450</v>
      </c>
    </row>
    <row r="364" spans="1:20" ht="20.100000000000001" hidden="1" customHeight="1" x14ac:dyDescent="0.25">
      <c r="A364" s="26" t="str">
        <f>CONCATENATE(RIGHT(LEFT(RecebimentoConcreto[[#This Row],[Obra]],5),4),"RCBC",TEXT(RecebimentoConcreto[[#This Row],[Ordem]],"0000"))</f>
        <v>0184RCBC0763</v>
      </c>
      <c r="B364" s="1">
        <v>763</v>
      </c>
      <c r="C364" s="1" t="s">
        <v>21</v>
      </c>
      <c r="D364" s="35">
        <v>44852</v>
      </c>
      <c r="E364" s="1" t="s">
        <v>1067</v>
      </c>
      <c r="F364" s="2" t="s">
        <v>1068</v>
      </c>
      <c r="G364" s="2">
        <v>5408</v>
      </c>
      <c r="H364" s="2" t="s">
        <v>1069</v>
      </c>
      <c r="I364" s="5" t="s">
        <v>1070</v>
      </c>
      <c r="J364" s="5">
        <v>0.84097222222222223</v>
      </c>
      <c r="K364" s="32">
        <f>_xlfn.MAXIFS(ConsumoConcreto[Fim do Bombeamento],ConsumoConcreto[RecebimentoID],RecebimentoConcreto[[#This Row],[RecebimentoID]])</f>
        <v>0.87291666666666667</v>
      </c>
      <c r="L364" s="1" t="s">
        <v>1071</v>
      </c>
      <c r="M364" s="37">
        <v>36892</v>
      </c>
      <c r="N364" s="5" t="s">
        <v>25</v>
      </c>
      <c r="O364" s="9">
        <v>18</v>
      </c>
      <c r="P364" s="5" t="s">
        <v>26</v>
      </c>
      <c r="Q364" s="2">
        <v>6</v>
      </c>
      <c r="R364" s="5" t="s">
        <v>27</v>
      </c>
      <c r="S364" s="5" t="s">
        <v>32</v>
      </c>
      <c r="T364" s="39">
        <v>450</v>
      </c>
    </row>
    <row r="365" spans="1:20" ht="20.100000000000001" hidden="1" customHeight="1" x14ac:dyDescent="0.25">
      <c r="A365" s="26" t="str">
        <f>CONCATENATE(RIGHT(LEFT(RecebimentoConcreto[[#This Row],[Obra]],5),4),"RCBC",TEXT(RecebimentoConcreto[[#This Row],[Ordem]],"0000"))</f>
        <v>0184RCBC0764</v>
      </c>
      <c r="B365" s="1">
        <v>764</v>
      </c>
      <c r="C365" s="1" t="s">
        <v>21</v>
      </c>
      <c r="D365" s="35">
        <v>44853</v>
      </c>
      <c r="E365" s="1" t="s">
        <v>1072</v>
      </c>
      <c r="F365" s="2" t="s">
        <v>1073</v>
      </c>
      <c r="G365" s="2">
        <v>5408</v>
      </c>
      <c r="H365" s="2" t="s">
        <v>1074</v>
      </c>
      <c r="I365" s="5" t="s">
        <v>1075</v>
      </c>
      <c r="J365" s="5">
        <v>0.75347222222222221</v>
      </c>
      <c r="K365" s="32">
        <f>_xlfn.MAXIFS(ConsumoConcreto[Fim do Bombeamento],ConsumoConcreto[RecebimentoID],RecebimentoConcreto[[#This Row],[RecebimentoID]])</f>
        <v>0.81041666666666667</v>
      </c>
      <c r="L365" s="1" t="s">
        <v>786</v>
      </c>
      <c r="M365" s="37">
        <v>36892</v>
      </c>
      <c r="N365" s="5" t="s">
        <v>25</v>
      </c>
      <c r="O365" s="9">
        <v>14.5</v>
      </c>
      <c r="P365" s="5" t="s">
        <v>26</v>
      </c>
      <c r="Q365" s="2">
        <v>6</v>
      </c>
      <c r="R365" s="5" t="s">
        <v>27</v>
      </c>
      <c r="S365" s="5" t="s">
        <v>32</v>
      </c>
      <c r="T365" s="39">
        <v>450</v>
      </c>
    </row>
    <row r="366" spans="1:20" ht="20.100000000000001" hidden="1" customHeight="1" x14ac:dyDescent="0.25">
      <c r="A366" s="26" t="str">
        <f>CONCATENATE(RIGHT(LEFT(RecebimentoConcreto[[#This Row],[Obra]],5),4),"RCBC",TEXT(RecebimentoConcreto[[#This Row],[Ordem]],"0000"))</f>
        <v>0184RCBC0765</v>
      </c>
      <c r="B366" s="1">
        <v>765</v>
      </c>
      <c r="C366" s="1" t="s">
        <v>21</v>
      </c>
      <c r="D366" s="35">
        <v>44853</v>
      </c>
      <c r="E366" s="1" t="s">
        <v>1076</v>
      </c>
      <c r="F366" s="2" t="s">
        <v>1077</v>
      </c>
      <c r="G366" s="2">
        <v>5408</v>
      </c>
      <c r="H366" s="2" t="s">
        <v>1078</v>
      </c>
      <c r="I366" s="5" t="s">
        <v>1079</v>
      </c>
      <c r="J366" s="5">
        <v>0.79305555555555562</v>
      </c>
      <c r="K366" s="32">
        <f>_xlfn.MAXIFS(ConsumoConcreto[Fim do Bombeamento],ConsumoConcreto[RecebimentoID],RecebimentoConcreto[[#This Row],[RecebimentoID]])</f>
        <v>0.85625000000000007</v>
      </c>
      <c r="L366" s="1" t="s">
        <v>1080</v>
      </c>
      <c r="M366" s="37">
        <v>36892</v>
      </c>
      <c r="N366" s="5" t="s">
        <v>25</v>
      </c>
      <c r="O366" s="9">
        <v>18.5</v>
      </c>
      <c r="P366" s="5" t="s">
        <v>26</v>
      </c>
      <c r="Q366" s="2">
        <v>6</v>
      </c>
      <c r="R366" s="5" t="s">
        <v>27</v>
      </c>
      <c r="S366" s="5" t="s">
        <v>32</v>
      </c>
      <c r="T366" s="39">
        <v>450</v>
      </c>
    </row>
    <row r="367" spans="1:20" ht="20.100000000000001" hidden="1" customHeight="1" x14ac:dyDescent="0.25">
      <c r="A367" s="26" t="str">
        <f>CONCATENATE(RIGHT(LEFT(RecebimentoConcreto[[#This Row],[Obra]],5),4),"RCBC",TEXT(RecebimentoConcreto[[#This Row],[Ordem]],"0000"))</f>
        <v>0184RCBC0766</v>
      </c>
      <c r="B367" s="1">
        <v>766</v>
      </c>
      <c r="C367" s="1" t="s">
        <v>21</v>
      </c>
      <c r="D367" s="35">
        <v>44854</v>
      </c>
      <c r="E367" s="1" t="s">
        <v>994</v>
      </c>
      <c r="F367" s="2" t="s">
        <v>1081</v>
      </c>
      <c r="G367" s="2">
        <v>5408</v>
      </c>
      <c r="H367" s="2" t="s">
        <v>1082</v>
      </c>
      <c r="I367" s="5" t="s">
        <v>1083</v>
      </c>
      <c r="J367" s="5">
        <v>0.62361111111111112</v>
      </c>
      <c r="K367" s="32">
        <f>_xlfn.MAXIFS(ConsumoConcreto[Fim do Bombeamento],ConsumoConcreto[RecebimentoID],RecebimentoConcreto[[#This Row],[RecebimentoID]])</f>
        <v>0.65347222222222223</v>
      </c>
      <c r="L367" s="1" t="s">
        <v>1084</v>
      </c>
      <c r="M367" s="37">
        <v>36892</v>
      </c>
      <c r="N367" s="5" t="s">
        <v>25</v>
      </c>
      <c r="O367" s="9">
        <v>14.5</v>
      </c>
      <c r="P367" s="5" t="s">
        <v>26</v>
      </c>
      <c r="Q367" s="2">
        <v>6</v>
      </c>
      <c r="R367" s="5" t="s">
        <v>27</v>
      </c>
      <c r="S367" s="5" t="s">
        <v>32</v>
      </c>
      <c r="T367" s="39">
        <v>450</v>
      </c>
    </row>
    <row r="368" spans="1:20" ht="20.100000000000001" hidden="1" customHeight="1" x14ac:dyDescent="0.25">
      <c r="A368" s="26" t="str">
        <f>CONCATENATE(RIGHT(LEFT(RecebimentoConcreto[[#This Row],[Obra]],5),4),"RCBC",TEXT(RecebimentoConcreto[[#This Row],[Ordem]],"0000"))</f>
        <v>0184RCBC0767</v>
      </c>
      <c r="B368" s="1">
        <v>767</v>
      </c>
      <c r="C368" s="1" t="s">
        <v>21</v>
      </c>
      <c r="D368" s="35">
        <v>44855</v>
      </c>
      <c r="E368" s="1" t="s">
        <v>1085</v>
      </c>
      <c r="F368" s="2" t="s">
        <v>1086</v>
      </c>
      <c r="G368" s="2">
        <v>5408</v>
      </c>
      <c r="H368" s="2" t="s">
        <v>1087</v>
      </c>
      <c r="I368" s="5" t="s">
        <v>1088</v>
      </c>
      <c r="J368" s="5">
        <v>0.78194444444444444</v>
      </c>
      <c r="K368" s="32">
        <f>_xlfn.MAXIFS(ConsumoConcreto[Fim do Bombeamento],ConsumoConcreto[RecebimentoID],RecebimentoConcreto[[#This Row],[RecebimentoID]])</f>
        <v>0.81041666666666667</v>
      </c>
      <c r="L368" s="1" t="s">
        <v>1089</v>
      </c>
      <c r="M368" s="37">
        <v>36892</v>
      </c>
      <c r="N368" s="5" t="s">
        <v>25</v>
      </c>
      <c r="O368" s="9">
        <v>14.5</v>
      </c>
      <c r="P368" s="5" t="s">
        <v>26</v>
      </c>
      <c r="Q368" s="2">
        <v>6</v>
      </c>
      <c r="R368" s="5" t="s">
        <v>27</v>
      </c>
      <c r="S368" s="5" t="s">
        <v>32</v>
      </c>
      <c r="T368" s="39">
        <v>450</v>
      </c>
    </row>
    <row r="369" spans="1:20" ht="20.100000000000001" hidden="1" customHeight="1" x14ac:dyDescent="0.25">
      <c r="A369" s="26" t="str">
        <f>CONCATENATE(RIGHT(LEFT(RecebimentoConcreto[[#This Row],[Obra]],5),4),"RCBC",TEXT(RecebimentoConcreto[[#This Row],[Ordem]],"0000"))</f>
        <v>0184RCBC0768</v>
      </c>
      <c r="B369" s="1">
        <v>768</v>
      </c>
      <c r="C369" s="1" t="s">
        <v>21</v>
      </c>
      <c r="D369" s="35">
        <v>44856</v>
      </c>
      <c r="E369" s="1" t="s">
        <v>1090</v>
      </c>
      <c r="F369" s="2" t="s">
        <v>1091</v>
      </c>
      <c r="G369" s="2">
        <v>5408</v>
      </c>
      <c r="H369" s="2" t="s">
        <v>1092</v>
      </c>
      <c r="I369" s="5" t="s">
        <v>1093</v>
      </c>
      <c r="J369" s="5">
        <v>0.59236111111111112</v>
      </c>
      <c r="K369" s="32">
        <f>_xlfn.MAXIFS(ConsumoConcreto[Fim do Bombeamento],ConsumoConcreto[RecebimentoID],RecebimentoConcreto[[#This Row],[RecebimentoID]])</f>
        <v>0.64444444444444449</v>
      </c>
      <c r="L369" s="1" t="s">
        <v>1094</v>
      </c>
      <c r="M369" s="37">
        <v>36892</v>
      </c>
      <c r="N369" s="5" t="s">
        <v>25</v>
      </c>
      <c r="O369" s="9">
        <v>18.5</v>
      </c>
      <c r="P369" s="5" t="s">
        <v>26</v>
      </c>
      <c r="Q369" s="2">
        <v>6</v>
      </c>
      <c r="R369" s="5" t="s">
        <v>27</v>
      </c>
      <c r="S369" s="5" t="s">
        <v>32</v>
      </c>
      <c r="T369" s="39">
        <v>450</v>
      </c>
    </row>
    <row r="370" spans="1:20" ht="20.100000000000001" hidden="1" customHeight="1" x14ac:dyDescent="0.25">
      <c r="A370" s="26" t="str">
        <f>CONCATENATE(RIGHT(LEFT(RecebimentoConcreto[[#This Row],[Obra]],5),4),"RCBC",TEXT(RecebimentoConcreto[[#This Row],[Ordem]],"0000"))</f>
        <v>0184RCBC0769</v>
      </c>
      <c r="B370" s="1">
        <v>769</v>
      </c>
      <c r="C370" s="1" t="s">
        <v>21</v>
      </c>
      <c r="D370" s="35">
        <v>44858</v>
      </c>
      <c r="E370" s="1" t="s">
        <v>1095</v>
      </c>
      <c r="F370" s="2" t="s">
        <v>1096</v>
      </c>
      <c r="G370" s="2">
        <v>5408</v>
      </c>
      <c r="H370" s="2" t="s">
        <v>1097</v>
      </c>
      <c r="I370" s="5" t="s">
        <v>1098</v>
      </c>
      <c r="J370" s="5">
        <v>0.84375</v>
      </c>
      <c r="K370" s="32">
        <f>_xlfn.MAXIFS(ConsumoConcreto[Fim do Bombeamento],ConsumoConcreto[RecebimentoID],RecebimentoConcreto[[#This Row],[RecebimentoID]])</f>
        <v>0.9</v>
      </c>
      <c r="L370" s="1" t="s">
        <v>676</v>
      </c>
      <c r="M370" s="37">
        <v>36892</v>
      </c>
      <c r="N370" s="5" t="s">
        <v>25</v>
      </c>
      <c r="O370" s="9">
        <v>14.5</v>
      </c>
      <c r="P370" s="5" t="s">
        <v>26</v>
      </c>
      <c r="Q370" s="2">
        <v>6</v>
      </c>
      <c r="R370" s="5" t="s">
        <v>27</v>
      </c>
      <c r="S370" s="5" t="s">
        <v>32</v>
      </c>
      <c r="T370" s="39">
        <v>450</v>
      </c>
    </row>
    <row r="371" spans="1:20" ht="20.100000000000001" hidden="1" customHeight="1" x14ac:dyDescent="0.25">
      <c r="A371" s="26" t="str">
        <f>CONCATENATE(RIGHT(LEFT(RecebimentoConcreto[[#This Row],[Obra]],5),4),"RCBC",TEXT(RecebimentoConcreto[[#This Row],[Ordem]],"0000"))</f>
        <v>0184RCBC0770</v>
      </c>
      <c r="B371" s="1">
        <v>770</v>
      </c>
      <c r="C371" s="1" t="s">
        <v>21</v>
      </c>
      <c r="D371" s="35">
        <v>44858</v>
      </c>
      <c r="E371" s="1" t="s">
        <v>1099</v>
      </c>
      <c r="F371" s="2" t="s">
        <v>1100</v>
      </c>
      <c r="G371" s="2">
        <v>5408</v>
      </c>
      <c r="H371" s="2" t="s">
        <v>1101</v>
      </c>
      <c r="I371" s="5" t="s">
        <v>1102</v>
      </c>
      <c r="J371" s="5">
        <v>0.90833333333333333</v>
      </c>
      <c r="K371" s="32">
        <f>_xlfn.MAXIFS(ConsumoConcreto[Fim do Bombeamento],ConsumoConcreto[RecebimentoID],RecebimentoConcreto[[#This Row],[RecebimentoID]])</f>
        <v>0.93958333333333333</v>
      </c>
      <c r="L371" s="1" t="s">
        <v>1103</v>
      </c>
      <c r="M371" s="37">
        <v>36892</v>
      </c>
      <c r="N371" s="5" t="s">
        <v>25</v>
      </c>
      <c r="O371" s="9">
        <v>18</v>
      </c>
      <c r="P371" s="5" t="s">
        <v>26</v>
      </c>
      <c r="Q371" s="2">
        <v>6</v>
      </c>
      <c r="R371" s="5" t="s">
        <v>27</v>
      </c>
      <c r="S371" s="5" t="s">
        <v>32</v>
      </c>
      <c r="T371" s="39">
        <v>450</v>
      </c>
    </row>
    <row r="372" spans="1:20" ht="20.100000000000001" hidden="1" customHeight="1" x14ac:dyDescent="0.25">
      <c r="A372" s="26" t="str">
        <f>CONCATENATE(RIGHT(LEFT(RecebimentoConcreto[[#This Row],[Obra]],5),4),"RCBC",TEXT(RecebimentoConcreto[[#This Row],[Ordem]],"0000"))</f>
        <v>0184RCBC0771</v>
      </c>
      <c r="B372" s="1">
        <v>771</v>
      </c>
      <c r="C372" s="1" t="s">
        <v>21</v>
      </c>
      <c r="D372" s="35">
        <v>44860</v>
      </c>
      <c r="E372" s="1" t="s">
        <v>920</v>
      </c>
      <c r="F372" s="2" t="s">
        <v>1104</v>
      </c>
      <c r="G372" s="2">
        <v>5408</v>
      </c>
      <c r="H372" s="2" t="s">
        <v>1105</v>
      </c>
      <c r="I372" s="5" t="s">
        <v>1106</v>
      </c>
      <c r="J372" s="5">
        <v>0.85138888888888886</v>
      </c>
      <c r="K372" s="32">
        <f>_xlfn.MAXIFS(ConsumoConcreto[Fim do Bombeamento],ConsumoConcreto[RecebimentoID],RecebimentoConcreto[[#This Row],[RecebimentoID]])</f>
        <v>0.90277777777777779</v>
      </c>
      <c r="L372" s="1" t="s">
        <v>327</v>
      </c>
      <c r="M372" s="37">
        <v>36892</v>
      </c>
      <c r="N372" s="5" t="s">
        <v>25</v>
      </c>
      <c r="O372" s="9">
        <v>14.5</v>
      </c>
      <c r="P372" s="5" t="s">
        <v>26</v>
      </c>
      <c r="Q372" s="2">
        <v>6</v>
      </c>
      <c r="R372" s="5" t="s">
        <v>27</v>
      </c>
      <c r="S372" s="5" t="s">
        <v>32</v>
      </c>
      <c r="T372" s="39">
        <v>480</v>
      </c>
    </row>
    <row r="373" spans="1:20" ht="20.100000000000001" hidden="1" customHeight="1" x14ac:dyDescent="0.25">
      <c r="A373" s="26" t="str">
        <f>CONCATENATE(RIGHT(LEFT(RecebimentoConcreto[[#This Row],[Obra]],5),4),"RCBC",TEXT(RecebimentoConcreto[[#This Row],[Ordem]],"0000"))</f>
        <v>0184RCBC0772</v>
      </c>
      <c r="B373" s="1">
        <v>772</v>
      </c>
      <c r="C373" s="1" t="s">
        <v>21</v>
      </c>
      <c r="D373" s="35">
        <v>44861</v>
      </c>
      <c r="E373" s="1" t="s">
        <v>1107</v>
      </c>
      <c r="F373" s="2" t="s">
        <v>1108</v>
      </c>
      <c r="G373" s="2">
        <v>5408</v>
      </c>
      <c r="H373" s="2" t="s">
        <v>1109</v>
      </c>
      <c r="I373" s="5" t="s">
        <v>1110</v>
      </c>
      <c r="J373" s="5">
        <v>0.80902777777777779</v>
      </c>
      <c r="K373" s="32">
        <f>_xlfn.MAXIFS(ConsumoConcreto[Fim do Bombeamento],ConsumoConcreto[RecebimentoID],RecebimentoConcreto[[#This Row],[RecebimentoID]])</f>
        <v>0.86805555555555547</v>
      </c>
      <c r="L373" s="1" t="s">
        <v>1111</v>
      </c>
      <c r="M373" s="37">
        <v>36892</v>
      </c>
      <c r="N373" s="5" t="s">
        <v>25</v>
      </c>
      <c r="O373" s="9">
        <v>18</v>
      </c>
      <c r="P373" s="5" t="s">
        <v>26</v>
      </c>
      <c r="Q373" s="2">
        <v>7</v>
      </c>
      <c r="R373" s="5" t="s">
        <v>27</v>
      </c>
      <c r="S373" s="5" t="s">
        <v>32</v>
      </c>
      <c r="T373" s="39">
        <v>480</v>
      </c>
    </row>
    <row r="374" spans="1:20" ht="20.100000000000001" hidden="1" customHeight="1" x14ac:dyDescent="0.25">
      <c r="A374" s="26" t="str">
        <f>CONCATENATE(RIGHT(LEFT(RecebimentoConcreto[[#This Row],[Obra]],5),4),"RCBC",TEXT(RecebimentoConcreto[[#This Row],[Ordem]],"0000"))</f>
        <v>0184RCBC0773</v>
      </c>
      <c r="B374" s="1">
        <v>773</v>
      </c>
      <c r="C374" s="1" t="s">
        <v>21</v>
      </c>
      <c r="D374" s="35">
        <v>44861</v>
      </c>
      <c r="E374" s="1" t="s">
        <v>932</v>
      </c>
      <c r="F374" s="2" t="s">
        <v>1112</v>
      </c>
      <c r="G374" s="2">
        <v>5408</v>
      </c>
      <c r="H374" s="2" t="s">
        <v>1113</v>
      </c>
      <c r="I374" s="5" t="s">
        <v>1114</v>
      </c>
      <c r="J374" s="5">
        <v>0.7368055555555556</v>
      </c>
      <c r="K374" s="32">
        <f>_xlfn.MAXIFS(ConsumoConcreto[Fim do Bombeamento],ConsumoConcreto[RecebimentoID],RecebimentoConcreto[[#This Row],[RecebimentoID]])</f>
        <v>0.78680555555555554</v>
      </c>
      <c r="L374" s="1" t="s">
        <v>1115</v>
      </c>
      <c r="M374" s="37">
        <v>36892</v>
      </c>
      <c r="N374" s="5" t="s">
        <v>25</v>
      </c>
      <c r="O374" s="9">
        <v>14.5</v>
      </c>
      <c r="P374" s="5" t="s">
        <v>26</v>
      </c>
      <c r="Q374" s="2">
        <v>7</v>
      </c>
      <c r="R374" s="5" t="s">
        <v>27</v>
      </c>
      <c r="S374" s="5" t="s">
        <v>32</v>
      </c>
      <c r="T374" s="39">
        <v>480</v>
      </c>
    </row>
    <row r="375" spans="1:20" ht="20.100000000000001" hidden="1" customHeight="1" x14ac:dyDescent="0.25">
      <c r="A375" s="26" t="str">
        <f>CONCATENATE(RIGHT(LEFT(RecebimentoConcreto[[#This Row],[Obra]],5),4),"RCBC",TEXT(RecebimentoConcreto[[#This Row],[Ordem]],"0000"))</f>
        <v>0184RCBC0774</v>
      </c>
      <c r="B375" s="1">
        <v>774</v>
      </c>
      <c r="C375" s="1" t="s">
        <v>21</v>
      </c>
      <c r="D375" s="35">
        <v>44862</v>
      </c>
      <c r="E375" s="1" t="s">
        <v>443</v>
      </c>
      <c r="F375" s="2" t="s">
        <v>1116</v>
      </c>
      <c r="G375" s="2">
        <v>5408</v>
      </c>
      <c r="H375" s="2" t="s">
        <v>1117</v>
      </c>
      <c r="I375" s="5" t="s">
        <v>1118</v>
      </c>
      <c r="J375" s="5">
        <v>0.8125</v>
      </c>
      <c r="K375" s="32">
        <f>_xlfn.MAXIFS(ConsumoConcreto[Fim do Bombeamento],ConsumoConcreto[RecebimentoID],RecebimentoConcreto[[#This Row],[RecebimentoID]])</f>
        <v>0.84722222222222221</v>
      </c>
      <c r="L375" s="1" t="s">
        <v>726</v>
      </c>
      <c r="M375" s="37">
        <v>36892</v>
      </c>
      <c r="N375" s="5" t="s">
        <v>25</v>
      </c>
      <c r="O375" s="9">
        <v>14.5</v>
      </c>
      <c r="P375" s="5" t="s">
        <v>26</v>
      </c>
      <c r="Q375" s="2">
        <v>7</v>
      </c>
      <c r="R375" s="5" t="s">
        <v>27</v>
      </c>
      <c r="S375" s="5" t="s">
        <v>32</v>
      </c>
      <c r="T375" s="39">
        <v>480</v>
      </c>
    </row>
    <row r="376" spans="1:20" ht="20.100000000000001" hidden="1" customHeight="1" x14ac:dyDescent="0.25">
      <c r="A376" s="26" t="str">
        <f>CONCATENATE(RIGHT(LEFT(RecebimentoConcreto[[#This Row],[Obra]],5),4),"RCBC",TEXT(RecebimentoConcreto[[#This Row],[Ordem]],"0000"))</f>
        <v>0184RCBC0775</v>
      </c>
      <c r="B376" s="1">
        <v>775</v>
      </c>
      <c r="C376" s="1" t="s">
        <v>21</v>
      </c>
      <c r="D376" s="35">
        <v>44868</v>
      </c>
      <c r="E376" s="1" t="s">
        <v>1119</v>
      </c>
      <c r="F376" s="2" t="s">
        <v>1120</v>
      </c>
      <c r="G376" s="2">
        <v>5408</v>
      </c>
      <c r="H376" s="2" t="s">
        <v>1121</v>
      </c>
      <c r="I376" s="5" t="s">
        <v>1122</v>
      </c>
      <c r="J376" s="5">
        <v>0.70624999999999993</v>
      </c>
      <c r="K376" s="32">
        <f>_xlfn.MAXIFS(ConsumoConcreto[Fim do Bombeamento],ConsumoConcreto[RecebimentoID],RecebimentoConcreto[[#This Row],[RecebimentoID]])</f>
        <v>0.73819444444444438</v>
      </c>
      <c r="L376" s="1" t="s">
        <v>1123</v>
      </c>
      <c r="M376" s="37">
        <v>36892</v>
      </c>
      <c r="N376" s="5" t="s">
        <v>25</v>
      </c>
      <c r="O376" s="9">
        <v>18.5</v>
      </c>
      <c r="P376" s="5" t="s">
        <v>26</v>
      </c>
      <c r="Q376" s="2">
        <v>7</v>
      </c>
      <c r="R376" s="5" t="s">
        <v>27</v>
      </c>
      <c r="S376" s="5" t="s">
        <v>32</v>
      </c>
      <c r="T376" s="39">
        <v>480</v>
      </c>
    </row>
    <row r="377" spans="1:20" ht="20.100000000000001" hidden="1" customHeight="1" x14ac:dyDescent="0.25">
      <c r="A377" s="26" t="str">
        <f>CONCATENATE(RIGHT(LEFT(RecebimentoConcreto[[#This Row],[Obra]],5),4),"RCBC",TEXT(RecebimentoConcreto[[#This Row],[Ordem]],"0000"))</f>
        <v>0184RCBC0787</v>
      </c>
      <c r="B377" s="1">
        <v>787</v>
      </c>
      <c r="C377" s="1" t="s">
        <v>21</v>
      </c>
      <c r="D377" s="35">
        <v>44974</v>
      </c>
      <c r="E377" s="1" t="s">
        <v>1124</v>
      </c>
      <c r="F377" s="2" t="s">
        <v>1125</v>
      </c>
      <c r="G377" s="2">
        <v>58691</v>
      </c>
      <c r="H377" s="2" t="s">
        <v>1126</v>
      </c>
      <c r="I377" s="5" t="s">
        <v>1127</v>
      </c>
      <c r="J377" s="5">
        <v>0.74444444444444446</v>
      </c>
      <c r="K377" s="32">
        <f>_xlfn.MAXIFS(ConsumoConcreto[Fim do Bombeamento],ConsumoConcreto[RecebimentoID],RecebimentoConcreto[[#This Row],[RecebimentoID]])</f>
        <v>0.78472222222222221</v>
      </c>
      <c r="L377" s="1" t="s">
        <v>1128</v>
      </c>
      <c r="M377" s="37">
        <v>36892</v>
      </c>
      <c r="N377" s="5" t="s">
        <v>25</v>
      </c>
      <c r="O377" s="9">
        <v>14.5</v>
      </c>
      <c r="P377" s="5" t="s">
        <v>26</v>
      </c>
      <c r="Q377" s="2"/>
      <c r="R377" s="5" t="s">
        <v>27</v>
      </c>
      <c r="S377" s="5" t="s">
        <v>500</v>
      </c>
      <c r="T377" s="39">
        <v>520</v>
      </c>
    </row>
    <row r="378" spans="1:20" ht="20.100000000000001" hidden="1" customHeight="1" x14ac:dyDescent="0.25">
      <c r="A378" s="26" t="str">
        <f>CONCATENATE(RIGHT(LEFT(RecebimentoConcreto[[#This Row],[Obra]],5),4),"RCBC",TEXT(RecebimentoConcreto[[#This Row],[Ordem]],"0000"))</f>
        <v>0184RCBC0788</v>
      </c>
      <c r="B378" s="1">
        <v>788</v>
      </c>
      <c r="C378" s="1" t="s">
        <v>21</v>
      </c>
      <c r="D378" s="35">
        <v>44981</v>
      </c>
      <c r="E378" s="1" t="s">
        <v>653</v>
      </c>
      <c r="F378" s="2" t="s">
        <v>1129</v>
      </c>
      <c r="G378" s="2">
        <v>58691</v>
      </c>
      <c r="H378" s="2" t="s">
        <v>1130</v>
      </c>
      <c r="I378" s="5" t="s">
        <v>1131</v>
      </c>
      <c r="J378" s="5">
        <v>0.76458333333333339</v>
      </c>
      <c r="K378" s="32">
        <f>_xlfn.MAXIFS(ConsumoConcreto[Fim do Bombeamento],ConsumoConcreto[RecebimentoID],RecebimentoConcreto[[#This Row],[RecebimentoID]])</f>
        <v>0.77777777777777779</v>
      </c>
      <c r="L378" s="1" t="s">
        <v>1115</v>
      </c>
      <c r="M378" s="37">
        <v>36892</v>
      </c>
      <c r="N378" s="5" t="s">
        <v>25</v>
      </c>
      <c r="O378" s="9">
        <v>14.5</v>
      </c>
      <c r="P378" s="5" t="s">
        <v>26</v>
      </c>
      <c r="Q378" s="2"/>
      <c r="R378" s="5" t="s">
        <v>27</v>
      </c>
      <c r="S378" s="5" t="s">
        <v>500</v>
      </c>
      <c r="T378" s="39">
        <v>520</v>
      </c>
    </row>
    <row r="379" spans="1:20" ht="20.100000000000001" hidden="1" customHeight="1" x14ac:dyDescent="0.25">
      <c r="A379" s="26" t="str">
        <f>CONCATENATE(RIGHT(LEFT(RecebimentoConcreto[[#This Row],[Obra]],5),4),"RCBC",TEXT(RecebimentoConcreto[[#This Row],[Ordem]],"0000"))</f>
        <v>0184RCBC0789</v>
      </c>
      <c r="B379" s="1">
        <v>789</v>
      </c>
      <c r="C379" s="1" t="s">
        <v>21</v>
      </c>
      <c r="D379" s="35">
        <v>44982</v>
      </c>
      <c r="E379" s="1" t="s">
        <v>1132</v>
      </c>
      <c r="F379" s="2" t="s">
        <v>1133</v>
      </c>
      <c r="G379" s="2">
        <v>58691</v>
      </c>
      <c r="H379" s="2" t="s">
        <v>1134</v>
      </c>
      <c r="I379" s="5" t="s">
        <v>1135</v>
      </c>
      <c r="J379" s="5">
        <v>0.68819444444444444</v>
      </c>
      <c r="K379" s="32">
        <f>_xlfn.MAXIFS(ConsumoConcreto[Fim do Bombeamento],ConsumoConcreto[RecebimentoID],RecebimentoConcreto[[#This Row],[RecebimentoID]])</f>
        <v>0.72152777777777777</v>
      </c>
      <c r="L379" s="1" t="s">
        <v>1136</v>
      </c>
      <c r="M379" s="37">
        <v>36892</v>
      </c>
      <c r="N379" s="5" t="s">
        <v>25</v>
      </c>
      <c r="O379" s="9">
        <v>14.5</v>
      </c>
      <c r="P379" s="5" t="s">
        <v>26</v>
      </c>
      <c r="Q379" s="2"/>
      <c r="R379" s="5" t="s">
        <v>27</v>
      </c>
      <c r="S379" s="5" t="s">
        <v>500</v>
      </c>
      <c r="T379" s="39">
        <v>520</v>
      </c>
    </row>
    <row r="380" spans="1:20" ht="20.100000000000001" hidden="1" customHeight="1" x14ac:dyDescent="0.25">
      <c r="A380" s="26" t="str">
        <f>CONCATENATE(RIGHT(LEFT(RecebimentoConcreto[[#This Row],[Obra]],5),4),"RCBC",TEXT(RecebimentoConcreto[[#This Row],[Ordem]],"0000"))</f>
        <v>0184RCBC0790</v>
      </c>
      <c r="B380" s="1">
        <v>790</v>
      </c>
      <c r="C380" s="1" t="s">
        <v>21</v>
      </c>
      <c r="D380" s="35">
        <v>44984</v>
      </c>
      <c r="E380" s="1" t="s">
        <v>1137</v>
      </c>
      <c r="F380" s="2" t="s">
        <v>1138</v>
      </c>
      <c r="G380" s="2">
        <v>58691</v>
      </c>
      <c r="H380" s="2" t="s">
        <v>1139</v>
      </c>
      <c r="I380" s="5" t="s">
        <v>1140</v>
      </c>
      <c r="J380" s="5">
        <v>0.74930555555555556</v>
      </c>
      <c r="K380" s="32">
        <f>_xlfn.MAXIFS(ConsumoConcreto[Fim do Bombeamento],ConsumoConcreto[RecebimentoID],RecebimentoConcreto[[#This Row],[RecebimentoID]])</f>
        <v>0.78333333333333333</v>
      </c>
      <c r="L380" s="1" t="s">
        <v>1141</v>
      </c>
      <c r="M380" s="37">
        <v>36892</v>
      </c>
      <c r="N380" s="5" t="s">
        <v>25</v>
      </c>
      <c r="O380" s="9">
        <v>14.5</v>
      </c>
      <c r="P380" s="5" t="s">
        <v>26</v>
      </c>
      <c r="Q380" s="2"/>
      <c r="R380" s="5" t="s">
        <v>27</v>
      </c>
      <c r="S380" s="5" t="s">
        <v>500</v>
      </c>
      <c r="T380" s="39">
        <v>520</v>
      </c>
    </row>
    <row r="381" spans="1:20" ht="20.100000000000001" hidden="1" customHeight="1" x14ac:dyDescent="0.25">
      <c r="A381" s="26" t="str">
        <f>CONCATENATE(RIGHT(LEFT(RecebimentoConcreto[[#This Row],[Obra]],5),4),"RCBC",TEXT(RecebimentoConcreto[[#This Row],[Ordem]],"0000"))</f>
        <v>0184RCBC0791</v>
      </c>
      <c r="B381" s="1">
        <v>791</v>
      </c>
      <c r="C381" s="1" t="s">
        <v>21</v>
      </c>
      <c r="D381" s="35">
        <v>44985</v>
      </c>
      <c r="E381" s="1" t="s">
        <v>1142</v>
      </c>
      <c r="F381" s="2" t="s">
        <v>1143</v>
      </c>
      <c r="G381" s="2">
        <v>58691</v>
      </c>
      <c r="H381" s="2" t="s">
        <v>1144</v>
      </c>
      <c r="I381" s="5" t="s">
        <v>1145</v>
      </c>
      <c r="J381" s="5">
        <v>0.69166666666666676</v>
      </c>
      <c r="K381" s="32">
        <f>_xlfn.MAXIFS(ConsumoConcreto[Fim do Bombeamento],ConsumoConcreto[RecebimentoID],RecebimentoConcreto[[#This Row],[RecebimentoID]])</f>
        <v>0.72361111111111109</v>
      </c>
      <c r="L381" s="1" t="s">
        <v>703</v>
      </c>
      <c r="M381" s="37">
        <v>36892</v>
      </c>
      <c r="N381" s="5" t="s">
        <v>25</v>
      </c>
      <c r="O381" s="9">
        <v>14.5</v>
      </c>
      <c r="P381" s="5" t="s">
        <v>26</v>
      </c>
      <c r="Q381" s="2">
        <v>8</v>
      </c>
      <c r="R381" s="5" t="s">
        <v>27</v>
      </c>
      <c r="S381" s="5" t="s">
        <v>500</v>
      </c>
      <c r="T381" s="39">
        <v>520</v>
      </c>
    </row>
    <row r="382" spans="1:20" ht="20.100000000000001" hidden="1" customHeight="1" x14ac:dyDescent="0.25">
      <c r="A382" s="26" t="str">
        <f>CONCATENATE(RIGHT(LEFT(RecebimentoConcreto[[#This Row],[Obra]],5),4),"RCBC",TEXT(RecebimentoConcreto[[#This Row],[Ordem]],"0000"))</f>
        <v>0184RCBC0792</v>
      </c>
      <c r="B382" s="1">
        <v>792</v>
      </c>
      <c r="C382" s="1" t="s">
        <v>21</v>
      </c>
      <c r="D382" s="35">
        <v>44985</v>
      </c>
      <c r="E382" s="1" t="s">
        <v>1146</v>
      </c>
      <c r="F382" s="2" t="s">
        <v>1147</v>
      </c>
      <c r="G382" s="2">
        <v>58691</v>
      </c>
      <c r="H382" s="2" t="s">
        <v>1148</v>
      </c>
      <c r="I382" s="5" t="s">
        <v>1149</v>
      </c>
      <c r="J382" s="5">
        <v>0.63958333333333328</v>
      </c>
      <c r="K382" s="32">
        <f>_xlfn.MAXIFS(ConsumoConcreto[Fim do Bombeamento],ConsumoConcreto[RecebimentoID],RecebimentoConcreto[[#This Row],[RecebimentoID]])</f>
        <v>0.65902777777777777</v>
      </c>
      <c r="L382" s="1" t="s">
        <v>608</v>
      </c>
      <c r="M382" s="37">
        <v>36892</v>
      </c>
      <c r="N382" s="5" t="s">
        <v>25</v>
      </c>
      <c r="O382" s="9">
        <v>14.5</v>
      </c>
      <c r="P382" s="5" t="s">
        <v>26</v>
      </c>
      <c r="Q382" s="2">
        <v>8</v>
      </c>
      <c r="R382" s="5" t="s">
        <v>27</v>
      </c>
      <c r="S382" s="5" t="s">
        <v>500</v>
      </c>
      <c r="T382" s="39">
        <v>520</v>
      </c>
    </row>
    <row r="383" spans="1:20" ht="20.100000000000001" hidden="1" customHeight="1" x14ac:dyDescent="0.25">
      <c r="A383" s="26" t="str">
        <f>CONCATENATE(RIGHT(LEFT(RecebimentoConcreto[[#This Row],[Obra]],5),4),"RCBC",TEXT(RecebimentoConcreto[[#This Row],[Ordem]],"0000"))</f>
        <v>0184RCBC0793</v>
      </c>
      <c r="B383" s="1">
        <v>793</v>
      </c>
      <c r="C383" s="1" t="s">
        <v>21</v>
      </c>
      <c r="D383" s="35">
        <v>44986</v>
      </c>
      <c r="E383" s="1" t="s">
        <v>1150</v>
      </c>
      <c r="F383" s="2" t="s">
        <v>1151</v>
      </c>
      <c r="G383" s="2">
        <v>58691</v>
      </c>
      <c r="H383" s="2" t="s">
        <v>1152</v>
      </c>
      <c r="I383" s="5" t="s">
        <v>1153</v>
      </c>
      <c r="J383" s="5">
        <v>0.74583333333333324</v>
      </c>
      <c r="K383" s="32">
        <f>_xlfn.MAXIFS(ConsumoConcreto[Fim do Bombeamento],ConsumoConcreto[RecebimentoID],RecebimentoConcreto[[#This Row],[RecebimentoID]])</f>
        <v>0.77777777777777779</v>
      </c>
      <c r="L383" s="1" t="s">
        <v>589</v>
      </c>
      <c r="M383" s="37">
        <v>36892</v>
      </c>
      <c r="N383" s="5" t="s">
        <v>25</v>
      </c>
      <c r="O383" s="9">
        <v>14.5</v>
      </c>
      <c r="P383" s="5" t="s">
        <v>26</v>
      </c>
      <c r="Q383" s="2">
        <v>9</v>
      </c>
      <c r="R383" s="5" t="s">
        <v>27</v>
      </c>
      <c r="S383" s="5" t="s">
        <v>500</v>
      </c>
      <c r="T383" s="39">
        <v>520</v>
      </c>
    </row>
    <row r="384" spans="1:20" ht="20.100000000000001" hidden="1" customHeight="1" x14ac:dyDescent="0.25">
      <c r="A384" s="26" t="str">
        <f>CONCATENATE(RIGHT(LEFT(RecebimentoConcreto[[#This Row],[Obra]],5),4),"RCBC",TEXT(RecebimentoConcreto[[#This Row],[Ordem]],"0000"))</f>
        <v>0184RCBC0794</v>
      </c>
      <c r="B384" s="1">
        <v>794</v>
      </c>
      <c r="C384" s="1" t="s">
        <v>21</v>
      </c>
      <c r="D384" s="35">
        <v>44987</v>
      </c>
      <c r="E384" s="1" t="s">
        <v>1154</v>
      </c>
      <c r="F384" s="2" t="s">
        <v>1155</v>
      </c>
      <c r="G384" s="2">
        <v>58691</v>
      </c>
      <c r="H384" s="2" t="s">
        <v>1156</v>
      </c>
      <c r="I384" s="5" t="s">
        <v>1157</v>
      </c>
      <c r="J384" s="5">
        <v>0.69861111111111107</v>
      </c>
      <c r="K384" s="32">
        <f>_xlfn.MAXIFS(ConsumoConcreto[Fim do Bombeamento],ConsumoConcreto[RecebimentoID],RecebimentoConcreto[[#This Row],[RecebimentoID]])</f>
        <v>0.72916666666666663</v>
      </c>
      <c r="L384" s="1" t="s">
        <v>555</v>
      </c>
      <c r="M384" s="37">
        <v>36892</v>
      </c>
      <c r="N384" s="5" t="s">
        <v>25</v>
      </c>
      <c r="O384" s="9">
        <v>14.5</v>
      </c>
      <c r="P384" s="5" t="s">
        <v>26</v>
      </c>
      <c r="Q384" s="2">
        <v>9</v>
      </c>
      <c r="R384" s="5" t="s">
        <v>27</v>
      </c>
      <c r="S384" s="5" t="s">
        <v>500</v>
      </c>
      <c r="T384" s="39">
        <v>520</v>
      </c>
    </row>
    <row r="385" spans="1:20" ht="20.100000000000001" hidden="1" customHeight="1" x14ac:dyDescent="0.25">
      <c r="A385" s="26" t="str">
        <f>CONCATENATE(RIGHT(LEFT(RecebimentoConcreto[[#This Row],[Obra]],5),4),"RCBC",TEXT(RecebimentoConcreto[[#This Row],[Ordem]],"0000"))</f>
        <v>0184RCBC0798</v>
      </c>
      <c r="B385" s="1">
        <v>798</v>
      </c>
      <c r="C385" s="1" t="s">
        <v>21</v>
      </c>
      <c r="D385" s="35"/>
      <c r="G385" s="2">
        <v>58691</v>
      </c>
      <c r="K385" s="32">
        <f>_xlfn.MAXIFS(ConsumoConcreto[Fim do Bombeamento],ConsumoConcreto[RecebimentoID],RecebimentoConcreto[[#This Row],[RecebimentoID]])</f>
        <v>0</v>
      </c>
      <c r="M385" s="37">
        <v>36892</v>
      </c>
      <c r="N385" s="5" t="s">
        <v>25</v>
      </c>
      <c r="O385" s="9"/>
      <c r="P385" s="5" t="s">
        <v>26</v>
      </c>
      <c r="Q385" s="2"/>
      <c r="R385" s="5" t="s">
        <v>27</v>
      </c>
      <c r="S385" s="5" t="s">
        <v>500</v>
      </c>
      <c r="T385" s="39">
        <v>520</v>
      </c>
    </row>
    <row r="386" spans="1:20" ht="20.100000000000001" hidden="1" customHeight="1" x14ac:dyDescent="0.25">
      <c r="A386" s="26" t="str">
        <f>CONCATENATE(RIGHT(LEFT(RecebimentoConcreto[[#This Row],[Obra]],5),4),"RCBC",TEXT(RecebimentoConcreto[[#This Row],[Ordem]],"0000"))</f>
        <v>0184RCBC0799</v>
      </c>
      <c r="B386" s="1">
        <v>799</v>
      </c>
      <c r="C386" s="1" t="s">
        <v>21</v>
      </c>
      <c r="D386" s="35"/>
      <c r="G386" s="2">
        <v>58691</v>
      </c>
      <c r="K386" s="32">
        <f>_xlfn.MAXIFS(ConsumoConcreto[Fim do Bombeamento],ConsumoConcreto[RecebimentoID],RecebimentoConcreto[[#This Row],[RecebimentoID]])</f>
        <v>0</v>
      </c>
      <c r="M386" s="37">
        <v>36892</v>
      </c>
      <c r="N386" s="5" t="s">
        <v>25</v>
      </c>
      <c r="O386" s="9"/>
      <c r="P386" s="5" t="s">
        <v>26</v>
      </c>
      <c r="Q386" s="2"/>
      <c r="R386" s="5" t="s">
        <v>27</v>
      </c>
      <c r="S386" s="5" t="s">
        <v>500</v>
      </c>
      <c r="T386" s="39">
        <v>520</v>
      </c>
    </row>
    <row r="387" spans="1:20" ht="20.100000000000001" hidden="1" customHeight="1" x14ac:dyDescent="0.25">
      <c r="A387" s="26" t="str">
        <f>CONCATENATE(RIGHT(LEFT(RecebimentoConcreto[[#This Row],[Obra]],5),4),"RCBC",TEXT(RecebimentoConcreto[[#This Row],[Ordem]],"0000"))</f>
        <v>0184RCBC0800</v>
      </c>
      <c r="B387" s="1">
        <v>800</v>
      </c>
      <c r="C387" s="1" t="s">
        <v>21</v>
      </c>
      <c r="D387" s="35"/>
      <c r="G387" s="2">
        <v>58691</v>
      </c>
      <c r="K387" s="32">
        <f>_xlfn.MAXIFS(ConsumoConcreto[Fim do Bombeamento],ConsumoConcreto[RecebimentoID],RecebimentoConcreto[[#This Row],[RecebimentoID]])</f>
        <v>0</v>
      </c>
      <c r="M387" s="37">
        <v>36892</v>
      </c>
      <c r="N387" s="5" t="s">
        <v>25</v>
      </c>
      <c r="O387" s="9"/>
      <c r="P387" s="5" t="s">
        <v>26</v>
      </c>
      <c r="Q387" s="2"/>
      <c r="R387" s="5" t="s">
        <v>27</v>
      </c>
      <c r="S387" s="5" t="s">
        <v>500</v>
      </c>
      <c r="T387" s="39">
        <v>520</v>
      </c>
    </row>
    <row r="388" spans="1:20" ht="20.100000000000001" hidden="1" customHeight="1" x14ac:dyDescent="0.25">
      <c r="A388" s="26" t="str">
        <f>CONCATENATE(RIGHT(LEFT(RecebimentoConcreto[[#This Row],[Obra]],5),4),"RCBC",TEXT(RecebimentoConcreto[[#This Row],[Ordem]],"0000"))</f>
        <v>0184RCBC0801</v>
      </c>
      <c r="B388" s="1">
        <v>801</v>
      </c>
      <c r="C388" s="1" t="s">
        <v>21</v>
      </c>
      <c r="D388" s="35"/>
      <c r="G388" s="2">
        <v>58691</v>
      </c>
      <c r="K388" s="32">
        <f>_xlfn.MAXIFS(ConsumoConcreto[Fim do Bombeamento],ConsumoConcreto[RecebimentoID],RecebimentoConcreto[[#This Row],[RecebimentoID]])</f>
        <v>0</v>
      </c>
      <c r="M388" s="37">
        <v>36892</v>
      </c>
      <c r="N388" s="5" t="s">
        <v>25</v>
      </c>
      <c r="O388" s="9"/>
      <c r="P388" s="5" t="s">
        <v>26</v>
      </c>
      <c r="Q388" s="2"/>
      <c r="R388" s="5" t="s">
        <v>27</v>
      </c>
      <c r="S388" s="5" t="s">
        <v>500</v>
      </c>
      <c r="T388" s="39">
        <v>520</v>
      </c>
    </row>
    <row r="389" spans="1:20" ht="20.100000000000001" hidden="1" customHeight="1" x14ac:dyDescent="0.25">
      <c r="A389" s="26" t="str">
        <f>CONCATENATE(RIGHT(LEFT(RecebimentoConcreto[[#This Row],[Obra]],5),4),"RCBC",TEXT(RecebimentoConcreto[[#This Row],[Ordem]],"0000"))</f>
        <v>0184RCBC0802</v>
      </c>
      <c r="B389" s="1">
        <v>802</v>
      </c>
      <c r="C389" s="1" t="s">
        <v>21</v>
      </c>
      <c r="D389" s="35"/>
      <c r="G389" s="2">
        <v>58691</v>
      </c>
      <c r="K389" s="32">
        <f>_xlfn.MAXIFS(ConsumoConcreto[Fim do Bombeamento],ConsumoConcreto[RecebimentoID],RecebimentoConcreto[[#This Row],[RecebimentoID]])</f>
        <v>0</v>
      </c>
      <c r="M389" s="37">
        <v>36892</v>
      </c>
      <c r="N389" s="5" t="s">
        <v>25</v>
      </c>
      <c r="O389" s="9"/>
      <c r="P389" s="5" t="s">
        <v>26</v>
      </c>
      <c r="Q389" s="2"/>
      <c r="R389" s="5" t="s">
        <v>27</v>
      </c>
      <c r="S389" s="5" t="s">
        <v>500</v>
      </c>
      <c r="T389" s="39">
        <v>520</v>
      </c>
    </row>
    <row r="390" spans="1:20" ht="20.100000000000001" hidden="1" customHeight="1" x14ac:dyDescent="0.25">
      <c r="A390" s="26" t="str">
        <f>CONCATENATE(RIGHT(LEFT(RecebimentoConcreto[[#This Row],[Obra]],5),4),"RCBC",TEXT(RecebimentoConcreto[[#This Row],[Ordem]],"0000"))</f>
        <v>0184RCBC0803</v>
      </c>
      <c r="B390" s="1">
        <v>803</v>
      </c>
      <c r="C390" s="1" t="s">
        <v>21</v>
      </c>
      <c r="D390" s="35"/>
      <c r="G390" s="2">
        <v>58691</v>
      </c>
      <c r="K390" s="32">
        <f>_xlfn.MAXIFS(ConsumoConcreto[Fim do Bombeamento],ConsumoConcreto[RecebimentoID],RecebimentoConcreto[[#This Row],[RecebimentoID]])</f>
        <v>0</v>
      </c>
      <c r="M390" s="37">
        <v>36892</v>
      </c>
      <c r="N390" s="5" t="s">
        <v>25</v>
      </c>
      <c r="O390" s="9"/>
      <c r="P390" s="5" t="s">
        <v>26</v>
      </c>
      <c r="Q390" s="2"/>
      <c r="R390" s="5" t="s">
        <v>27</v>
      </c>
      <c r="S390" s="5" t="s">
        <v>500</v>
      </c>
      <c r="T390" s="39">
        <v>520</v>
      </c>
    </row>
    <row r="391" spans="1:20" ht="20.100000000000001" hidden="1" customHeight="1" x14ac:dyDescent="0.25">
      <c r="A391" s="26" t="str">
        <f>CONCATENATE(RIGHT(LEFT(RecebimentoConcreto[[#This Row],[Obra]],5),4),"RCBC",TEXT(RecebimentoConcreto[[#This Row],[Ordem]],"0000"))</f>
        <v>0184RCBC0832</v>
      </c>
      <c r="B391" s="1">
        <v>832</v>
      </c>
      <c r="C391" s="1" t="s">
        <v>21</v>
      </c>
      <c r="D391" s="35">
        <v>44961</v>
      </c>
      <c r="E391" s="1" t="s">
        <v>1158</v>
      </c>
      <c r="F391" s="2" t="s">
        <v>1159</v>
      </c>
      <c r="G391" s="2">
        <v>58691</v>
      </c>
      <c r="H391" s="2" t="s">
        <v>1160</v>
      </c>
      <c r="I391" s="5" t="s">
        <v>1161</v>
      </c>
      <c r="J391" s="5">
        <v>0.75208333333333333</v>
      </c>
      <c r="K391" s="32">
        <f>_xlfn.MAXIFS(ConsumoConcreto[Fim do Bombeamento],ConsumoConcreto[RecebimentoID],RecebimentoConcreto[[#This Row],[RecebimentoID]])</f>
        <v>0.78888888888888886</v>
      </c>
      <c r="L391" s="1" t="s">
        <v>1162</v>
      </c>
      <c r="M391" s="37">
        <v>36892</v>
      </c>
      <c r="N391" s="5" t="s">
        <v>25</v>
      </c>
      <c r="O391" s="9">
        <v>14</v>
      </c>
      <c r="P391" s="5" t="s">
        <v>26</v>
      </c>
      <c r="Q391" s="2"/>
      <c r="R391" s="5" t="s">
        <v>27</v>
      </c>
      <c r="S391" s="5" t="s">
        <v>500</v>
      </c>
      <c r="T391" s="39">
        <v>520</v>
      </c>
    </row>
    <row r="392" spans="1:20" ht="20.100000000000001" hidden="1" customHeight="1" x14ac:dyDescent="0.25">
      <c r="A392" s="26" t="str">
        <f>CONCATENATE(RIGHT(LEFT(RecebimentoConcreto[[#This Row],[Obra]],5),4),"RCBC",TEXT(RecebimentoConcreto[[#This Row],[Ordem]],"0000"))</f>
        <v>0184RCBC0836</v>
      </c>
      <c r="B392" s="1">
        <v>836</v>
      </c>
      <c r="C392" s="1" t="s">
        <v>21</v>
      </c>
      <c r="D392" s="35">
        <v>44963</v>
      </c>
      <c r="E392" s="1" t="s">
        <v>1163</v>
      </c>
      <c r="F392" s="2" t="s">
        <v>1164</v>
      </c>
      <c r="G392" s="2">
        <v>58691</v>
      </c>
      <c r="H392" s="2" t="s">
        <v>1165</v>
      </c>
      <c r="I392" s="5" t="s">
        <v>1166</v>
      </c>
      <c r="J392" s="5">
        <v>0.71666666666666667</v>
      </c>
      <c r="K392" s="32">
        <f>_xlfn.MAXIFS(ConsumoConcreto[Fim do Bombeamento],ConsumoConcreto[RecebimentoID],RecebimentoConcreto[[#This Row],[RecebimentoID]])</f>
        <v>0.7583333333333333</v>
      </c>
      <c r="L392" s="1" t="s">
        <v>508</v>
      </c>
      <c r="M392" s="37">
        <v>36892</v>
      </c>
      <c r="N392" s="5" t="s">
        <v>25</v>
      </c>
      <c r="O392" s="9">
        <v>14.5</v>
      </c>
      <c r="P392" s="5" t="s">
        <v>26</v>
      </c>
      <c r="Q392" s="2"/>
      <c r="R392" s="5" t="s">
        <v>27</v>
      </c>
      <c r="S392" s="5" t="s">
        <v>500</v>
      </c>
      <c r="T392" s="39">
        <v>520</v>
      </c>
    </row>
    <row r="393" spans="1:20" ht="20.100000000000001" hidden="1" customHeight="1" x14ac:dyDescent="0.25">
      <c r="A393" s="26" t="str">
        <f>CONCATENATE(RIGHT(LEFT(RecebimentoConcreto[[#This Row],[Obra]],5),4),"RCBC",TEXT(RecebimentoConcreto[[#This Row],[Ordem]],"0000"))</f>
        <v>0184RCBC0838</v>
      </c>
      <c r="B393" s="1">
        <v>838</v>
      </c>
      <c r="C393" s="1" t="s">
        <v>21</v>
      </c>
      <c r="D393" s="35">
        <v>44964</v>
      </c>
      <c r="E393" s="1" t="s">
        <v>1167</v>
      </c>
      <c r="F393" s="2" t="s">
        <v>1168</v>
      </c>
      <c r="G393" s="2">
        <v>58691</v>
      </c>
      <c r="H393" s="2" t="s">
        <v>1169</v>
      </c>
      <c r="I393" s="5" t="s">
        <v>1170</v>
      </c>
      <c r="J393" s="5">
        <v>0.67499999999999993</v>
      </c>
      <c r="K393" s="32">
        <f>_xlfn.MAXIFS(ConsumoConcreto[Fim do Bombeamento],ConsumoConcreto[RecebimentoID],RecebimentoConcreto[[#This Row],[RecebimentoID]])</f>
        <v>0.70208333333333339</v>
      </c>
      <c r="L393" s="1" t="s">
        <v>681</v>
      </c>
      <c r="M393" s="37">
        <v>36892</v>
      </c>
      <c r="N393" s="5" t="s">
        <v>25</v>
      </c>
      <c r="O393" s="9">
        <v>14.5</v>
      </c>
      <c r="P393" s="5" t="s">
        <v>26</v>
      </c>
      <c r="Q393" s="2"/>
      <c r="R393" s="5" t="s">
        <v>27</v>
      </c>
      <c r="S393" s="5" t="s">
        <v>500</v>
      </c>
      <c r="T393" s="39">
        <v>520</v>
      </c>
    </row>
    <row r="394" spans="1:20" ht="20.100000000000001" hidden="1" customHeight="1" x14ac:dyDescent="0.25">
      <c r="A394" s="26" t="str">
        <f>CONCATENATE(RIGHT(LEFT(RecebimentoConcreto[[#This Row],[Obra]],5),4),"RCBC",TEXT(RecebimentoConcreto[[#This Row],[Ordem]],"0000"))</f>
        <v>0184RCBC0839</v>
      </c>
      <c r="B394" s="1">
        <v>839</v>
      </c>
      <c r="C394" s="1" t="s">
        <v>21</v>
      </c>
      <c r="D394" s="35">
        <v>44966</v>
      </c>
      <c r="E394" s="1" t="s">
        <v>1171</v>
      </c>
      <c r="F394" s="2" t="s">
        <v>1172</v>
      </c>
      <c r="G394" s="2">
        <v>58691</v>
      </c>
      <c r="H394" s="2" t="s">
        <v>1173</v>
      </c>
      <c r="I394" s="5" t="s">
        <v>1174</v>
      </c>
      <c r="J394" s="5">
        <v>0.77847222222222223</v>
      </c>
      <c r="K394" s="32">
        <f>_xlfn.MAXIFS(ConsumoConcreto[Fim do Bombeamento],ConsumoConcreto[RecebimentoID],RecebimentoConcreto[[#This Row],[RecebimentoID]])</f>
        <v>0.88958333333333339</v>
      </c>
      <c r="L394" s="1" t="s">
        <v>1175</v>
      </c>
      <c r="M394" s="37">
        <v>36892</v>
      </c>
      <c r="N394" s="5" t="s">
        <v>25</v>
      </c>
      <c r="O394" s="9">
        <v>16</v>
      </c>
      <c r="P394" s="5" t="s">
        <v>26</v>
      </c>
      <c r="Q394" s="2"/>
      <c r="R394" s="5" t="s">
        <v>27</v>
      </c>
      <c r="S394" s="5" t="s">
        <v>500</v>
      </c>
      <c r="T394" s="39">
        <v>520</v>
      </c>
    </row>
    <row r="395" spans="1:20" ht="20.100000000000001" hidden="1" customHeight="1" x14ac:dyDescent="0.25">
      <c r="A395" s="26" t="str">
        <f>CONCATENATE(RIGHT(LEFT(RecebimentoConcreto[[#This Row],[Obra]],5),4),"RCBC",TEXT(RecebimentoConcreto[[#This Row],[Ordem]],"0000"))</f>
        <v>0184RCBC0840</v>
      </c>
      <c r="B395" s="1">
        <v>840</v>
      </c>
      <c r="C395" s="1" t="s">
        <v>21</v>
      </c>
      <c r="D395" s="35">
        <v>44966</v>
      </c>
      <c r="E395" s="1" t="s">
        <v>1176</v>
      </c>
      <c r="F395" s="2" t="s">
        <v>1177</v>
      </c>
      <c r="G395" s="2">
        <v>58691</v>
      </c>
      <c r="H395" s="2" t="s">
        <v>1178</v>
      </c>
      <c r="I395" s="5" t="s">
        <v>1179</v>
      </c>
      <c r="J395" s="5">
        <v>0.68888888888888899</v>
      </c>
      <c r="K395" s="32">
        <f>_xlfn.MAXIFS(ConsumoConcreto[Fim do Bombeamento],ConsumoConcreto[RecebimentoID],RecebimentoConcreto[[#This Row],[RecebimentoID]])</f>
        <v>0.71458333333333324</v>
      </c>
      <c r="L395" s="1" t="s">
        <v>662</v>
      </c>
      <c r="M395" s="37">
        <v>36892</v>
      </c>
      <c r="N395" s="5" t="s">
        <v>25</v>
      </c>
      <c r="O395" s="9">
        <v>14.5</v>
      </c>
      <c r="P395" s="5" t="s">
        <v>26</v>
      </c>
      <c r="Q395" s="2"/>
      <c r="R395" s="5" t="s">
        <v>27</v>
      </c>
      <c r="S395" s="5" t="s">
        <v>500</v>
      </c>
      <c r="T395" s="39">
        <v>520</v>
      </c>
    </row>
    <row r="396" spans="1:20" ht="20.100000000000001" hidden="1" customHeight="1" x14ac:dyDescent="0.25">
      <c r="A396" s="26" t="str">
        <f>CONCATENATE(RIGHT(LEFT(RecebimentoConcreto[[#This Row],[Obra]],5),4),"RCBC",TEXT(RecebimentoConcreto[[#This Row],[Ordem]],"0000"))</f>
        <v>0184RCBC0841</v>
      </c>
      <c r="B396" s="1">
        <v>841</v>
      </c>
      <c r="C396" s="1" t="s">
        <v>21</v>
      </c>
      <c r="D396" s="35">
        <v>44967</v>
      </c>
      <c r="E396" s="1" t="s">
        <v>1180</v>
      </c>
      <c r="F396" s="2" t="s">
        <v>1181</v>
      </c>
      <c r="G396" s="2">
        <v>58691</v>
      </c>
      <c r="H396" s="2" t="s">
        <v>1182</v>
      </c>
      <c r="I396" s="5" t="s">
        <v>1183</v>
      </c>
      <c r="J396" s="5">
        <v>0.69166666666666676</v>
      </c>
      <c r="K396" s="32">
        <f>_xlfn.MAXIFS(ConsumoConcreto[Fim do Bombeamento],ConsumoConcreto[RecebimentoID],RecebimentoConcreto[[#This Row],[RecebimentoID]])</f>
        <v>0.73958333333333337</v>
      </c>
      <c r="L396" s="1" t="s">
        <v>708</v>
      </c>
      <c r="M396" s="37">
        <v>36892</v>
      </c>
      <c r="N396" s="5" t="s">
        <v>25</v>
      </c>
      <c r="O396" s="9">
        <v>15</v>
      </c>
      <c r="P396" s="5" t="s">
        <v>26</v>
      </c>
      <c r="Q396" s="2"/>
      <c r="R396" s="5" t="s">
        <v>27</v>
      </c>
      <c r="S396" s="5" t="s">
        <v>500</v>
      </c>
      <c r="T396" s="39">
        <v>520</v>
      </c>
    </row>
    <row r="397" spans="1:20" ht="20.100000000000001" hidden="1" customHeight="1" x14ac:dyDescent="0.25">
      <c r="A397" s="26" t="str">
        <f>CONCATENATE(RIGHT(LEFT(RecebimentoConcreto[[#This Row],[Obra]],5),4),"RCBC",TEXT(RecebimentoConcreto[[#This Row],[Ordem]],"0000"))</f>
        <v>0184RCBC0842</v>
      </c>
      <c r="B397" s="1">
        <v>842</v>
      </c>
      <c r="C397" s="1" t="s">
        <v>21</v>
      </c>
      <c r="D397" s="35">
        <v>44967</v>
      </c>
      <c r="E397" s="1" t="s">
        <v>1184</v>
      </c>
      <c r="F397" s="2" t="s">
        <v>1185</v>
      </c>
      <c r="G397" s="2">
        <v>58691</v>
      </c>
      <c r="H397" s="2" t="s">
        <v>1186</v>
      </c>
      <c r="I397" s="5" t="s">
        <v>1187</v>
      </c>
      <c r="J397" s="5">
        <v>0.65</v>
      </c>
      <c r="K397" s="32">
        <f>_xlfn.MAXIFS(ConsumoConcreto[Fim do Bombeamento],ConsumoConcreto[RecebimentoID],RecebimentoConcreto[[#This Row],[RecebimentoID]])</f>
        <v>0.6777777777777777</v>
      </c>
      <c r="L397" s="1" t="s">
        <v>726</v>
      </c>
      <c r="M397" s="37">
        <v>36892</v>
      </c>
      <c r="N397" s="5" t="s">
        <v>25</v>
      </c>
      <c r="O397" s="9">
        <v>14.5</v>
      </c>
      <c r="P397" s="5" t="s">
        <v>26</v>
      </c>
      <c r="Q397" s="2"/>
      <c r="R397" s="5" t="s">
        <v>27</v>
      </c>
      <c r="S397" s="5" t="s">
        <v>500</v>
      </c>
      <c r="T397" s="39">
        <v>520</v>
      </c>
    </row>
    <row r="398" spans="1:20" ht="20.100000000000001" hidden="1" customHeight="1" x14ac:dyDescent="0.25">
      <c r="A398" s="26" t="str">
        <f>CONCATENATE(RIGHT(LEFT(RecebimentoConcreto[[#This Row],[Obra]],5),4),"RCBC",TEXT(RecebimentoConcreto[[#This Row],[Ordem]],"0000"))</f>
        <v>0184RCBC0843</v>
      </c>
      <c r="B398" s="1">
        <v>843</v>
      </c>
      <c r="C398" s="1" t="s">
        <v>21</v>
      </c>
      <c r="D398" s="35">
        <v>44970</v>
      </c>
      <c r="E398" s="1" t="s">
        <v>653</v>
      </c>
      <c r="F398" s="2" t="s">
        <v>1188</v>
      </c>
      <c r="G398" s="2">
        <v>58691</v>
      </c>
      <c r="H398" s="2" t="s">
        <v>1189</v>
      </c>
      <c r="I398" s="5" t="s">
        <v>1190</v>
      </c>
      <c r="J398" s="5">
        <v>0.83958333333333324</v>
      </c>
      <c r="K398" s="32">
        <f>_xlfn.MAXIFS(ConsumoConcreto[Fim do Bombeamento],ConsumoConcreto[RecebimentoID],RecebimentoConcreto[[#This Row],[RecebimentoID]])</f>
        <v>0.87222222222222223</v>
      </c>
      <c r="L398" s="1" t="s">
        <v>1191</v>
      </c>
      <c r="M398" s="37">
        <v>36892</v>
      </c>
      <c r="N398" s="5" t="s">
        <v>25</v>
      </c>
      <c r="O398" s="9">
        <v>14.5</v>
      </c>
      <c r="P398" s="5" t="s">
        <v>26</v>
      </c>
      <c r="Q398" s="2"/>
      <c r="R398" s="5" t="s">
        <v>27</v>
      </c>
      <c r="S398" s="5" t="s">
        <v>500</v>
      </c>
      <c r="T398" s="39">
        <v>520</v>
      </c>
    </row>
    <row r="399" spans="1:20" ht="20.100000000000001" hidden="1" customHeight="1" x14ac:dyDescent="0.25">
      <c r="A399" s="26" t="str">
        <f>CONCATENATE(RIGHT(LEFT(RecebimentoConcreto[[#This Row],[Obra]],5),4),"RCBC",TEXT(RecebimentoConcreto[[#This Row],[Ordem]],"0000"))</f>
        <v>0184RCBC0844</v>
      </c>
      <c r="B399" s="1">
        <v>844</v>
      </c>
      <c r="C399" s="1" t="s">
        <v>21</v>
      </c>
      <c r="D399" s="35">
        <v>44970</v>
      </c>
      <c r="E399" s="1" t="s">
        <v>1192</v>
      </c>
      <c r="F399" s="2" t="s">
        <v>1193</v>
      </c>
      <c r="G399" s="2">
        <v>58691</v>
      </c>
      <c r="H399" s="2" t="s">
        <v>1194</v>
      </c>
      <c r="I399" s="5" t="s">
        <v>1195</v>
      </c>
      <c r="J399" s="5">
        <v>0.75208333333333333</v>
      </c>
      <c r="K399" s="32">
        <f>_xlfn.MAXIFS(ConsumoConcreto[Fim do Bombeamento],ConsumoConcreto[RecebimentoID],RecebimentoConcreto[[#This Row],[RecebimentoID]])</f>
        <v>0.7729166666666667</v>
      </c>
      <c r="L399" s="1" t="s">
        <v>1196</v>
      </c>
      <c r="M399" s="37">
        <v>36892</v>
      </c>
      <c r="N399" s="5" t="s">
        <v>25</v>
      </c>
      <c r="O399" s="9">
        <v>14.5</v>
      </c>
      <c r="P399" s="5" t="s">
        <v>26</v>
      </c>
      <c r="Q399" s="2"/>
      <c r="R399" s="5" t="s">
        <v>27</v>
      </c>
      <c r="S399" s="5" t="s">
        <v>500</v>
      </c>
      <c r="T399" s="39">
        <v>520</v>
      </c>
    </row>
    <row r="400" spans="1:20" ht="20.100000000000001" hidden="1" customHeight="1" x14ac:dyDescent="0.25">
      <c r="A400" s="26" t="str">
        <f>CONCATENATE(RIGHT(LEFT(RecebimentoConcreto[[#This Row],[Obra]],5),4),"RCBC",TEXT(RecebimentoConcreto[[#This Row],[Ordem]],"0000"))</f>
        <v>0184RCBC0845</v>
      </c>
      <c r="B400" s="1">
        <v>845</v>
      </c>
      <c r="C400" s="1" t="s">
        <v>21</v>
      </c>
      <c r="D400" s="35">
        <v>44971</v>
      </c>
      <c r="E400" s="1" t="s">
        <v>1192</v>
      </c>
      <c r="F400" s="2" t="s">
        <v>1197</v>
      </c>
      <c r="G400" s="2">
        <v>58691</v>
      </c>
      <c r="H400" s="2" t="s">
        <v>1198</v>
      </c>
      <c r="I400" s="5" t="s">
        <v>1199</v>
      </c>
      <c r="J400" s="5">
        <v>0.71527777777777779</v>
      </c>
      <c r="K400" s="32">
        <f>_xlfn.MAXIFS(ConsumoConcreto[Fim do Bombeamento],ConsumoConcreto[RecebimentoID],RecebimentoConcreto[[#This Row],[RecebimentoID]])</f>
        <v>0.75347222222222221</v>
      </c>
      <c r="M400" s="37">
        <v>36892</v>
      </c>
      <c r="N400" s="5" t="s">
        <v>25</v>
      </c>
      <c r="O400" s="9">
        <v>14.5</v>
      </c>
      <c r="P400" s="5" t="s">
        <v>26</v>
      </c>
      <c r="Q400" s="2"/>
      <c r="R400" s="5" t="s">
        <v>27</v>
      </c>
      <c r="S400" s="5" t="s">
        <v>500</v>
      </c>
      <c r="T400" s="39">
        <v>520</v>
      </c>
    </row>
    <row r="401" spans="1:20" ht="20.100000000000001" hidden="1" customHeight="1" x14ac:dyDescent="0.25">
      <c r="A401" s="26" t="str">
        <f>CONCATENATE(RIGHT(LEFT(RecebimentoConcreto[[#This Row],[Obra]],5),4),"RCBC",TEXT(RecebimentoConcreto[[#This Row],[Ordem]],"0000"))</f>
        <v>0184RCBC0846</v>
      </c>
      <c r="B401" s="1">
        <v>846</v>
      </c>
      <c r="C401" s="1" t="s">
        <v>21</v>
      </c>
      <c r="D401" s="35">
        <v>44971</v>
      </c>
      <c r="E401" s="1" t="s">
        <v>1176</v>
      </c>
      <c r="F401" s="2" t="s">
        <v>1200</v>
      </c>
      <c r="G401" s="2">
        <v>58691</v>
      </c>
      <c r="H401" s="2" t="s">
        <v>1201</v>
      </c>
      <c r="I401" s="5" t="s">
        <v>1202</v>
      </c>
      <c r="J401" s="5">
        <v>0.68541666666666667</v>
      </c>
      <c r="K401" s="32">
        <f>_xlfn.MAXIFS(ConsumoConcreto[Fim do Bombeamento],ConsumoConcreto[RecebimentoID],RecebimentoConcreto[[#This Row],[RecebimentoID]])</f>
        <v>0.7055555555555556</v>
      </c>
      <c r="L401" s="1" t="s">
        <v>508</v>
      </c>
      <c r="M401" s="37">
        <v>36892</v>
      </c>
      <c r="N401" s="5" t="s">
        <v>25</v>
      </c>
      <c r="O401" s="9">
        <v>14.5</v>
      </c>
      <c r="P401" s="5" t="s">
        <v>26</v>
      </c>
      <c r="Q401" s="2"/>
      <c r="R401" s="5" t="s">
        <v>27</v>
      </c>
      <c r="S401" s="5" t="s">
        <v>500</v>
      </c>
      <c r="T401" s="39">
        <v>520</v>
      </c>
    </row>
    <row r="402" spans="1:20" ht="20.100000000000001" hidden="1" customHeight="1" x14ac:dyDescent="0.25">
      <c r="A402" s="26" t="str">
        <f>CONCATENATE(RIGHT(LEFT(RecebimentoConcreto[[#This Row],[Obra]],5),4),"RCBC",TEXT(RecebimentoConcreto[[#This Row],[Ordem]],"0000"))</f>
        <v>0184RCBC0847</v>
      </c>
      <c r="B402" s="1">
        <v>847</v>
      </c>
      <c r="C402" s="1" t="s">
        <v>21</v>
      </c>
      <c r="D402" s="35">
        <v>44972</v>
      </c>
      <c r="E402" s="1" t="s">
        <v>1124</v>
      </c>
      <c r="F402" s="2" t="s">
        <v>1203</v>
      </c>
      <c r="G402" s="2">
        <v>58691</v>
      </c>
      <c r="H402" s="2" t="s">
        <v>1204</v>
      </c>
      <c r="I402" s="5" t="s">
        <v>1205</v>
      </c>
      <c r="J402" s="5">
        <v>0.78749999999999998</v>
      </c>
      <c r="K402" s="32">
        <f>_xlfn.MAXIFS(ConsumoConcreto[Fim do Bombeamento],ConsumoConcreto[RecebimentoID],RecebimentoConcreto[[#This Row],[RecebimentoID]])</f>
        <v>0.81041666666666667</v>
      </c>
      <c r="L402" s="1" t="s">
        <v>1206</v>
      </c>
      <c r="M402" s="37">
        <v>36892</v>
      </c>
      <c r="N402" s="5" t="s">
        <v>25</v>
      </c>
      <c r="O402" s="9">
        <v>14.5</v>
      </c>
      <c r="P402" s="5" t="s">
        <v>26</v>
      </c>
      <c r="Q402" s="2"/>
      <c r="R402" s="5" t="s">
        <v>27</v>
      </c>
      <c r="S402" s="5" t="s">
        <v>500</v>
      </c>
      <c r="T402" s="39">
        <v>520</v>
      </c>
    </row>
    <row r="403" spans="1:20" ht="20.100000000000001" hidden="1" customHeight="1" x14ac:dyDescent="0.25">
      <c r="A403" s="26" t="str">
        <f>CONCATENATE(RIGHT(LEFT(RecebimentoConcreto[[#This Row],[Obra]],5),4),"RCBC",TEXT(RecebimentoConcreto[[#This Row],[Ordem]],"0000"))</f>
        <v>0184RCBC0848</v>
      </c>
      <c r="B403" s="1">
        <v>848</v>
      </c>
      <c r="C403" s="1" t="s">
        <v>21</v>
      </c>
      <c r="D403" s="35">
        <v>44972</v>
      </c>
      <c r="E403" s="1" t="s">
        <v>1207</v>
      </c>
      <c r="F403" s="2" t="s">
        <v>1208</v>
      </c>
      <c r="G403" s="2">
        <v>58691</v>
      </c>
      <c r="H403" s="2" t="s">
        <v>1209</v>
      </c>
      <c r="I403" s="5" t="s">
        <v>1210</v>
      </c>
      <c r="J403" s="5">
        <v>0.74444444444444446</v>
      </c>
      <c r="K403" s="32">
        <f>_xlfn.MAXIFS(ConsumoConcreto[Fim do Bombeamento],ConsumoConcreto[RecebimentoID],RecebimentoConcreto[[#This Row],[RecebimentoID]])</f>
        <v>0.75624999999999998</v>
      </c>
      <c r="L403" s="1" t="s">
        <v>1211</v>
      </c>
      <c r="M403" s="37">
        <v>36892</v>
      </c>
      <c r="N403" s="5" t="s">
        <v>25</v>
      </c>
      <c r="O403" s="9">
        <v>14.5</v>
      </c>
      <c r="P403" s="5" t="s">
        <v>26</v>
      </c>
      <c r="Q403" s="2"/>
      <c r="R403" s="5" t="s">
        <v>27</v>
      </c>
      <c r="S403" s="5" t="s">
        <v>500</v>
      </c>
      <c r="T403" s="39">
        <v>520</v>
      </c>
    </row>
    <row r="404" spans="1:20" ht="20.100000000000001" hidden="1" customHeight="1" x14ac:dyDescent="0.25">
      <c r="A404" s="26" t="str">
        <f>CONCATENATE(RIGHT(LEFT(RecebimentoConcreto[[#This Row],[Obra]],5),4),"RCBC",TEXT(RecebimentoConcreto[[#This Row],[Ordem]],"0000"))</f>
        <v>0184RCBC0849</v>
      </c>
      <c r="B404" s="1">
        <v>849</v>
      </c>
      <c r="C404" s="1" t="s">
        <v>21</v>
      </c>
      <c r="D404" s="35">
        <v>44973</v>
      </c>
      <c r="E404" s="1" t="s">
        <v>1212</v>
      </c>
      <c r="F404" s="2" t="s">
        <v>1213</v>
      </c>
      <c r="G404" s="2">
        <v>58691</v>
      </c>
      <c r="H404" s="2" t="s">
        <v>1214</v>
      </c>
      <c r="I404" s="5" t="s">
        <v>1215</v>
      </c>
      <c r="J404" s="5">
        <v>0.68541666666666667</v>
      </c>
      <c r="K404" s="32">
        <f>_xlfn.MAXIFS(ConsumoConcreto[Fim do Bombeamento],ConsumoConcreto[RecebimentoID],RecebimentoConcreto[[#This Row],[RecebimentoID]])</f>
        <v>0.70694444444444438</v>
      </c>
      <c r="L404" s="1" t="s">
        <v>1216</v>
      </c>
      <c r="M404" s="37">
        <v>36892</v>
      </c>
      <c r="N404" s="5" t="s">
        <v>25</v>
      </c>
      <c r="O404" s="9">
        <v>14.5</v>
      </c>
      <c r="P404" s="5" t="s">
        <v>26</v>
      </c>
      <c r="Q404" s="2"/>
      <c r="R404" s="5" t="s">
        <v>27</v>
      </c>
      <c r="S404" s="5" t="s">
        <v>500</v>
      </c>
      <c r="T404" s="39">
        <v>520</v>
      </c>
    </row>
    <row r="405" spans="1:20" ht="20.100000000000001" hidden="1" customHeight="1" x14ac:dyDescent="0.25">
      <c r="A405" s="26" t="str">
        <f>CONCATENATE(RIGHT(LEFT(RecebimentoConcreto[[#This Row],[Obra]],5),4),"RCBC",TEXT(RecebimentoConcreto[[#This Row],[Ordem]],"0000"))</f>
        <v>0184RCBC0850</v>
      </c>
      <c r="B405" s="1">
        <v>850</v>
      </c>
      <c r="C405" s="1" t="s">
        <v>21</v>
      </c>
      <c r="D405" s="35">
        <v>44973</v>
      </c>
      <c r="E405" s="1" t="s">
        <v>677</v>
      </c>
      <c r="F405" s="2" t="s">
        <v>1217</v>
      </c>
      <c r="G405" s="2">
        <v>58691</v>
      </c>
      <c r="H405" s="2" t="s">
        <v>1218</v>
      </c>
      <c r="I405" s="5" t="s">
        <v>1219</v>
      </c>
      <c r="J405" s="5">
        <v>0.73541666666666661</v>
      </c>
      <c r="K405" s="32">
        <f>_xlfn.MAXIFS(ConsumoConcreto[Fim do Bombeamento],ConsumoConcreto[RecebimentoID],RecebimentoConcreto[[#This Row],[RecebimentoID]])</f>
        <v>0.76388888888888884</v>
      </c>
      <c r="L405" s="1" t="s">
        <v>657</v>
      </c>
      <c r="M405" s="37">
        <v>36892</v>
      </c>
      <c r="N405" s="5" t="s">
        <v>25</v>
      </c>
      <c r="O405" s="9">
        <v>14.5</v>
      </c>
      <c r="P405" s="5" t="s">
        <v>26</v>
      </c>
      <c r="Q405" s="2"/>
      <c r="R405" s="5" t="s">
        <v>27</v>
      </c>
      <c r="S405" s="5" t="s">
        <v>500</v>
      </c>
      <c r="T405" s="39">
        <v>520</v>
      </c>
    </row>
    <row r="406" spans="1:20" ht="20.100000000000001" hidden="1" customHeight="1" x14ac:dyDescent="0.25">
      <c r="A406" s="26" t="str">
        <f>CONCATENATE(RIGHT(LEFT(RecebimentoConcreto[[#This Row],[Obra]],5),4),"RCBC",TEXT(RecebimentoConcreto[[#This Row],[Ordem]],"0000"))</f>
        <v>0184RCBC0851</v>
      </c>
      <c r="B406" s="1">
        <v>851</v>
      </c>
      <c r="C406" s="1" t="s">
        <v>21</v>
      </c>
      <c r="D406" s="35">
        <v>44974</v>
      </c>
      <c r="E406" s="1" t="s">
        <v>1220</v>
      </c>
      <c r="F406" s="2" t="s">
        <v>1221</v>
      </c>
      <c r="G406" s="2">
        <v>58691</v>
      </c>
      <c r="H406" s="2" t="s">
        <v>1222</v>
      </c>
      <c r="I406" s="5" t="s">
        <v>1223</v>
      </c>
      <c r="J406" s="5">
        <v>0.70833333333333337</v>
      </c>
      <c r="K406" s="32">
        <f>_xlfn.MAXIFS(ConsumoConcreto[Fim do Bombeamento],ConsumoConcreto[RecebimentoID],RecebimentoConcreto[[#This Row],[RecebimentoID]])</f>
        <v>0.73541666666666661</v>
      </c>
      <c r="L406" s="1" t="s">
        <v>1224</v>
      </c>
      <c r="M406" s="37">
        <v>36892</v>
      </c>
      <c r="N406" s="5" t="s">
        <v>25</v>
      </c>
      <c r="O406" s="9">
        <v>14.5</v>
      </c>
      <c r="P406" s="5" t="s">
        <v>26</v>
      </c>
      <c r="Q406" s="2"/>
      <c r="R406" s="5" t="s">
        <v>27</v>
      </c>
      <c r="S406" s="5" t="s">
        <v>500</v>
      </c>
      <c r="T406" s="39">
        <v>520</v>
      </c>
    </row>
    <row r="407" spans="1:20" ht="20.100000000000001" hidden="1" customHeight="1" x14ac:dyDescent="0.25">
      <c r="A407" s="26" t="str">
        <f>CONCATENATE(RIGHT(LEFT(RecebimentoConcreto[[#This Row],[Obra]],5),4),"RCBC",TEXT(RecebimentoConcreto[[#This Row],[Ordem]],"0000"))</f>
        <v>0184RCBC0852</v>
      </c>
      <c r="B407" s="1">
        <v>852</v>
      </c>
      <c r="C407" s="1" t="s">
        <v>21</v>
      </c>
      <c r="D407" s="35">
        <v>44981</v>
      </c>
      <c r="E407" s="1" t="s">
        <v>1207</v>
      </c>
      <c r="F407" s="2" t="s">
        <v>1225</v>
      </c>
      <c r="G407" s="2">
        <v>58691</v>
      </c>
      <c r="H407" s="2" t="s">
        <v>1226</v>
      </c>
      <c r="I407" s="5" t="s">
        <v>1227</v>
      </c>
      <c r="J407" s="5">
        <v>0.71111111111111114</v>
      </c>
      <c r="K407" s="32">
        <f>_xlfn.MAXIFS(ConsumoConcreto[Fim do Bombeamento],ConsumoConcreto[RecebimentoID],RecebimentoConcreto[[#This Row],[RecebimentoID]])</f>
        <v>0.75</v>
      </c>
      <c r="L407" s="1" t="s">
        <v>508</v>
      </c>
      <c r="M407" s="37">
        <v>36892</v>
      </c>
      <c r="N407" s="5" t="s">
        <v>25</v>
      </c>
      <c r="O407" s="9">
        <v>14.5</v>
      </c>
      <c r="P407" s="5" t="s">
        <v>26</v>
      </c>
      <c r="Q407" s="2"/>
      <c r="R407" s="5" t="s">
        <v>27</v>
      </c>
      <c r="S407" s="5" t="s">
        <v>500</v>
      </c>
      <c r="T407" s="39">
        <v>520</v>
      </c>
    </row>
    <row r="408" spans="1:20" ht="20.100000000000001" hidden="1" customHeight="1" x14ac:dyDescent="0.25">
      <c r="A408" s="26" t="str">
        <f>CONCATENATE(RIGHT(LEFT(RecebimentoConcreto[[#This Row],[Obra]],5),4),"RCBC",TEXT(RecebimentoConcreto[[#This Row],[Ordem]],"0000"))</f>
        <v>0184RCBC0853</v>
      </c>
      <c r="B408" s="1">
        <v>853</v>
      </c>
      <c r="C408" s="1" t="s">
        <v>21</v>
      </c>
      <c r="D408" s="35">
        <v>44982</v>
      </c>
      <c r="E408" s="1" t="s">
        <v>1228</v>
      </c>
      <c r="F408" s="2" t="s">
        <v>1229</v>
      </c>
      <c r="G408" s="2">
        <v>58691</v>
      </c>
      <c r="H408" s="2" t="s">
        <v>1230</v>
      </c>
      <c r="I408" s="5" t="s">
        <v>1231</v>
      </c>
      <c r="J408" s="5">
        <v>0.6381944444444444</v>
      </c>
      <c r="K408" s="32">
        <f>_xlfn.MAXIFS(ConsumoConcreto[Fim do Bombeamento],ConsumoConcreto[RecebimentoID],RecebimentoConcreto[[#This Row],[RecebimentoID]])</f>
        <v>0.67083333333333339</v>
      </c>
      <c r="L408" s="1" t="s">
        <v>555</v>
      </c>
      <c r="M408" s="37">
        <v>36892</v>
      </c>
      <c r="N408" s="5" t="s">
        <v>25</v>
      </c>
      <c r="O408" s="9">
        <v>14.5</v>
      </c>
      <c r="P408" s="5" t="s">
        <v>26</v>
      </c>
      <c r="Q408" s="2"/>
      <c r="R408" s="5" t="s">
        <v>27</v>
      </c>
      <c r="S408" s="5" t="s">
        <v>500</v>
      </c>
      <c r="T408" s="39">
        <v>520</v>
      </c>
    </row>
    <row r="409" spans="1:20" ht="20.100000000000001" hidden="1" customHeight="1" x14ac:dyDescent="0.25">
      <c r="A409" s="26" t="str">
        <f>CONCATENATE(RIGHT(LEFT(RecebimentoConcreto[[#This Row],[Obra]],5),4),"RCBC",TEXT(RecebimentoConcreto[[#This Row],[Ordem]],"0000"))</f>
        <v>0184RCBC0854</v>
      </c>
      <c r="B409" s="1">
        <v>854</v>
      </c>
      <c r="C409" s="1" t="s">
        <v>21</v>
      </c>
      <c r="D409" s="35">
        <v>44984</v>
      </c>
      <c r="E409" s="1" t="s">
        <v>1232</v>
      </c>
      <c r="F409" s="2" t="s">
        <v>1233</v>
      </c>
      <c r="G409" s="2">
        <v>58691</v>
      </c>
      <c r="H409" s="2" t="s">
        <v>1234</v>
      </c>
      <c r="I409" s="5" t="s">
        <v>1235</v>
      </c>
      <c r="J409" s="5">
        <v>0.70416666666666661</v>
      </c>
      <c r="K409" s="32">
        <f>_xlfn.MAXIFS(ConsumoConcreto[Fim do Bombeamento],ConsumoConcreto[RecebimentoID],RecebimentoConcreto[[#This Row],[RecebimentoID]])</f>
        <v>0.72916666666666663</v>
      </c>
      <c r="L409" s="1" t="s">
        <v>542</v>
      </c>
      <c r="M409" s="37">
        <v>36892</v>
      </c>
      <c r="N409" s="5" t="s">
        <v>25</v>
      </c>
      <c r="O409" s="9">
        <v>14.5</v>
      </c>
      <c r="P409" s="5" t="s">
        <v>26</v>
      </c>
      <c r="Q409" s="2"/>
      <c r="R409" s="5" t="s">
        <v>27</v>
      </c>
      <c r="S409" s="5" t="s">
        <v>500</v>
      </c>
      <c r="T409" s="39">
        <v>520</v>
      </c>
    </row>
    <row r="410" spans="1:20" ht="20.100000000000001" hidden="1" customHeight="1" x14ac:dyDescent="0.25">
      <c r="A410" s="26" t="str">
        <f>CONCATENATE(RIGHT(LEFT(RecebimentoConcreto[[#This Row],[Obra]],5),4),"RCBC",TEXT(RecebimentoConcreto[[#This Row],[Ordem]],"0000"))</f>
        <v>0184RCBC0855</v>
      </c>
      <c r="B410" s="1">
        <v>855</v>
      </c>
      <c r="C410" s="1" t="s">
        <v>21</v>
      </c>
      <c r="D410" s="35">
        <v>44986</v>
      </c>
      <c r="E410" s="1" t="s">
        <v>1236</v>
      </c>
      <c r="F410" s="2" t="s">
        <v>1237</v>
      </c>
      <c r="G410" s="2">
        <v>5408</v>
      </c>
      <c r="H410" s="2" t="s">
        <v>1238</v>
      </c>
      <c r="I410" s="5" t="s">
        <v>1239</v>
      </c>
      <c r="J410" s="5">
        <v>0.69930555555555562</v>
      </c>
      <c r="K410" s="32">
        <f>_xlfn.MAXIFS(ConsumoConcreto[Fim do Bombeamento],ConsumoConcreto[RecebimentoID],RecebimentoConcreto[[#This Row],[RecebimentoID]])</f>
        <v>0.72569444444444453</v>
      </c>
      <c r="L410" s="1" t="s">
        <v>508</v>
      </c>
      <c r="M410" s="37">
        <v>36892</v>
      </c>
      <c r="N410" s="5" t="s">
        <v>25</v>
      </c>
      <c r="O410" s="9">
        <v>14.5</v>
      </c>
      <c r="P410" s="5" t="s">
        <v>26</v>
      </c>
      <c r="Q410" s="2">
        <v>9</v>
      </c>
      <c r="R410" s="5" t="s">
        <v>27</v>
      </c>
      <c r="S410" s="5" t="s">
        <v>32</v>
      </c>
      <c r="T410" s="39">
        <v>470</v>
      </c>
    </row>
    <row r="411" spans="1:20" ht="20.100000000000001" hidden="1" customHeight="1" x14ac:dyDescent="0.25">
      <c r="A411" s="26" t="str">
        <f>CONCATENATE(RIGHT(LEFT(RecebimentoConcreto[[#This Row],[Obra]],5),4),"RCBC",TEXT(RecebimentoConcreto[[#This Row],[Ordem]],"0000"))</f>
        <v>0184RCBC0856</v>
      </c>
      <c r="B411" s="1">
        <v>856</v>
      </c>
      <c r="C411" s="1" t="s">
        <v>21</v>
      </c>
      <c r="D411" s="35">
        <v>44987</v>
      </c>
      <c r="E411" s="1" t="s">
        <v>1240</v>
      </c>
      <c r="F411" s="2" t="s">
        <v>1241</v>
      </c>
      <c r="G411" s="2">
        <v>5408</v>
      </c>
      <c r="H411" s="2" t="s">
        <v>1242</v>
      </c>
      <c r="I411" s="5" t="s">
        <v>1243</v>
      </c>
      <c r="J411" s="5">
        <v>0.65902777777777777</v>
      </c>
      <c r="K411" s="32">
        <f>_xlfn.MAXIFS(ConsumoConcreto[Fim do Bombeamento],ConsumoConcreto[RecebimentoID],RecebimentoConcreto[[#This Row],[RecebimentoID]])</f>
        <v>0.68055555555555547</v>
      </c>
      <c r="L411" s="1" t="s">
        <v>555</v>
      </c>
      <c r="M411" s="37">
        <v>36892</v>
      </c>
      <c r="N411" s="5" t="s">
        <v>25</v>
      </c>
      <c r="O411" s="9">
        <v>14.5</v>
      </c>
      <c r="P411" s="5" t="s">
        <v>26</v>
      </c>
      <c r="Q411" s="2">
        <v>8</v>
      </c>
      <c r="R411" s="5" t="s">
        <v>27</v>
      </c>
      <c r="S411" s="5" t="s">
        <v>32</v>
      </c>
      <c r="T411" s="39">
        <v>470</v>
      </c>
    </row>
    <row r="412" spans="1:20" ht="20.100000000000001" hidden="1" customHeight="1" x14ac:dyDescent="0.25">
      <c r="A412" s="26" t="str">
        <f>CONCATENATE(RIGHT(LEFT(RecebimentoConcreto[[#This Row],[Obra]],5),4),"RCBC",TEXT(RecebimentoConcreto[[#This Row],[Ordem]],"0000"))</f>
        <v>0184RCBC0857</v>
      </c>
      <c r="B412" s="1">
        <v>857</v>
      </c>
      <c r="C412" s="1" t="s">
        <v>21</v>
      </c>
      <c r="D412" s="35">
        <v>44988</v>
      </c>
      <c r="E412" s="1" t="s">
        <v>1244</v>
      </c>
      <c r="F412" s="2" t="s">
        <v>1245</v>
      </c>
      <c r="G412" s="2">
        <v>5408</v>
      </c>
      <c r="H412" s="2" t="s">
        <v>1246</v>
      </c>
      <c r="I412" s="5" t="s">
        <v>1247</v>
      </c>
      <c r="J412" s="5">
        <v>0.70972222222222225</v>
      </c>
      <c r="K412" s="32">
        <f>_xlfn.MAXIFS(ConsumoConcreto[Fim do Bombeamento],ConsumoConcreto[RecebimentoID],RecebimentoConcreto[[#This Row],[RecebimentoID]])</f>
        <v>0.73611111111111116</v>
      </c>
      <c r="L412" s="1" t="s">
        <v>708</v>
      </c>
      <c r="M412" s="37">
        <v>36892</v>
      </c>
      <c r="N412" s="5" t="s">
        <v>25</v>
      </c>
      <c r="O412" s="9">
        <v>14.5</v>
      </c>
      <c r="P412" s="5" t="s">
        <v>26</v>
      </c>
      <c r="Q412" s="2">
        <v>8</v>
      </c>
      <c r="R412" s="5" t="s">
        <v>27</v>
      </c>
      <c r="S412" s="5" t="s">
        <v>32</v>
      </c>
      <c r="T412" s="39">
        <v>470</v>
      </c>
    </row>
    <row r="413" spans="1:20" ht="20.100000000000001" hidden="1" customHeight="1" x14ac:dyDescent="0.25">
      <c r="A413" s="26" t="str">
        <f>CONCATENATE(RIGHT(LEFT(RecebimentoConcreto[[#This Row],[Obra]],5),4),"RCBC",TEXT(RecebimentoConcreto[[#This Row],[Ordem]],"0000"))</f>
        <v>0184RCBC0858</v>
      </c>
      <c r="B413" s="1">
        <v>858</v>
      </c>
      <c r="C413" s="1" t="s">
        <v>21</v>
      </c>
      <c r="D413" s="35">
        <v>44988</v>
      </c>
      <c r="E413" s="1" t="s">
        <v>1248</v>
      </c>
      <c r="F413" s="2" t="s">
        <v>1249</v>
      </c>
      <c r="G413" s="2">
        <v>58691</v>
      </c>
      <c r="H413" s="2" t="s">
        <v>1250</v>
      </c>
      <c r="I413" s="5" t="s">
        <v>1251</v>
      </c>
      <c r="J413" s="5">
        <v>0.77083333333333337</v>
      </c>
      <c r="K413" s="32">
        <f>_xlfn.MAXIFS(ConsumoConcreto[Fim do Bombeamento],ConsumoConcreto[RecebimentoID],RecebimentoConcreto[[#This Row],[RecebimentoID]])</f>
        <v>0.81527777777777777</v>
      </c>
      <c r="L413" s="1" t="s">
        <v>1252</v>
      </c>
      <c r="M413" s="37">
        <v>36892</v>
      </c>
      <c r="N413" s="5" t="s">
        <v>25</v>
      </c>
      <c r="O413" s="9">
        <v>14.5</v>
      </c>
      <c r="P413" s="5" t="s">
        <v>26</v>
      </c>
      <c r="Q413" s="2"/>
      <c r="R413" s="5" t="s">
        <v>27</v>
      </c>
      <c r="S413" s="5" t="s">
        <v>500</v>
      </c>
      <c r="T413" s="39">
        <v>520</v>
      </c>
    </row>
    <row r="414" spans="1:20" ht="20.100000000000001" hidden="1" customHeight="1" x14ac:dyDescent="0.25">
      <c r="A414" s="26" t="str">
        <f>CONCATENATE(RIGHT(LEFT(RecebimentoConcreto[[#This Row],[Obra]],5),4),"RCBC",TEXT(RecebimentoConcreto[[#This Row],[Ordem]],"0000"))</f>
        <v>0184RCBC0859</v>
      </c>
      <c r="B414" s="1">
        <v>859</v>
      </c>
      <c r="C414" s="1" t="s">
        <v>21</v>
      </c>
      <c r="D414" s="35">
        <v>44990</v>
      </c>
      <c r="E414" s="1" t="s">
        <v>1253</v>
      </c>
      <c r="F414" s="2" t="s">
        <v>1254</v>
      </c>
      <c r="G414" s="2">
        <v>58691</v>
      </c>
      <c r="H414" s="2" t="s">
        <v>1255</v>
      </c>
      <c r="I414" s="5" t="s">
        <v>1256</v>
      </c>
      <c r="J414" s="5">
        <v>0.8027777777777777</v>
      </c>
      <c r="K414" s="32">
        <f>_xlfn.MAXIFS(ConsumoConcreto[Fim do Bombeamento],ConsumoConcreto[RecebimentoID],RecebimentoConcreto[[#This Row],[RecebimentoID]])</f>
        <v>0.83819444444444446</v>
      </c>
      <c r="L414" s="1" t="s">
        <v>1257</v>
      </c>
      <c r="M414" s="37">
        <v>36892</v>
      </c>
      <c r="N414" s="5" t="s">
        <v>25</v>
      </c>
      <c r="O414" s="9">
        <v>14.5</v>
      </c>
      <c r="P414" s="5" t="s">
        <v>26</v>
      </c>
      <c r="Q414" s="2"/>
      <c r="R414" s="5" t="s">
        <v>27</v>
      </c>
      <c r="S414" s="5" t="s">
        <v>500</v>
      </c>
      <c r="T414" s="39">
        <v>520</v>
      </c>
    </row>
    <row r="415" spans="1:20" ht="20.100000000000001" hidden="1" customHeight="1" x14ac:dyDescent="0.25">
      <c r="A415" s="26" t="str">
        <f>CONCATENATE(RIGHT(LEFT(RecebimentoConcreto[[#This Row],[Obra]],5),4),"RCBC",TEXT(RecebimentoConcreto[[#This Row],[Ordem]],"0000"))</f>
        <v>0184RCBC0860</v>
      </c>
      <c r="B415" s="1">
        <v>860</v>
      </c>
      <c r="C415" s="1" t="s">
        <v>21</v>
      </c>
      <c r="D415" s="35">
        <v>44991</v>
      </c>
      <c r="E415" s="1" t="s">
        <v>1258</v>
      </c>
      <c r="F415" s="2" t="s">
        <v>1259</v>
      </c>
      <c r="G415" s="2">
        <v>5408</v>
      </c>
      <c r="H415" s="2" t="s">
        <v>1260</v>
      </c>
      <c r="I415" s="5" t="s">
        <v>1261</v>
      </c>
      <c r="J415" s="5">
        <v>0.73888888888888893</v>
      </c>
      <c r="K415" s="32">
        <f>_xlfn.MAXIFS(ConsumoConcreto[Fim do Bombeamento],ConsumoConcreto[RecebimentoID],RecebimentoConcreto[[#This Row],[RecebimentoID]])</f>
        <v>0.7597222222222223</v>
      </c>
      <c r="L415" s="1" t="s">
        <v>1262</v>
      </c>
      <c r="M415" s="37">
        <v>36892</v>
      </c>
      <c r="N415" s="5" t="s">
        <v>25</v>
      </c>
      <c r="O415" s="9">
        <v>14.5</v>
      </c>
      <c r="P415" s="5" t="s">
        <v>26</v>
      </c>
      <c r="Q415" s="2">
        <v>8</v>
      </c>
      <c r="R415" s="5" t="s">
        <v>27</v>
      </c>
      <c r="S415" s="5" t="s">
        <v>32</v>
      </c>
      <c r="T415" s="39">
        <v>470</v>
      </c>
    </row>
    <row r="416" spans="1:20" ht="20.100000000000001" hidden="1" customHeight="1" x14ac:dyDescent="0.25">
      <c r="A416" s="26" t="str">
        <f>CONCATENATE(RIGHT(LEFT(RecebimentoConcreto[[#This Row],[Obra]],5),4),"RCBC",TEXT(RecebimentoConcreto[[#This Row],[Ordem]],"0000"))</f>
        <v>0184RCBC0861</v>
      </c>
      <c r="B416" s="1">
        <v>861</v>
      </c>
      <c r="C416" s="1" t="s">
        <v>21</v>
      </c>
      <c r="D416" s="35">
        <v>44992</v>
      </c>
      <c r="E416" s="1" t="s">
        <v>1263</v>
      </c>
      <c r="F416" s="2" t="s">
        <v>1264</v>
      </c>
      <c r="G416" s="2">
        <v>5408</v>
      </c>
      <c r="H416" s="2" t="s">
        <v>1265</v>
      </c>
      <c r="I416" s="5" t="s">
        <v>1231</v>
      </c>
      <c r="J416" s="5">
        <v>0.6430555555555556</v>
      </c>
      <c r="K416" s="32">
        <f>_xlfn.MAXIFS(ConsumoConcreto[Fim do Bombeamento],ConsumoConcreto[RecebimentoID],RecebimentoConcreto[[#This Row],[RecebimentoID]])</f>
        <v>0.66319444444444442</v>
      </c>
      <c r="L416" s="1" t="s">
        <v>695</v>
      </c>
      <c r="M416" s="37">
        <v>36892</v>
      </c>
      <c r="N416" s="5" t="s">
        <v>25</v>
      </c>
      <c r="O416" s="9">
        <v>14.5</v>
      </c>
      <c r="P416" s="5" t="s">
        <v>26</v>
      </c>
      <c r="Q416" s="2">
        <v>9</v>
      </c>
      <c r="R416" s="5" t="s">
        <v>27</v>
      </c>
      <c r="S416" s="5" t="s">
        <v>32</v>
      </c>
      <c r="T416" s="39">
        <v>470</v>
      </c>
    </row>
    <row r="417" spans="1:20" ht="20.100000000000001" hidden="1" customHeight="1" x14ac:dyDescent="0.25">
      <c r="A417" s="26" t="str">
        <f>CONCATENATE(RIGHT(LEFT(RecebimentoConcreto[[#This Row],[Obra]],5),4),"RCBC",TEXT(RecebimentoConcreto[[#This Row],[Ordem]],"0000"))</f>
        <v>0184RCBC0862</v>
      </c>
      <c r="B417" s="1">
        <v>862</v>
      </c>
      <c r="C417" s="1" t="s">
        <v>21</v>
      </c>
      <c r="D417" s="35">
        <v>44992</v>
      </c>
      <c r="E417" s="1" t="s">
        <v>1266</v>
      </c>
      <c r="F417" s="2" t="s">
        <v>1267</v>
      </c>
      <c r="G417" s="2">
        <v>58691</v>
      </c>
      <c r="H417" s="2" t="s">
        <v>1268</v>
      </c>
      <c r="I417" s="5" t="s">
        <v>1269</v>
      </c>
      <c r="J417" s="5">
        <v>0.69930555555555562</v>
      </c>
      <c r="K417" s="32">
        <f>_xlfn.MAXIFS(ConsumoConcreto[Fim do Bombeamento],ConsumoConcreto[RecebimentoID],RecebimentoConcreto[[#This Row],[RecebimentoID]])</f>
        <v>0.72777777777777775</v>
      </c>
      <c r="L417" s="1" t="s">
        <v>1270</v>
      </c>
      <c r="M417" s="37">
        <v>36892</v>
      </c>
      <c r="N417" s="5" t="s">
        <v>25</v>
      </c>
      <c r="O417" s="9">
        <v>14.5</v>
      </c>
      <c r="P417" s="5" t="s">
        <v>26</v>
      </c>
      <c r="Q417" s="2"/>
      <c r="R417" s="5" t="s">
        <v>27</v>
      </c>
      <c r="S417" s="5" t="s">
        <v>500</v>
      </c>
      <c r="T417" s="39">
        <v>520</v>
      </c>
    </row>
    <row r="418" spans="1:20" ht="20.100000000000001" hidden="1" customHeight="1" x14ac:dyDescent="0.25">
      <c r="A418" s="26" t="str">
        <f>CONCATENATE(RIGHT(LEFT(RecebimentoConcreto[[#This Row],[Obra]],5),4),"RCBC",TEXT(RecebimentoConcreto[[#This Row],[Ordem]],"0000"))</f>
        <v>0184RCBC0863</v>
      </c>
      <c r="B418" s="1">
        <v>863</v>
      </c>
      <c r="C418" s="1" t="s">
        <v>21</v>
      </c>
      <c r="D418" s="35">
        <v>44993</v>
      </c>
      <c r="E418" s="1" t="s">
        <v>1132</v>
      </c>
      <c r="F418" s="2" t="s">
        <v>1271</v>
      </c>
      <c r="G418" s="2">
        <v>58691</v>
      </c>
      <c r="H418" s="2" t="s">
        <v>1272</v>
      </c>
      <c r="I418" s="5" t="s">
        <v>1273</v>
      </c>
      <c r="J418" s="5">
        <v>0.67569444444444438</v>
      </c>
      <c r="K418" s="32">
        <f>_xlfn.MAXIFS(ConsumoConcreto[Fim do Bombeamento],ConsumoConcreto[RecebimentoID],RecebimentoConcreto[[#This Row],[RecebimentoID]])</f>
        <v>0.7284722222222223</v>
      </c>
      <c r="L418" s="1" t="s">
        <v>681</v>
      </c>
      <c r="M418" s="37">
        <v>36892</v>
      </c>
      <c r="N418" s="5" t="s">
        <v>25</v>
      </c>
      <c r="O418" s="9">
        <v>14.5</v>
      </c>
      <c r="P418" s="5" t="s">
        <v>26</v>
      </c>
      <c r="Q418" s="2"/>
      <c r="R418" s="5" t="s">
        <v>27</v>
      </c>
      <c r="S418" s="5" t="s">
        <v>500</v>
      </c>
      <c r="T418" s="39">
        <v>520</v>
      </c>
    </row>
    <row r="419" spans="1:20" ht="20.100000000000001" hidden="1" customHeight="1" x14ac:dyDescent="0.25">
      <c r="A419" s="26" t="str">
        <f>CONCATENATE(RIGHT(LEFT(RecebimentoConcreto[[#This Row],[Obra]],5),4),"RCBC",TEXT(RecebimentoConcreto[[#This Row],[Ordem]],"0000"))</f>
        <v>0184RCBC0864</v>
      </c>
      <c r="B419" s="1">
        <v>864</v>
      </c>
      <c r="C419" s="1" t="s">
        <v>21</v>
      </c>
      <c r="D419" s="35">
        <v>44995</v>
      </c>
      <c r="E419" s="1" t="s">
        <v>653</v>
      </c>
      <c r="F419" s="2" t="s">
        <v>1274</v>
      </c>
      <c r="G419" s="2">
        <v>58691</v>
      </c>
      <c r="H419" s="2" t="s">
        <v>1275</v>
      </c>
      <c r="I419" s="5" t="s">
        <v>1276</v>
      </c>
      <c r="J419" s="5">
        <v>0.71180555555555547</v>
      </c>
      <c r="K419" s="32">
        <f>_xlfn.MAXIFS(ConsumoConcreto[Fim do Bombeamento],ConsumoConcreto[RecebimentoID],RecebimentoConcreto[[#This Row],[RecebimentoID]])</f>
        <v>0.74097222222222225</v>
      </c>
      <c r="L419" s="1" t="s">
        <v>1277</v>
      </c>
      <c r="M419" s="37">
        <v>36892</v>
      </c>
      <c r="N419" s="5" t="s">
        <v>25</v>
      </c>
      <c r="O419" s="9">
        <v>14.5</v>
      </c>
      <c r="P419" s="5" t="s">
        <v>26</v>
      </c>
      <c r="Q419" s="2"/>
      <c r="R419" s="5" t="s">
        <v>27</v>
      </c>
      <c r="S419" s="5" t="s">
        <v>500</v>
      </c>
      <c r="T419" s="39">
        <v>520</v>
      </c>
    </row>
    <row r="420" spans="1:20" ht="20.100000000000001" hidden="1" customHeight="1" x14ac:dyDescent="0.25">
      <c r="A420" s="26" t="str">
        <f>CONCATENATE(RIGHT(LEFT(RecebimentoConcreto[[#This Row],[Obra]],5),4),"RCBC",TEXT(RecebimentoConcreto[[#This Row],[Ordem]],"0000"))</f>
        <v>0184RCBC0865</v>
      </c>
      <c r="B420" s="1">
        <v>865</v>
      </c>
      <c r="C420" s="1" t="s">
        <v>21</v>
      </c>
      <c r="D420" s="35"/>
      <c r="K420" s="32">
        <f>_xlfn.MAXIFS(ConsumoConcreto[Fim do Bombeamento],ConsumoConcreto[RecebimentoID],RecebimentoConcreto[[#This Row],[RecebimentoID]])</f>
        <v>0</v>
      </c>
      <c r="M420" s="37">
        <v>36892</v>
      </c>
      <c r="N420" s="5" t="s">
        <v>25</v>
      </c>
      <c r="O420" s="9"/>
      <c r="P420" s="5" t="s">
        <v>26</v>
      </c>
      <c r="Q420" s="2"/>
      <c r="R420" s="5" t="s">
        <v>27</v>
      </c>
      <c r="S420" s="5"/>
    </row>
    <row r="421" spans="1:20" ht="20.100000000000001" hidden="1" customHeight="1" x14ac:dyDescent="0.25">
      <c r="A421" s="26" t="str">
        <f>CONCATENATE(RIGHT(LEFT(RecebimentoConcreto[[#This Row],[Obra]],5),4),"RCBC",TEXT(RecebimentoConcreto[[#This Row],[Ordem]],"0000"))</f>
        <v>0184RCBC0866</v>
      </c>
      <c r="B421" s="1">
        <v>866</v>
      </c>
      <c r="C421" s="1" t="s">
        <v>21</v>
      </c>
      <c r="D421" s="35"/>
      <c r="K421" s="32">
        <f>_xlfn.MAXIFS(ConsumoConcreto[Fim do Bombeamento],ConsumoConcreto[RecebimentoID],RecebimentoConcreto[[#This Row],[RecebimentoID]])</f>
        <v>0</v>
      </c>
      <c r="M421" s="37">
        <v>36892</v>
      </c>
      <c r="N421" s="5" t="s">
        <v>25</v>
      </c>
      <c r="O421" s="9"/>
      <c r="P421" s="5" t="s">
        <v>26</v>
      </c>
      <c r="Q421" s="2"/>
      <c r="R421" s="5" t="s">
        <v>27</v>
      </c>
      <c r="S421" s="5"/>
    </row>
    <row r="422" spans="1:20" ht="20.100000000000001" hidden="1" customHeight="1" x14ac:dyDescent="0.25">
      <c r="A422" s="26" t="str">
        <f>CONCATENATE(RIGHT(LEFT(RecebimentoConcreto[[#This Row],[Obra]],5),4),"RCBC",TEXT(RecebimentoConcreto[[#This Row],[Ordem]],"0000"))</f>
        <v>0184RCBC0867</v>
      </c>
      <c r="B422" s="1">
        <v>867</v>
      </c>
      <c r="C422" s="1" t="s">
        <v>21</v>
      </c>
      <c r="D422" s="35"/>
      <c r="K422" s="32">
        <f>_xlfn.MAXIFS(ConsumoConcreto[Fim do Bombeamento],ConsumoConcreto[RecebimentoID],RecebimentoConcreto[[#This Row],[RecebimentoID]])</f>
        <v>0</v>
      </c>
      <c r="M422" s="37">
        <v>36892</v>
      </c>
      <c r="N422" s="5" t="s">
        <v>25</v>
      </c>
      <c r="O422" s="9"/>
      <c r="P422" s="5" t="s">
        <v>26</v>
      </c>
      <c r="Q422" s="2"/>
      <c r="R422" s="5" t="s">
        <v>27</v>
      </c>
      <c r="S422" s="5"/>
    </row>
    <row r="423" spans="1:20" ht="20.100000000000001" hidden="1" customHeight="1" x14ac:dyDescent="0.25">
      <c r="A423" s="26" t="str">
        <f>CONCATENATE(RIGHT(LEFT(RecebimentoConcreto[[#This Row],[Obra]],5),4),"RCBC",TEXT(RecebimentoConcreto[[#This Row],[Ordem]],"0000"))</f>
        <v>0184RCBC0868</v>
      </c>
      <c r="B423" s="1">
        <v>868</v>
      </c>
      <c r="C423" s="1" t="s">
        <v>21</v>
      </c>
      <c r="D423" s="35">
        <v>44272</v>
      </c>
      <c r="E423" s="1" t="s">
        <v>1278</v>
      </c>
      <c r="F423" s="2" t="s">
        <v>1279</v>
      </c>
      <c r="G423" s="2">
        <v>58691</v>
      </c>
      <c r="H423" s="2" t="s">
        <v>1280</v>
      </c>
      <c r="I423" s="5" t="s">
        <v>1281</v>
      </c>
      <c r="J423" s="5">
        <v>0.81041666666666667</v>
      </c>
      <c r="K423" s="32">
        <f>_xlfn.MAXIFS(ConsumoConcreto[Fim do Bombeamento],ConsumoConcreto[RecebimentoID],RecebimentoConcreto[[#This Row],[RecebimentoID]])</f>
        <v>0.9291666666666667</v>
      </c>
      <c r="L423" s="1" t="s">
        <v>1282</v>
      </c>
      <c r="M423" s="37">
        <v>36892</v>
      </c>
      <c r="N423" s="5" t="s">
        <v>25</v>
      </c>
      <c r="O423" s="9">
        <v>18.5</v>
      </c>
      <c r="P423" s="5" t="s">
        <v>26</v>
      </c>
      <c r="Q423" s="2">
        <v>9</v>
      </c>
      <c r="R423" s="5" t="s">
        <v>27</v>
      </c>
      <c r="S423" s="5" t="s">
        <v>500</v>
      </c>
      <c r="T423" s="39">
        <v>520</v>
      </c>
    </row>
    <row r="424" spans="1:20" ht="20.100000000000001" hidden="1" customHeight="1" x14ac:dyDescent="0.25">
      <c r="A424" s="26" t="str">
        <f>CONCATENATE(RIGHT(LEFT(RecebimentoConcreto[[#This Row],[Obra]],5),4),"RCBC",TEXT(RecebimentoConcreto[[#This Row],[Ordem]],"0000"))</f>
        <v>0184RCBC0883</v>
      </c>
      <c r="B424" s="1">
        <v>883</v>
      </c>
      <c r="C424" s="1" t="s">
        <v>21</v>
      </c>
      <c r="D424" s="35">
        <v>44998</v>
      </c>
      <c r="E424" s="1" t="s">
        <v>1283</v>
      </c>
      <c r="F424" s="2" t="s">
        <v>1284</v>
      </c>
      <c r="G424" s="2">
        <v>58691</v>
      </c>
      <c r="H424" s="2" t="s">
        <v>1285</v>
      </c>
      <c r="I424" s="5" t="s">
        <v>1286</v>
      </c>
      <c r="J424" s="5">
        <v>0.67291666666666661</v>
      </c>
      <c r="K424" s="32">
        <f>_xlfn.MAXIFS(ConsumoConcreto[Fim do Bombeamento],ConsumoConcreto[RecebimentoID],RecebimentoConcreto[[#This Row],[RecebimentoID]])</f>
        <v>0.70277777777777783</v>
      </c>
      <c r="L424" s="1" t="s">
        <v>1257</v>
      </c>
      <c r="M424" s="37">
        <v>36892</v>
      </c>
      <c r="N424" s="5" t="s">
        <v>25</v>
      </c>
      <c r="O424" s="9">
        <v>14.5</v>
      </c>
      <c r="P424" s="5" t="s">
        <v>26</v>
      </c>
      <c r="Q424" s="2">
        <v>9</v>
      </c>
      <c r="R424" s="5" t="s">
        <v>27</v>
      </c>
      <c r="S424" s="5" t="s">
        <v>500</v>
      </c>
      <c r="T424" s="39">
        <v>520</v>
      </c>
    </row>
    <row r="425" spans="1:20" ht="20.100000000000001" hidden="1" customHeight="1" x14ac:dyDescent="0.25">
      <c r="A425" s="26" t="str">
        <f>CONCATENATE(RIGHT(LEFT(RecebimentoConcreto[[#This Row],[Obra]],5),4),"RCBC",TEXT(RecebimentoConcreto[[#This Row],[Ordem]],"0000"))</f>
        <v>0184RCBC0884</v>
      </c>
      <c r="B425" s="1">
        <v>884</v>
      </c>
      <c r="C425" s="1" t="s">
        <v>21</v>
      </c>
      <c r="D425" s="35">
        <v>44998</v>
      </c>
      <c r="E425" s="1" t="s">
        <v>1287</v>
      </c>
      <c r="F425" s="2" t="s">
        <v>1288</v>
      </c>
      <c r="G425" s="2">
        <v>58691</v>
      </c>
      <c r="H425" s="2" t="s">
        <v>1289</v>
      </c>
      <c r="I425" s="5" t="s">
        <v>1290</v>
      </c>
      <c r="J425" s="5">
        <v>0.7284722222222223</v>
      </c>
      <c r="K425" s="32">
        <f>_xlfn.MAXIFS(ConsumoConcreto[Fim do Bombeamento],ConsumoConcreto[RecebimentoID],RecebimentoConcreto[[#This Row],[RecebimentoID]])</f>
        <v>0.7715277777777777</v>
      </c>
      <c r="L425" s="1" t="s">
        <v>1291</v>
      </c>
      <c r="M425" s="37">
        <v>36892</v>
      </c>
      <c r="N425" s="5" t="s">
        <v>25</v>
      </c>
      <c r="O425" s="9">
        <v>14.5</v>
      </c>
      <c r="P425" s="5" t="s">
        <v>26</v>
      </c>
      <c r="Q425" s="2">
        <v>9</v>
      </c>
      <c r="R425" s="5" t="s">
        <v>27</v>
      </c>
      <c r="S425" s="5" t="s">
        <v>500</v>
      </c>
      <c r="T425" s="39">
        <v>520</v>
      </c>
    </row>
    <row r="426" spans="1:20" ht="20.100000000000001" hidden="1" customHeight="1" x14ac:dyDescent="0.25">
      <c r="A426" s="26" t="str">
        <f>CONCATENATE(RIGHT(LEFT(RecebimentoConcreto[[#This Row],[Obra]],5),4),"RCBC",TEXT(RecebimentoConcreto[[#This Row],[Ordem]],"0000"))</f>
        <v>0184RCBC0885</v>
      </c>
      <c r="B426" s="1">
        <v>885</v>
      </c>
      <c r="C426" s="1" t="s">
        <v>21</v>
      </c>
      <c r="D426" s="35">
        <v>44999</v>
      </c>
      <c r="E426" s="1" t="s">
        <v>1292</v>
      </c>
      <c r="F426" s="2" t="s">
        <v>1293</v>
      </c>
      <c r="G426" s="2">
        <v>58691</v>
      </c>
      <c r="H426" s="2" t="s">
        <v>1294</v>
      </c>
      <c r="I426" s="5" t="s">
        <v>1295</v>
      </c>
      <c r="J426" s="5">
        <v>0.66111111111111109</v>
      </c>
      <c r="K426" s="32">
        <f>_xlfn.MAXIFS(ConsumoConcreto[Fim do Bombeamento],ConsumoConcreto[RecebimentoID],RecebimentoConcreto[[#This Row],[RecebimentoID]])</f>
        <v>0.7055555555555556</v>
      </c>
      <c r="L426" s="1" t="s">
        <v>681</v>
      </c>
      <c r="M426" s="37">
        <v>36892</v>
      </c>
      <c r="N426" s="5" t="s">
        <v>25</v>
      </c>
      <c r="O426" s="9">
        <v>14.5</v>
      </c>
      <c r="P426" s="5" t="s">
        <v>26</v>
      </c>
      <c r="Q426" s="2">
        <v>9</v>
      </c>
      <c r="R426" s="5" t="s">
        <v>27</v>
      </c>
      <c r="S426" s="5" t="s">
        <v>500</v>
      </c>
      <c r="T426" s="39">
        <v>520</v>
      </c>
    </row>
    <row r="427" spans="1:20" ht="20.100000000000001" hidden="1" customHeight="1" x14ac:dyDescent="0.25">
      <c r="A427" s="26" t="str">
        <f>CONCATENATE(RIGHT(LEFT(RecebimentoConcreto[[#This Row],[Obra]],5),4),"RCBC",TEXT(RecebimentoConcreto[[#This Row],[Ordem]],"0000"))</f>
        <v>0184RCBC0886</v>
      </c>
      <c r="B427" s="1">
        <v>886</v>
      </c>
      <c r="C427" s="1" t="s">
        <v>21</v>
      </c>
      <c r="D427" s="35">
        <v>45000</v>
      </c>
      <c r="E427" s="1" t="s">
        <v>1296</v>
      </c>
      <c r="F427" s="2" t="s">
        <v>1297</v>
      </c>
      <c r="G427" s="2">
        <v>58691</v>
      </c>
      <c r="H427" s="2" t="s">
        <v>1298</v>
      </c>
      <c r="I427" s="5" t="s">
        <v>1299</v>
      </c>
      <c r="J427" s="5">
        <v>0.60902777777777783</v>
      </c>
      <c r="K427" s="32">
        <f>_xlfn.MAXIFS(ConsumoConcreto[Fim do Bombeamento],ConsumoConcreto[RecebimentoID],RecebimentoConcreto[[#This Row],[RecebimentoID]])</f>
        <v>0.63888888888888895</v>
      </c>
      <c r="L427" s="1" t="s">
        <v>1300</v>
      </c>
      <c r="M427" s="37">
        <v>36892</v>
      </c>
      <c r="N427" s="5" t="s">
        <v>25</v>
      </c>
      <c r="O427" s="9">
        <v>14.5</v>
      </c>
      <c r="P427" s="5" t="s">
        <v>26</v>
      </c>
      <c r="Q427" s="2">
        <v>9</v>
      </c>
      <c r="R427" s="5" t="s">
        <v>27</v>
      </c>
      <c r="S427" s="5" t="s">
        <v>500</v>
      </c>
      <c r="T427" s="39">
        <v>520</v>
      </c>
    </row>
    <row r="428" spans="1:20" ht="20.100000000000001" hidden="1" customHeight="1" x14ac:dyDescent="0.25">
      <c r="A428" s="26" t="str">
        <f>CONCATENATE(RIGHT(LEFT(RecebimentoConcreto[[#This Row],[Obra]],5),4),"RCBC",TEXT(RecebimentoConcreto[[#This Row],[Ordem]],"0000"))</f>
        <v>0184RCBC0887</v>
      </c>
      <c r="B428" s="1">
        <v>887</v>
      </c>
      <c r="C428" s="1" t="s">
        <v>21</v>
      </c>
      <c r="D428" s="35">
        <v>45000</v>
      </c>
      <c r="E428" s="1" t="s">
        <v>1301</v>
      </c>
      <c r="F428" s="2" t="s">
        <v>1302</v>
      </c>
      <c r="G428" s="2">
        <v>58691</v>
      </c>
      <c r="H428" s="2" t="s">
        <v>1303</v>
      </c>
      <c r="I428" s="5" t="s">
        <v>1304</v>
      </c>
      <c r="J428" s="5">
        <v>0.66666666666666663</v>
      </c>
      <c r="K428" s="32">
        <f>_xlfn.MAXIFS(ConsumoConcreto[Fim do Bombeamento],ConsumoConcreto[RecebimentoID],RecebimentoConcreto[[#This Row],[RecebimentoID]])</f>
        <v>0.70694444444444438</v>
      </c>
      <c r="L428" s="1" t="s">
        <v>1052</v>
      </c>
      <c r="M428" s="37">
        <v>36892</v>
      </c>
      <c r="N428" s="5" t="s">
        <v>25</v>
      </c>
      <c r="O428" s="9">
        <v>14.5</v>
      </c>
      <c r="P428" s="5" t="s">
        <v>26</v>
      </c>
      <c r="Q428" s="2">
        <v>9</v>
      </c>
      <c r="R428" s="5" t="s">
        <v>27</v>
      </c>
      <c r="S428" s="5" t="s">
        <v>500</v>
      </c>
      <c r="T428" s="39">
        <v>520</v>
      </c>
    </row>
    <row r="429" spans="1:20" ht="20.100000000000001" hidden="1" customHeight="1" x14ac:dyDescent="0.25">
      <c r="A429" s="26" t="str">
        <f>CONCATENATE(RIGHT(LEFT(RecebimentoConcreto[[#This Row],[Obra]],5),4),"RCBC",TEXT(RecebimentoConcreto[[#This Row],[Ordem]],"0000"))</f>
        <v>0184RCBC0888</v>
      </c>
      <c r="B429" s="1">
        <v>888</v>
      </c>
      <c r="C429" s="1" t="s">
        <v>21</v>
      </c>
      <c r="D429" s="35">
        <v>45001</v>
      </c>
      <c r="E429" s="1" t="s">
        <v>1305</v>
      </c>
      <c r="F429" s="2" t="s">
        <v>1306</v>
      </c>
      <c r="G429" s="2">
        <v>58691</v>
      </c>
      <c r="H429" s="2" t="s">
        <v>1307</v>
      </c>
      <c r="I429" s="5" t="s">
        <v>1308</v>
      </c>
      <c r="J429" s="5">
        <v>0.70208333333333339</v>
      </c>
      <c r="K429" s="32">
        <f>_xlfn.MAXIFS(ConsumoConcreto[Fim do Bombeamento],ConsumoConcreto[RecebimentoID],RecebimentoConcreto[[#This Row],[RecebimentoID]])</f>
        <v>0.74861111111111101</v>
      </c>
      <c r="L429" s="1" t="s">
        <v>767</v>
      </c>
      <c r="M429" s="37">
        <v>36892</v>
      </c>
      <c r="N429" s="5" t="s">
        <v>25</v>
      </c>
      <c r="O429" s="9">
        <v>15</v>
      </c>
      <c r="P429" s="5" t="s">
        <v>26</v>
      </c>
      <c r="Q429" s="2">
        <v>9</v>
      </c>
      <c r="R429" s="5" t="s">
        <v>27</v>
      </c>
      <c r="S429" s="5" t="s">
        <v>500</v>
      </c>
      <c r="T429" s="39">
        <v>520</v>
      </c>
    </row>
    <row r="430" spans="1:20" ht="20.100000000000001" hidden="1" customHeight="1" x14ac:dyDescent="0.25">
      <c r="A430" s="26" t="str">
        <f>CONCATENATE(RIGHT(LEFT(RecebimentoConcreto[[#This Row],[Obra]],5),4),"RCBC",TEXT(RecebimentoConcreto[[#This Row],[Ordem]],"0000"))</f>
        <v>0184RCBC0889</v>
      </c>
      <c r="B430" s="1">
        <v>889</v>
      </c>
      <c r="C430" s="1" t="s">
        <v>21</v>
      </c>
      <c r="D430" s="35">
        <v>45001</v>
      </c>
      <c r="E430" s="1" t="s">
        <v>1192</v>
      </c>
      <c r="F430" s="2" t="s">
        <v>1309</v>
      </c>
      <c r="G430" s="2">
        <v>58691</v>
      </c>
      <c r="H430" s="2" t="s">
        <v>1310</v>
      </c>
      <c r="I430" s="5" t="s">
        <v>1311</v>
      </c>
      <c r="J430" s="5">
        <v>0.66249999999999998</v>
      </c>
      <c r="K430" s="32">
        <f>_xlfn.MAXIFS(ConsumoConcreto[Fim do Bombeamento],ConsumoConcreto[RecebimentoID],RecebimentoConcreto[[#This Row],[RecebimentoID]])</f>
        <v>0.6958333333333333</v>
      </c>
      <c r="L430" s="1" t="s">
        <v>1206</v>
      </c>
      <c r="M430" s="37">
        <v>36892</v>
      </c>
      <c r="N430" s="5" t="s">
        <v>25</v>
      </c>
      <c r="O430" s="9">
        <v>14.5</v>
      </c>
      <c r="P430" s="5" t="s">
        <v>26</v>
      </c>
      <c r="Q430" s="2">
        <v>9</v>
      </c>
      <c r="R430" s="5" t="s">
        <v>27</v>
      </c>
      <c r="S430" s="5" t="s">
        <v>500</v>
      </c>
      <c r="T430" s="39">
        <v>520</v>
      </c>
    </row>
    <row r="431" spans="1:20" ht="20.100000000000001" hidden="1" customHeight="1" x14ac:dyDescent="0.25">
      <c r="A431" s="26" t="str">
        <f>CONCATENATE(RIGHT(LEFT(RecebimentoConcreto[[#This Row],[Obra]],5),4),"RCBC",TEXT(RecebimentoConcreto[[#This Row],[Ordem]],"0000"))</f>
        <v>0184RCBC0890</v>
      </c>
      <c r="B431" s="1">
        <v>890</v>
      </c>
      <c r="C431" s="1" t="s">
        <v>21</v>
      </c>
      <c r="D431" s="35">
        <v>45002</v>
      </c>
      <c r="E431" s="1" t="s">
        <v>1312</v>
      </c>
      <c r="F431" s="2" t="s">
        <v>1313</v>
      </c>
      <c r="G431" s="2">
        <v>58691</v>
      </c>
      <c r="H431" s="2" t="s">
        <v>1314</v>
      </c>
      <c r="I431" s="5" t="s">
        <v>1315</v>
      </c>
      <c r="J431" s="5">
        <v>0.75</v>
      </c>
      <c r="K431" s="32">
        <f>_xlfn.MAXIFS(ConsumoConcreto[Fim do Bombeamento],ConsumoConcreto[RecebimentoID],RecebimentoConcreto[[#This Row],[RecebimentoID]])</f>
        <v>0.77916666666666667</v>
      </c>
      <c r="L431" s="1" t="s">
        <v>703</v>
      </c>
      <c r="M431" s="37">
        <v>36892</v>
      </c>
      <c r="N431" s="5" t="s">
        <v>25</v>
      </c>
      <c r="O431" s="9">
        <v>14.5</v>
      </c>
      <c r="P431" s="5" t="s">
        <v>26</v>
      </c>
      <c r="Q431" s="2">
        <v>9</v>
      </c>
      <c r="R431" s="5" t="s">
        <v>27</v>
      </c>
      <c r="S431" s="5" t="s">
        <v>500</v>
      </c>
      <c r="T431" s="39">
        <v>520</v>
      </c>
    </row>
    <row r="432" spans="1:20" ht="20.100000000000001" hidden="1" customHeight="1" x14ac:dyDescent="0.25">
      <c r="A432" s="26" t="str">
        <f>CONCATENATE(RIGHT(LEFT(RecebimentoConcreto[[#This Row],[Obra]],5),4),"RCBC",TEXT(RecebimentoConcreto[[#This Row],[Ordem]],"0000"))</f>
        <v>0184RCBC0891</v>
      </c>
      <c r="B432" s="1">
        <v>891</v>
      </c>
      <c r="C432" s="1" t="s">
        <v>21</v>
      </c>
      <c r="D432" s="35">
        <v>45005</v>
      </c>
      <c r="E432" s="1" t="s">
        <v>1316</v>
      </c>
      <c r="F432" s="2" t="s">
        <v>1317</v>
      </c>
      <c r="G432" s="2">
        <v>58691</v>
      </c>
      <c r="H432" s="2" t="s">
        <v>1318</v>
      </c>
      <c r="I432" s="5" t="s">
        <v>1319</v>
      </c>
      <c r="J432" s="5">
        <v>0.69305555555555554</v>
      </c>
      <c r="K432" s="32">
        <f>_xlfn.MAXIFS(ConsumoConcreto[Fim do Bombeamento],ConsumoConcreto[RecebimentoID],RecebimentoConcreto[[#This Row],[RecebimentoID]])</f>
        <v>0.72152777777777777</v>
      </c>
      <c r="L432" s="1" t="s">
        <v>676</v>
      </c>
      <c r="M432" s="37">
        <v>36892</v>
      </c>
      <c r="N432" s="5" t="s">
        <v>25</v>
      </c>
      <c r="O432" s="9">
        <v>14.5</v>
      </c>
      <c r="P432" s="5" t="s">
        <v>26</v>
      </c>
      <c r="Q432" s="2">
        <v>9</v>
      </c>
      <c r="R432" s="5" t="s">
        <v>27</v>
      </c>
      <c r="S432" s="5" t="s">
        <v>500</v>
      </c>
      <c r="T432" s="39">
        <v>520</v>
      </c>
    </row>
    <row r="433" spans="1:20" ht="20.100000000000001" hidden="1" customHeight="1" x14ac:dyDescent="0.25">
      <c r="A433" s="26" t="str">
        <f>CONCATENATE(RIGHT(LEFT(RecebimentoConcreto[[#This Row],[Obra]],5),4),"RCBC",TEXT(RecebimentoConcreto[[#This Row],[Ordem]],"0000"))</f>
        <v>0184RCBC0892</v>
      </c>
      <c r="B433" s="1">
        <v>892</v>
      </c>
      <c r="C433" s="1" t="s">
        <v>21</v>
      </c>
      <c r="D433" s="35">
        <v>45005</v>
      </c>
      <c r="E433" s="1" t="s">
        <v>1320</v>
      </c>
      <c r="F433" s="2" t="s">
        <v>1321</v>
      </c>
      <c r="G433" s="2">
        <v>58691</v>
      </c>
      <c r="H433" s="2" t="s">
        <v>1322</v>
      </c>
      <c r="I433" s="5" t="s">
        <v>1323</v>
      </c>
      <c r="J433" s="5">
        <v>0.73125000000000007</v>
      </c>
      <c r="K433" s="32">
        <f>_xlfn.MAXIFS(ConsumoConcreto[Fim do Bombeamento],ConsumoConcreto[RecebimentoID],RecebimentoConcreto[[#This Row],[RecebimentoID]])</f>
        <v>0.78055555555555556</v>
      </c>
      <c r="L433" s="1" t="s">
        <v>508</v>
      </c>
      <c r="M433" s="37">
        <v>36892</v>
      </c>
      <c r="N433" s="5" t="s">
        <v>25</v>
      </c>
      <c r="O433" s="9">
        <v>14.5</v>
      </c>
      <c r="P433" s="5" t="s">
        <v>26</v>
      </c>
      <c r="Q433" s="2">
        <v>9</v>
      </c>
      <c r="R433" s="5" t="s">
        <v>27</v>
      </c>
      <c r="S433" s="5" t="s">
        <v>500</v>
      </c>
      <c r="T433" s="39">
        <v>520</v>
      </c>
    </row>
    <row r="434" spans="1:20" ht="20.100000000000001" hidden="1" customHeight="1" x14ac:dyDescent="0.25">
      <c r="A434" s="26" t="str">
        <f>CONCATENATE(RIGHT(LEFT(RecebimentoConcreto[[#This Row],[Obra]],5),4),"RCBC",TEXT(RecebimentoConcreto[[#This Row],[Ordem]],"0000"))</f>
        <v>0184RCBC0893</v>
      </c>
      <c r="B434" s="1">
        <v>893</v>
      </c>
      <c r="C434" s="1" t="s">
        <v>21</v>
      </c>
      <c r="D434" s="35">
        <v>45006</v>
      </c>
      <c r="E434" s="1" t="s">
        <v>1324</v>
      </c>
      <c r="F434" s="2" t="s">
        <v>1325</v>
      </c>
      <c r="G434" s="2">
        <v>58691</v>
      </c>
      <c r="H434" s="2" t="s">
        <v>1326</v>
      </c>
      <c r="I434" s="5" t="s">
        <v>1327</v>
      </c>
      <c r="J434" s="5">
        <v>0.64166666666666672</v>
      </c>
      <c r="K434" s="32">
        <f>_xlfn.MAXIFS(ConsumoConcreto[Fim do Bombeamento],ConsumoConcreto[RecebimentoID],RecebimentoConcreto[[#This Row],[RecebimentoID]])</f>
        <v>0.67013888888888884</v>
      </c>
      <c r="L434" s="1" t="s">
        <v>1328</v>
      </c>
      <c r="M434" s="37">
        <v>36892</v>
      </c>
      <c r="N434" s="5" t="s">
        <v>25</v>
      </c>
      <c r="O434" s="9">
        <v>14.5</v>
      </c>
      <c r="P434" s="5" t="s">
        <v>26</v>
      </c>
      <c r="Q434" s="2">
        <v>9</v>
      </c>
      <c r="R434" s="5" t="s">
        <v>27</v>
      </c>
      <c r="S434" s="5" t="s">
        <v>500</v>
      </c>
      <c r="T434" s="39">
        <v>520</v>
      </c>
    </row>
    <row r="435" spans="1:20" ht="20.100000000000001" hidden="1" customHeight="1" x14ac:dyDescent="0.25">
      <c r="A435" s="26" t="str">
        <f>CONCATENATE(RIGHT(LEFT(RecebimentoConcreto[[#This Row],[Obra]],5),4),"RCBC",TEXT(RecebimentoConcreto[[#This Row],[Ordem]],"0000"))</f>
        <v>0184RCBC0894</v>
      </c>
      <c r="B435" s="1">
        <v>894</v>
      </c>
      <c r="C435" s="1" t="s">
        <v>21</v>
      </c>
      <c r="D435" s="35">
        <v>45006</v>
      </c>
      <c r="E435" s="1" t="s">
        <v>1329</v>
      </c>
      <c r="F435" s="2" t="s">
        <v>1330</v>
      </c>
      <c r="G435" s="2">
        <v>58691</v>
      </c>
      <c r="H435" s="2" t="s">
        <v>1331</v>
      </c>
      <c r="I435" s="5" t="s">
        <v>1332</v>
      </c>
      <c r="J435" s="5">
        <v>0.6791666666666667</v>
      </c>
      <c r="K435" s="32">
        <f>_xlfn.MAXIFS(ConsumoConcreto[Fim do Bombeamento],ConsumoConcreto[RecebimentoID],RecebimentoConcreto[[#This Row],[RecebimentoID]])</f>
        <v>0.72777777777777775</v>
      </c>
      <c r="L435" s="1" t="s">
        <v>726</v>
      </c>
      <c r="M435" s="37">
        <v>36892</v>
      </c>
      <c r="N435" s="5" t="s">
        <v>25</v>
      </c>
      <c r="O435" s="9">
        <v>14.5</v>
      </c>
      <c r="P435" s="5" t="s">
        <v>26</v>
      </c>
      <c r="Q435" s="2">
        <v>9</v>
      </c>
      <c r="R435" s="5" t="s">
        <v>27</v>
      </c>
      <c r="S435" s="5" t="s">
        <v>500</v>
      </c>
      <c r="T435" s="39">
        <v>520</v>
      </c>
    </row>
    <row r="436" spans="1:20" ht="20.100000000000001" hidden="1" customHeight="1" x14ac:dyDescent="0.25">
      <c r="A436" s="26" t="str">
        <f>CONCATENATE(RIGHT(LEFT(RecebimentoConcreto[[#This Row],[Obra]],5),4),"RCBC",TEXT(RecebimentoConcreto[[#This Row],[Ordem]],"0000"))</f>
        <v>0184RCBC0895</v>
      </c>
      <c r="B436" s="1">
        <v>895</v>
      </c>
      <c r="C436" s="1" t="s">
        <v>21</v>
      </c>
      <c r="D436" s="35">
        <v>45007</v>
      </c>
      <c r="E436" s="1" t="s">
        <v>1333</v>
      </c>
      <c r="F436" s="2" t="s">
        <v>1334</v>
      </c>
      <c r="G436" s="2">
        <v>58691</v>
      </c>
      <c r="H436" s="2" t="s">
        <v>1335</v>
      </c>
      <c r="I436" s="5" t="s">
        <v>1336</v>
      </c>
      <c r="J436" s="5">
        <v>0.66111111111111109</v>
      </c>
      <c r="K436" s="32">
        <f>_xlfn.MAXIFS(ConsumoConcreto[Fim do Bombeamento],ConsumoConcreto[RecebimentoID],RecebimentoConcreto[[#This Row],[RecebimentoID]])</f>
        <v>0.69861111111111107</v>
      </c>
      <c r="L436" s="1" t="s">
        <v>1337</v>
      </c>
      <c r="M436" s="37">
        <v>36892</v>
      </c>
      <c r="N436" s="5" t="s">
        <v>25</v>
      </c>
      <c r="O436" s="9">
        <v>14.5</v>
      </c>
      <c r="P436" s="5" t="s">
        <v>26</v>
      </c>
      <c r="Q436" s="2">
        <v>9</v>
      </c>
      <c r="R436" s="5" t="s">
        <v>27</v>
      </c>
      <c r="S436" s="5" t="s">
        <v>500</v>
      </c>
      <c r="T436" s="39">
        <v>520</v>
      </c>
    </row>
    <row r="437" spans="1:20" ht="20.100000000000001" hidden="1" customHeight="1" x14ac:dyDescent="0.25">
      <c r="A437" s="26" t="str">
        <f>CONCATENATE(RIGHT(LEFT(RecebimentoConcreto[[#This Row],[Obra]],5),4),"RCBC",TEXT(RecebimentoConcreto[[#This Row],[Ordem]],"0000"))</f>
        <v>0184RCBC0909</v>
      </c>
      <c r="B437" s="1">
        <v>909</v>
      </c>
      <c r="C437" s="1" t="s">
        <v>21</v>
      </c>
      <c r="D437" s="35">
        <v>44726</v>
      </c>
      <c r="E437" s="1" t="s">
        <v>1338</v>
      </c>
      <c r="F437" s="2" t="s">
        <v>1339</v>
      </c>
      <c r="G437" s="2">
        <v>5408</v>
      </c>
      <c r="H437" s="2" t="s">
        <v>1340</v>
      </c>
      <c r="J437" s="5">
        <v>0.78888888888888886</v>
      </c>
      <c r="K437" s="32">
        <f>_xlfn.MAXIFS(ConsumoConcreto[Fim do Bombeamento],ConsumoConcreto[RecebimentoID],RecebimentoConcreto[[#This Row],[RecebimentoID]])</f>
        <v>0.84305555555555556</v>
      </c>
      <c r="M437" s="37">
        <v>36892</v>
      </c>
      <c r="N437" s="5" t="s">
        <v>25</v>
      </c>
      <c r="O437" s="9">
        <v>14.5</v>
      </c>
      <c r="P437" s="5" t="s">
        <v>26</v>
      </c>
      <c r="Q437" s="2">
        <v>3</v>
      </c>
      <c r="R437" s="5" t="s">
        <v>27</v>
      </c>
      <c r="S437" s="5" t="s">
        <v>32</v>
      </c>
      <c r="T437" s="39">
        <v>450</v>
      </c>
    </row>
    <row r="438" spans="1:20" ht="20.100000000000001" hidden="1" customHeight="1" x14ac:dyDescent="0.25">
      <c r="A438" s="26" t="str">
        <f>CONCATENATE(RIGHT(LEFT(RecebimentoConcreto[[#This Row],[Obra]],5),4),"RCBC",TEXT(RecebimentoConcreto[[#This Row],[Ordem]],"0000"))</f>
        <v>0184RCBC0910</v>
      </c>
      <c r="B438" s="1">
        <v>910</v>
      </c>
      <c r="C438" s="1" t="s">
        <v>21</v>
      </c>
      <c r="D438" s="35">
        <v>44726</v>
      </c>
      <c r="E438" s="1" t="s">
        <v>1341</v>
      </c>
      <c r="F438" s="2" t="s">
        <v>1342</v>
      </c>
      <c r="G438" s="2">
        <v>5408</v>
      </c>
      <c r="H438" s="2" t="s">
        <v>1343</v>
      </c>
      <c r="J438" s="5">
        <v>0.68888888888888899</v>
      </c>
      <c r="K438" s="32">
        <f>_xlfn.MAXIFS(ConsumoConcreto[Fim do Bombeamento],ConsumoConcreto[RecebimentoID],RecebimentoConcreto[[#This Row],[RecebimentoID]])</f>
        <v>0.76458333333333339</v>
      </c>
      <c r="M438" s="37">
        <v>36892</v>
      </c>
      <c r="N438" s="5" t="s">
        <v>25</v>
      </c>
      <c r="O438" s="9">
        <v>15</v>
      </c>
      <c r="P438" s="5" t="s">
        <v>26</v>
      </c>
      <c r="Q438" s="2">
        <v>3</v>
      </c>
      <c r="R438" s="5" t="s">
        <v>27</v>
      </c>
      <c r="S438" s="5" t="s">
        <v>32</v>
      </c>
      <c r="T438" s="39">
        <v>450</v>
      </c>
    </row>
    <row r="439" spans="1:20" ht="20.100000000000001" hidden="1" customHeight="1" x14ac:dyDescent="0.25">
      <c r="A439" s="26" t="str">
        <f>CONCATENATE(RIGHT(LEFT(RecebimentoConcreto[[#This Row],[Obra]],5),4),"RCBC",TEXT(RecebimentoConcreto[[#This Row],[Ordem]],"0000"))</f>
        <v>0184RCBC0911</v>
      </c>
      <c r="B439" s="1">
        <v>911</v>
      </c>
      <c r="C439" s="1" t="s">
        <v>21</v>
      </c>
      <c r="D439" s="35">
        <v>44727</v>
      </c>
      <c r="E439" s="1" t="s">
        <v>1344</v>
      </c>
      <c r="F439" s="2" t="s">
        <v>1345</v>
      </c>
      <c r="G439" s="2">
        <v>5408</v>
      </c>
      <c r="H439" s="2" t="s">
        <v>1346</v>
      </c>
      <c r="J439" s="5">
        <v>0.73819444444444438</v>
      </c>
      <c r="K439" s="32">
        <f>_xlfn.MAXIFS(ConsumoConcreto[Fim do Bombeamento],ConsumoConcreto[RecebimentoID],RecebimentoConcreto[[#This Row],[RecebimentoID]])</f>
        <v>0.7680555555555556</v>
      </c>
      <c r="M439" s="37">
        <v>36892</v>
      </c>
      <c r="N439" s="5" t="s">
        <v>25</v>
      </c>
      <c r="O439" s="9">
        <v>15</v>
      </c>
      <c r="P439" s="5" t="s">
        <v>26</v>
      </c>
      <c r="Q439" s="2">
        <v>3</v>
      </c>
      <c r="R439" s="5" t="s">
        <v>27</v>
      </c>
      <c r="S439" s="5" t="s">
        <v>32</v>
      </c>
      <c r="T439" s="39">
        <v>450</v>
      </c>
    </row>
    <row r="440" spans="1:20" ht="20.100000000000001" hidden="1" customHeight="1" x14ac:dyDescent="0.25">
      <c r="A440" s="26" t="str">
        <f>CONCATENATE(RIGHT(LEFT(RecebimentoConcreto[[#This Row],[Obra]],5),4),"RCBC",TEXT(RecebimentoConcreto[[#This Row],[Ordem]],"0000"))</f>
        <v>0184RCBC0912</v>
      </c>
      <c r="B440" s="1">
        <v>912</v>
      </c>
      <c r="C440" s="1" t="s">
        <v>21</v>
      </c>
      <c r="D440" s="35">
        <v>44727</v>
      </c>
      <c r="E440" s="1" t="s">
        <v>1347</v>
      </c>
      <c r="F440" s="2" t="s">
        <v>1348</v>
      </c>
      <c r="G440" s="2">
        <v>5408</v>
      </c>
      <c r="H440" s="2" t="s">
        <v>1349</v>
      </c>
      <c r="J440" s="5">
        <v>0.8041666666666667</v>
      </c>
      <c r="K440" s="32">
        <f>_xlfn.MAXIFS(ConsumoConcreto[Fim do Bombeamento],ConsumoConcreto[RecebimentoID],RecebimentoConcreto[[#This Row],[RecebimentoID]])</f>
        <v>0.8354166666666667</v>
      </c>
      <c r="M440" s="37">
        <v>36892</v>
      </c>
      <c r="N440" s="5" t="s">
        <v>25</v>
      </c>
      <c r="O440" s="9">
        <v>14.5</v>
      </c>
      <c r="P440" s="5" t="s">
        <v>26</v>
      </c>
      <c r="Q440" s="2">
        <v>3</v>
      </c>
      <c r="R440" s="5" t="s">
        <v>27</v>
      </c>
      <c r="S440" s="5" t="s">
        <v>32</v>
      </c>
      <c r="T440" s="39">
        <v>450</v>
      </c>
    </row>
    <row r="441" spans="1:20" ht="20.100000000000001" hidden="1" customHeight="1" x14ac:dyDescent="0.25">
      <c r="A441" s="26" t="str">
        <f>CONCATENATE(RIGHT(LEFT(RecebimentoConcreto[[#This Row],[Obra]],5),4),"RCBC",TEXT(RecebimentoConcreto[[#This Row],[Ordem]],"0000"))</f>
        <v>0184RCBC0913</v>
      </c>
      <c r="B441" s="1">
        <v>913</v>
      </c>
      <c r="C441" s="1" t="s">
        <v>21</v>
      </c>
      <c r="D441" s="35">
        <v>44728</v>
      </c>
      <c r="E441" s="1" t="s">
        <v>290</v>
      </c>
      <c r="F441" s="2" t="s">
        <v>1350</v>
      </c>
      <c r="G441" s="2">
        <v>5408</v>
      </c>
      <c r="H441" s="2" t="s">
        <v>1351</v>
      </c>
      <c r="J441" s="5">
        <v>0.74791666666666667</v>
      </c>
      <c r="K441" s="32">
        <f>_xlfn.MAXIFS(ConsumoConcreto[Fim do Bombeamento],ConsumoConcreto[RecebimentoID],RecebimentoConcreto[[#This Row],[RecebimentoID]])</f>
        <v>0.78749999999999998</v>
      </c>
      <c r="M441" s="37">
        <v>36892</v>
      </c>
      <c r="N441" s="5" t="s">
        <v>25</v>
      </c>
      <c r="O441" s="9">
        <v>15</v>
      </c>
      <c r="P441" s="5" t="s">
        <v>26</v>
      </c>
      <c r="Q441" s="2">
        <v>3</v>
      </c>
      <c r="R441" s="5" t="s">
        <v>27</v>
      </c>
      <c r="S441" s="5" t="s">
        <v>32</v>
      </c>
      <c r="T441" s="39">
        <v>450</v>
      </c>
    </row>
    <row r="442" spans="1:20" ht="20.100000000000001" hidden="1" customHeight="1" x14ac:dyDescent="0.25">
      <c r="A442" s="26" t="str">
        <f>CONCATENATE(RIGHT(LEFT(RecebimentoConcreto[[#This Row],[Obra]],5),4),"RCBC",TEXT(RecebimentoConcreto[[#This Row],[Ordem]],"0000"))</f>
        <v>0184RCBC0914</v>
      </c>
      <c r="B442" s="1">
        <v>914</v>
      </c>
      <c r="C442" s="1" t="s">
        <v>21</v>
      </c>
      <c r="D442" s="35">
        <v>44728</v>
      </c>
      <c r="E442" s="1" t="s">
        <v>1040</v>
      </c>
      <c r="F442" s="2" t="s">
        <v>1352</v>
      </c>
      <c r="G442" s="2">
        <v>5408</v>
      </c>
      <c r="H442" s="2" t="s">
        <v>1353</v>
      </c>
      <c r="J442" s="5">
        <v>0.80555555555555547</v>
      </c>
      <c r="K442" s="32">
        <f>_xlfn.MAXIFS(ConsumoConcreto[Fim do Bombeamento],ConsumoConcreto[RecebimentoID],RecebimentoConcreto[[#This Row],[RecebimentoID]])</f>
        <v>0.84930555555555554</v>
      </c>
      <c r="M442" s="37">
        <v>36892</v>
      </c>
      <c r="N442" s="5" t="s">
        <v>25</v>
      </c>
      <c r="O442" s="9">
        <v>14.5</v>
      </c>
      <c r="P442" s="5" t="s">
        <v>26</v>
      </c>
      <c r="Q442" s="2">
        <v>3</v>
      </c>
      <c r="R442" s="5" t="s">
        <v>27</v>
      </c>
      <c r="S442" s="5" t="s">
        <v>32</v>
      </c>
      <c r="T442" s="39">
        <v>450</v>
      </c>
    </row>
    <row r="443" spans="1:20" ht="20.100000000000001" hidden="1" customHeight="1" x14ac:dyDescent="0.25">
      <c r="A443" s="26" t="str">
        <f>CONCATENATE(RIGHT(LEFT(RecebimentoConcreto[[#This Row],[Obra]],5),4),"RCBC",TEXT(RecebimentoConcreto[[#This Row],[Ordem]],"0000"))</f>
        <v>0184RCBC0915</v>
      </c>
      <c r="B443" s="1">
        <v>915</v>
      </c>
      <c r="C443" s="1" t="s">
        <v>21</v>
      </c>
      <c r="D443" s="35">
        <v>44732</v>
      </c>
      <c r="E443" s="1" t="s">
        <v>116</v>
      </c>
      <c r="F443" s="2" t="s">
        <v>1354</v>
      </c>
      <c r="G443" s="2">
        <v>5408</v>
      </c>
      <c r="H443" s="2" t="s">
        <v>1355</v>
      </c>
      <c r="J443" s="5">
        <v>0.39374999999999999</v>
      </c>
      <c r="K443" s="32">
        <f>_xlfn.MAXIFS(ConsumoConcreto[Fim do Bombeamento],ConsumoConcreto[RecebimentoID],RecebimentoConcreto[[#This Row],[RecebimentoID]])</f>
        <v>0.4284722222222222</v>
      </c>
      <c r="M443" s="37">
        <v>36892</v>
      </c>
      <c r="N443" s="5" t="s">
        <v>25</v>
      </c>
      <c r="O443" s="9">
        <v>14.5</v>
      </c>
      <c r="P443" s="5" t="s">
        <v>26</v>
      </c>
      <c r="Q443" s="2">
        <v>3</v>
      </c>
      <c r="R443" s="5" t="s">
        <v>27</v>
      </c>
      <c r="S443" s="5" t="s">
        <v>32</v>
      </c>
      <c r="T443" s="39">
        <v>450</v>
      </c>
    </row>
    <row r="444" spans="1:20" ht="20.100000000000001" hidden="1" customHeight="1" x14ac:dyDescent="0.25">
      <c r="A444" s="26" t="str">
        <f>CONCATENATE(RIGHT(LEFT(RecebimentoConcreto[[#This Row],[Obra]],5),4),"RCBC",TEXT(RecebimentoConcreto[[#This Row],[Ordem]],"0000"))</f>
        <v>0184RCBC0916</v>
      </c>
      <c r="B444" s="1">
        <v>916</v>
      </c>
      <c r="C444" s="1" t="s">
        <v>21</v>
      </c>
      <c r="D444" s="35">
        <v>44732</v>
      </c>
      <c r="E444" s="1" t="s">
        <v>1356</v>
      </c>
      <c r="F444" s="2" t="s">
        <v>1357</v>
      </c>
      <c r="G444" s="2">
        <v>5408</v>
      </c>
      <c r="H444" s="2" t="s">
        <v>1358</v>
      </c>
      <c r="J444" s="5">
        <v>0.46527777777777773</v>
      </c>
      <c r="K444" s="32">
        <f>_xlfn.MAXIFS(ConsumoConcreto[Fim do Bombeamento],ConsumoConcreto[RecebimentoID],RecebimentoConcreto[[#This Row],[RecebimentoID]])</f>
        <v>0.49305555555555558</v>
      </c>
      <c r="M444" s="37">
        <v>36892</v>
      </c>
      <c r="N444" s="5" t="s">
        <v>25</v>
      </c>
      <c r="O444" s="9">
        <v>16</v>
      </c>
      <c r="P444" s="5" t="s">
        <v>26</v>
      </c>
      <c r="Q444" s="2">
        <v>3</v>
      </c>
      <c r="R444" s="5" t="s">
        <v>27</v>
      </c>
      <c r="S444" s="5" t="s">
        <v>32</v>
      </c>
      <c r="T444" s="39">
        <v>450</v>
      </c>
    </row>
    <row r="445" spans="1:20" ht="20.100000000000001" hidden="1" customHeight="1" x14ac:dyDescent="0.25">
      <c r="A445" s="26" t="str">
        <f>CONCATENATE(RIGHT(LEFT(RecebimentoConcreto[[#This Row],[Obra]],5),4),"RCBC",TEXT(RecebimentoConcreto[[#This Row],[Ordem]],"0000"))</f>
        <v>0184RCBC0917</v>
      </c>
      <c r="B445" s="1">
        <v>917</v>
      </c>
      <c r="C445" s="1" t="s">
        <v>21</v>
      </c>
      <c r="D445" s="35">
        <v>44733</v>
      </c>
      <c r="E445" s="1" t="s">
        <v>858</v>
      </c>
      <c r="F445" s="2" t="s">
        <v>1359</v>
      </c>
      <c r="G445" s="2">
        <v>5408</v>
      </c>
      <c r="H445" s="2" t="s">
        <v>1360</v>
      </c>
      <c r="J445" s="5">
        <v>0.66319444444444442</v>
      </c>
      <c r="K445" s="32">
        <f>_xlfn.MAXIFS(ConsumoConcreto[Fim do Bombeamento],ConsumoConcreto[RecebimentoID],RecebimentoConcreto[[#This Row],[RecebimentoID]])</f>
        <v>0.72569444444444453</v>
      </c>
      <c r="M445" s="37">
        <v>36892</v>
      </c>
      <c r="N445" s="5" t="s">
        <v>25</v>
      </c>
      <c r="O445" s="9">
        <v>15</v>
      </c>
      <c r="P445" s="5" t="s">
        <v>26</v>
      </c>
      <c r="Q445" s="2">
        <v>3</v>
      </c>
      <c r="R445" s="5" t="s">
        <v>27</v>
      </c>
      <c r="S445" s="5" t="s">
        <v>32</v>
      </c>
      <c r="T445" s="39">
        <v>450</v>
      </c>
    </row>
    <row r="446" spans="1:20" ht="20.100000000000001" hidden="1" customHeight="1" x14ac:dyDescent="0.25">
      <c r="A446" s="26" t="str">
        <f>CONCATENATE(RIGHT(LEFT(RecebimentoConcreto[[#This Row],[Obra]],5),4),"RCBC",TEXT(RecebimentoConcreto[[#This Row],[Ordem]],"0000"))</f>
        <v>0184RCBC0920</v>
      </c>
      <c r="B446" s="1">
        <v>920</v>
      </c>
      <c r="C446" s="1" t="s">
        <v>21</v>
      </c>
      <c r="D446" s="35">
        <v>44735</v>
      </c>
      <c r="E446" s="1" t="s">
        <v>1361</v>
      </c>
      <c r="F446" s="2" t="s">
        <v>1362</v>
      </c>
      <c r="G446" s="2">
        <v>5408</v>
      </c>
      <c r="H446" s="2" t="s">
        <v>1363</v>
      </c>
      <c r="J446" s="5">
        <v>0.73958333333333337</v>
      </c>
      <c r="K446" s="32">
        <f>_xlfn.MAXIFS(ConsumoConcreto[Fim do Bombeamento],ConsumoConcreto[RecebimentoID],RecebimentoConcreto[[#This Row],[RecebimentoID]])</f>
        <v>0.7680555555555556</v>
      </c>
      <c r="M446" s="37">
        <v>36892</v>
      </c>
      <c r="N446" s="5" t="s">
        <v>25</v>
      </c>
      <c r="O446" s="9">
        <v>15</v>
      </c>
      <c r="P446" s="5" t="s">
        <v>26</v>
      </c>
      <c r="Q446" s="2">
        <v>3</v>
      </c>
      <c r="R446" s="5" t="s">
        <v>27</v>
      </c>
      <c r="S446" s="5" t="s">
        <v>32</v>
      </c>
      <c r="T446" s="39">
        <v>450</v>
      </c>
    </row>
    <row r="447" spans="1:20" ht="20.100000000000001" hidden="1" customHeight="1" x14ac:dyDescent="0.25">
      <c r="A447" s="26" t="str">
        <f>CONCATENATE(RIGHT(LEFT(RecebimentoConcreto[[#This Row],[Obra]],5),4),"RCBC",TEXT(RecebimentoConcreto[[#This Row],[Ordem]],"0000"))</f>
        <v>0184RCBC0921</v>
      </c>
      <c r="B447" s="1">
        <v>921</v>
      </c>
      <c r="C447" s="1" t="s">
        <v>21</v>
      </c>
      <c r="D447" s="35">
        <v>44735</v>
      </c>
      <c r="E447" s="1" t="s">
        <v>448</v>
      </c>
      <c r="F447" s="2" t="s">
        <v>1364</v>
      </c>
      <c r="G447" s="2">
        <v>5408</v>
      </c>
      <c r="H447" s="2" t="s">
        <v>1365</v>
      </c>
      <c r="J447" s="5">
        <v>0.77916666666666667</v>
      </c>
      <c r="K447" s="32">
        <f>_xlfn.MAXIFS(ConsumoConcreto[Fim do Bombeamento],ConsumoConcreto[RecebimentoID],RecebimentoConcreto[[#This Row],[RecebimentoID]])</f>
        <v>0.80972222222222223</v>
      </c>
      <c r="M447" s="37">
        <v>36892</v>
      </c>
      <c r="N447" s="5" t="s">
        <v>25</v>
      </c>
      <c r="O447" s="9">
        <v>14.5</v>
      </c>
      <c r="P447" s="5" t="s">
        <v>26</v>
      </c>
      <c r="Q447" s="2">
        <v>3</v>
      </c>
      <c r="R447" s="5" t="s">
        <v>27</v>
      </c>
      <c r="S447" s="5" t="s">
        <v>32</v>
      </c>
      <c r="T447" s="39">
        <v>450</v>
      </c>
    </row>
    <row r="448" spans="1:20" ht="20.100000000000001" hidden="1" customHeight="1" x14ac:dyDescent="0.25">
      <c r="A448" s="26" t="str">
        <f>CONCATENATE(RIGHT(LEFT(RecebimentoConcreto[[#This Row],[Obra]],5),4),"RCBC",TEXT(RecebimentoConcreto[[#This Row],[Ordem]],"0000"))</f>
        <v>0184RCBC0928</v>
      </c>
      <c r="B448" s="1">
        <v>928</v>
      </c>
      <c r="C448" s="1" t="s">
        <v>21</v>
      </c>
      <c r="D448" s="35">
        <v>44754</v>
      </c>
      <c r="E448" s="1" t="s">
        <v>915</v>
      </c>
      <c r="F448" s="2" t="s">
        <v>1366</v>
      </c>
      <c r="G448" s="2">
        <v>5408</v>
      </c>
      <c r="H448" s="2" t="s">
        <v>1367</v>
      </c>
      <c r="J448" s="5">
        <v>0.62708333333333333</v>
      </c>
      <c r="K448" s="32">
        <f>_xlfn.MAXIFS(ConsumoConcreto[Fim do Bombeamento],ConsumoConcreto[RecebimentoID],RecebimentoConcreto[[#This Row],[RecebimentoID]])</f>
        <v>0.64583333333333337</v>
      </c>
      <c r="M448" s="37">
        <v>36892</v>
      </c>
      <c r="N448" s="5" t="s">
        <v>25</v>
      </c>
      <c r="O448" s="9">
        <v>14.5</v>
      </c>
      <c r="P448" s="5" t="s">
        <v>26</v>
      </c>
      <c r="Q448" s="2">
        <v>3</v>
      </c>
      <c r="R448" s="5" t="s">
        <v>27</v>
      </c>
      <c r="S448" s="5" t="s">
        <v>32</v>
      </c>
      <c r="T448" s="39">
        <v>450</v>
      </c>
    </row>
    <row r="449" spans="1:20" ht="20.100000000000001" hidden="1" customHeight="1" x14ac:dyDescent="0.25">
      <c r="A449" s="26" t="str">
        <f>CONCATENATE(RIGHT(LEFT(RecebimentoConcreto[[#This Row],[Obra]],5),4),"RCBC",TEXT(RecebimentoConcreto[[#This Row],[Ordem]],"0000"))</f>
        <v>0184RCBC0929</v>
      </c>
      <c r="B449" s="1">
        <v>929</v>
      </c>
      <c r="C449" s="1" t="s">
        <v>21</v>
      </c>
      <c r="D449" s="35">
        <v>44754</v>
      </c>
      <c r="E449" s="1" t="s">
        <v>370</v>
      </c>
      <c r="F449" s="2" t="s">
        <v>1368</v>
      </c>
      <c r="G449" s="2">
        <v>5408</v>
      </c>
      <c r="H449" s="2" t="s">
        <v>1369</v>
      </c>
      <c r="J449" s="5">
        <v>0.57291666666666663</v>
      </c>
      <c r="K449" s="32">
        <f>_xlfn.MAXIFS(ConsumoConcreto[Fim do Bombeamento],ConsumoConcreto[RecebimentoID],RecebimentoConcreto[[#This Row],[RecebimentoID]])</f>
        <v>0.60763888888888895</v>
      </c>
      <c r="M449" s="37">
        <v>36892</v>
      </c>
      <c r="N449" s="5" t="s">
        <v>25</v>
      </c>
      <c r="O449" s="9">
        <v>14</v>
      </c>
      <c r="P449" s="5" t="s">
        <v>26</v>
      </c>
      <c r="Q449" s="2">
        <v>3</v>
      </c>
      <c r="R449" s="5" t="s">
        <v>27</v>
      </c>
      <c r="S449" s="5" t="s">
        <v>32</v>
      </c>
      <c r="T449" s="39">
        <v>450</v>
      </c>
    </row>
    <row r="450" spans="1:20" ht="20.100000000000001" hidden="1" customHeight="1" x14ac:dyDescent="0.25">
      <c r="A450" s="26" t="str">
        <f>CONCATENATE(RIGHT(LEFT(RecebimentoConcreto[[#This Row],[Obra]],5),4),"RCBC",TEXT(RecebimentoConcreto[[#This Row],[Ordem]],"0000"))</f>
        <v>0184RCBC0930</v>
      </c>
      <c r="B450" s="1">
        <v>930</v>
      </c>
      <c r="C450" s="1" t="s">
        <v>21</v>
      </c>
      <c r="D450" s="35">
        <v>44755</v>
      </c>
      <c r="E450" s="1" t="s">
        <v>957</v>
      </c>
      <c r="F450" s="2" t="s">
        <v>1370</v>
      </c>
      <c r="G450" s="2">
        <v>5408</v>
      </c>
      <c r="H450" s="2" t="s">
        <v>1371</v>
      </c>
      <c r="J450" s="5">
        <v>0.76736111111111116</v>
      </c>
      <c r="K450" s="32">
        <f>_xlfn.MAXIFS(ConsumoConcreto[Fim do Bombeamento],ConsumoConcreto[RecebimentoID],RecebimentoConcreto[[#This Row],[RecebimentoID]])</f>
        <v>0.79861111111111116</v>
      </c>
      <c r="M450" s="37">
        <v>36892</v>
      </c>
      <c r="N450" s="5" t="s">
        <v>25</v>
      </c>
      <c r="O450" s="9">
        <v>14.5</v>
      </c>
      <c r="P450" s="5" t="s">
        <v>26</v>
      </c>
      <c r="Q450" s="2">
        <v>3</v>
      </c>
      <c r="R450" s="5" t="s">
        <v>27</v>
      </c>
      <c r="S450" s="5" t="s">
        <v>32</v>
      </c>
      <c r="T450" s="39">
        <v>450</v>
      </c>
    </row>
    <row r="451" spans="1:20" ht="20.100000000000001" hidden="1" customHeight="1" x14ac:dyDescent="0.25">
      <c r="A451" s="26" t="str">
        <f>CONCATENATE(RIGHT(LEFT(RecebimentoConcreto[[#This Row],[Obra]],5),4),"RCBC",TEXT(RecebimentoConcreto[[#This Row],[Ordem]],"0000"))</f>
        <v>0184RCBC0931</v>
      </c>
      <c r="B451" s="1">
        <v>931</v>
      </c>
      <c r="C451" s="1" t="s">
        <v>21</v>
      </c>
      <c r="D451" s="35">
        <v>44755</v>
      </c>
      <c r="E451" s="1" t="s">
        <v>370</v>
      </c>
      <c r="F451" s="2" t="s">
        <v>1372</v>
      </c>
      <c r="G451" s="2">
        <v>5408</v>
      </c>
      <c r="H451" s="2" t="s">
        <v>1373</v>
      </c>
      <c r="J451" s="5">
        <v>0.72499999999999998</v>
      </c>
      <c r="K451" s="32">
        <f>_xlfn.MAXIFS(ConsumoConcreto[Fim do Bombeamento],ConsumoConcreto[RecebimentoID],RecebimentoConcreto[[#This Row],[RecebimentoID]])</f>
        <v>0.76041666666666663</v>
      </c>
      <c r="M451" s="37">
        <v>36892</v>
      </c>
      <c r="N451" s="5" t="s">
        <v>25</v>
      </c>
      <c r="O451" s="9">
        <v>14</v>
      </c>
      <c r="P451" s="5" t="s">
        <v>26</v>
      </c>
      <c r="Q451" s="2">
        <v>3</v>
      </c>
      <c r="R451" s="5" t="s">
        <v>27</v>
      </c>
      <c r="S451" s="5" t="s">
        <v>32</v>
      </c>
      <c r="T451" s="39">
        <v>450</v>
      </c>
    </row>
    <row r="452" spans="1:20" ht="20.100000000000001" hidden="1" customHeight="1" x14ac:dyDescent="0.25">
      <c r="A452" s="26" t="str">
        <f>CONCATENATE(RIGHT(LEFT(RecebimentoConcreto[[#This Row],[Obra]],5),4),"RCBC",TEXT(RecebimentoConcreto[[#This Row],[Ordem]],"0000"))</f>
        <v>0184RCBC0932</v>
      </c>
      <c r="B452" s="1">
        <v>932</v>
      </c>
      <c r="C452" s="1" t="s">
        <v>21</v>
      </c>
      <c r="D452" s="35">
        <v>44993</v>
      </c>
      <c r="E452" s="1" t="s">
        <v>1374</v>
      </c>
      <c r="F452" s="2" t="s">
        <v>1375</v>
      </c>
      <c r="G452" s="2">
        <v>5408</v>
      </c>
      <c r="H452" s="2" t="s">
        <v>1376</v>
      </c>
      <c r="I452" s="5" t="s">
        <v>1377</v>
      </c>
      <c r="J452" s="5">
        <v>0.75624999999999998</v>
      </c>
      <c r="K452" s="32">
        <f>_xlfn.MAXIFS(ConsumoConcreto[Fim do Bombeamento],ConsumoConcreto[RecebimentoID],RecebimentoConcreto[[#This Row],[RecebimentoID]])</f>
        <v>0.79999999999999993</v>
      </c>
      <c r="L452" s="1" t="s">
        <v>1378</v>
      </c>
      <c r="M452" s="37">
        <v>36892</v>
      </c>
      <c r="N452" s="5" t="s">
        <v>25</v>
      </c>
      <c r="O452" s="9">
        <v>14.5</v>
      </c>
      <c r="P452" s="5" t="s">
        <v>26</v>
      </c>
      <c r="Q452" s="2">
        <v>9</v>
      </c>
      <c r="R452" s="5" t="s">
        <v>27</v>
      </c>
      <c r="S452" s="5" t="s">
        <v>32</v>
      </c>
      <c r="T452" s="39">
        <v>470</v>
      </c>
    </row>
    <row r="453" spans="1:20" ht="20.100000000000001" hidden="1" customHeight="1" x14ac:dyDescent="0.25">
      <c r="A453" s="26" t="str">
        <f>CONCATENATE(RIGHT(LEFT(RecebimentoConcreto[[#This Row],[Obra]],5),4),"RCBC",TEXT(RecebimentoConcreto[[#This Row],[Ordem]],"0000"))</f>
        <v>0184RCBC0933</v>
      </c>
      <c r="B453" s="1">
        <v>933</v>
      </c>
      <c r="C453" s="1" t="s">
        <v>21</v>
      </c>
      <c r="D453" s="35">
        <v>44994</v>
      </c>
      <c r="E453" s="1" t="s">
        <v>1379</v>
      </c>
      <c r="F453" s="2" t="s">
        <v>1380</v>
      </c>
      <c r="G453" s="2">
        <v>5408</v>
      </c>
      <c r="H453" s="2" t="s">
        <v>1381</v>
      </c>
      <c r="I453" s="5" t="s">
        <v>1382</v>
      </c>
      <c r="J453" s="5">
        <v>0.83611111111111114</v>
      </c>
      <c r="K453" s="32">
        <f>_xlfn.MAXIFS(ConsumoConcreto[Fim do Bombeamento],ConsumoConcreto[RecebimentoID],RecebimentoConcreto[[#This Row],[RecebimentoID]])</f>
        <v>0.87916666666666676</v>
      </c>
      <c r="L453" s="1" t="s">
        <v>555</v>
      </c>
      <c r="M453" s="37">
        <v>36892</v>
      </c>
      <c r="N453" s="5" t="s">
        <v>25</v>
      </c>
      <c r="O453" s="9">
        <v>14.5</v>
      </c>
      <c r="P453" s="5" t="s">
        <v>26</v>
      </c>
      <c r="Q453" s="2">
        <v>9</v>
      </c>
      <c r="R453" s="5" t="s">
        <v>27</v>
      </c>
      <c r="S453" s="5" t="s">
        <v>32</v>
      </c>
      <c r="T453" s="39">
        <v>470</v>
      </c>
    </row>
    <row r="454" spans="1:20" ht="20.100000000000001" hidden="1" customHeight="1" x14ac:dyDescent="0.25">
      <c r="A454" s="26" t="str">
        <f>CONCATENATE(RIGHT(LEFT(RecebimentoConcreto[[#This Row],[Obra]],5),4),"RCBC",TEXT(RecebimentoConcreto[[#This Row],[Ordem]],"0000"))</f>
        <v>0184RCBC0957</v>
      </c>
      <c r="B454" s="1">
        <v>957</v>
      </c>
      <c r="C454" s="1" t="s">
        <v>21</v>
      </c>
      <c r="D454" s="35">
        <v>45050</v>
      </c>
      <c r="E454" s="1" t="s">
        <v>1383</v>
      </c>
      <c r="F454" s="2" t="s">
        <v>1384</v>
      </c>
      <c r="G454" s="2">
        <v>5746</v>
      </c>
      <c r="H454" s="2" t="s">
        <v>1385</v>
      </c>
      <c r="I454" s="5" t="s">
        <v>1386</v>
      </c>
      <c r="J454" s="5">
        <v>0.63194444444444442</v>
      </c>
      <c r="K454" s="32">
        <f>_xlfn.MAXIFS(ConsumoConcreto[Fim do Bombeamento],ConsumoConcreto[RecebimentoID],RecebimentoConcreto[[#This Row],[RecebimentoID]])</f>
        <v>0.66736111111111107</v>
      </c>
      <c r="L454" s="1" t="s">
        <v>608</v>
      </c>
      <c r="M454" s="37">
        <v>36892</v>
      </c>
      <c r="N454" s="5" t="s">
        <v>25</v>
      </c>
      <c r="O454" s="9">
        <v>14.5</v>
      </c>
      <c r="P454" s="5" t="s">
        <v>26</v>
      </c>
      <c r="Q454" s="2"/>
      <c r="R454" s="5" t="s">
        <v>27</v>
      </c>
      <c r="S454" s="5" t="s">
        <v>500</v>
      </c>
      <c r="T454" s="39">
        <v>520</v>
      </c>
    </row>
    <row r="455" spans="1:20" ht="20.100000000000001" hidden="1" customHeight="1" x14ac:dyDescent="0.25">
      <c r="A455" s="26" t="str">
        <f>CONCATENATE(RIGHT(LEFT(RecebimentoConcreto[[#This Row],[Obra]],5),4),"RCBC",TEXT(RecebimentoConcreto[[#This Row],[Ordem]],"0000"))</f>
        <v>0184RCBC0958</v>
      </c>
      <c r="B455" s="1">
        <v>958</v>
      </c>
      <c r="C455" s="1" t="s">
        <v>21</v>
      </c>
      <c r="D455" s="35">
        <v>45051</v>
      </c>
      <c r="E455" s="1" t="s">
        <v>1387</v>
      </c>
      <c r="F455" s="2" t="s">
        <v>1388</v>
      </c>
      <c r="G455" s="2">
        <v>5746</v>
      </c>
      <c r="H455" s="2" t="s">
        <v>1389</v>
      </c>
      <c r="I455" s="5" t="s">
        <v>1390</v>
      </c>
      <c r="J455" s="5">
        <v>0.73402777777777783</v>
      </c>
      <c r="K455" s="32">
        <f>_xlfn.MAXIFS(ConsumoConcreto[Fim do Bombeamento],ConsumoConcreto[RecebimentoID],RecebimentoConcreto[[#This Row],[RecebimentoID]])</f>
        <v>0.77708333333333324</v>
      </c>
      <c r="L455" s="1" t="s">
        <v>681</v>
      </c>
      <c r="M455" s="37">
        <v>36892</v>
      </c>
      <c r="N455" s="5" t="s">
        <v>25</v>
      </c>
      <c r="O455" s="9">
        <v>14.5</v>
      </c>
      <c r="P455" s="5" t="s">
        <v>26</v>
      </c>
      <c r="Q455" s="2"/>
      <c r="R455" s="5" t="s">
        <v>27</v>
      </c>
      <c r="S455" s="5" t="s">
        <v>500</v>
      </c>
      <c r="T455" s="39">
        <v>520</v>
      </c>
    </row>
    <row r="456" spans="1:20" ht="20.100000000000001" hidden="1" customHeight="1" x14ac:dyDescent="0.25">
      <c r="A456" s="26" t="str">
        <f>CONCATENATE(RIGHT(LEFT(RecebimentoConcreto[[#This Row],[Obra]],5),4),"RCBC",TEXT(RecebimentoConcreto[[#This Row],[Ordem]],"0000"))</f>
        <v>0184RCBC0959</v>
      </c>
      <c r="B456" s="1">
        <v>959</v>
      </c>
      <c r="C456" s="1" t="s">
        <v>21</v>
      </c>
      <c r="D456" s="35">
        <v>45051</v>
      </c>
      <c r="E456" s="1" t="s">
        <v>1391</v>
      </c>
      <c r="F456" s="2" t="s">
        <v>1392</v>
      </c>
      <c r="G456" s="2">
        <v>5746</v>
      </c>
      <c r="H456" s="2" t="s">
        <v>1393</v>
      </c>
      <c r="I456" s="5" t="s">
        <v>1394</v>
      </c>
      <c r="J456" s="5">
        <v>0.79583333333333339</v>
      </c>
      <c r="K456" s="32">
        <f>_xlfn.MAXIFS(ConsumoConcreto[Fim do Bombeamento],ConsumoConcreto[RecebimentoID],RecebimentoConcreto[[#This Row],[RecebimentoID]])</f>
        <v>0.83472222222222225</v>
      </c>
      <c r="L456" s="1" t="s">
        <v>1395</v>
      </c>
      <c r="M456" s="37">
        <v>36892</v>
      </c>
      <c r="N456" s="5" t="s">
        <v>25</v>
      </c>
      <c r="O456" s="9">
        <v>14.5</v>
      </c>
      <c r="P456" s="5" t="s">
        <v>26</v>
      </c>
      <c r="Q456" s="2"/>
      <c r="R456" s="5" t="s">
        <v>27</v>
      </c>
      <c r="S456" s="5" t="s">
        <v>500</v>
      </c>
      <c r="T456" s="39">
        <v>520</v>
      </c>
    </row>
    <row r="457" spans="1:20" ht="20.100000000000001" hidden="1" customHeight="1" x14ac:dyDescent="0.25">
      <c r="A457" s="26" t="str">
        <f>CONCATENATE(RIGHT(LEFT(RecebimentoConcreto[[#This Row],[Obra]],5),4),"RCBC",TEXT(RecebimentoConcreto[[#This Row],[Ordem]],"0000"))</f>
        <v>0184RCBC0960</v>
      </c>
      <c r="B457" s="1">
        <v>960</v>
      </c>
      <c r="C457" s="1" t="s">
        <v>21</v>
      </c>
      <c r="D457" s="35">
        <v>45054</v>
      </c>
      <c r="E457" s="1" t="s">
        <v>1396</v>
      </c>
      <c r="F457" s="2" t="s">
        <v>1397</v>
      </c>
      <c r="G457" s="2">
        <v>5746</v>
      </c>
      <c r="H457" s="2" t="s">
        <v>1398</v>
      </c>
      <c r="I457" s="5" t="s">
        <v>1399</v>
      </c>
      <c r="J457" s="5">
        <v>0.68055555555555547</v>
      </c>
      <c r="K457" s="32">
        <f>_xlfn.MAXIFS(ConsumoConcreto[Fim do Bombeamento],ConsumoConcreto[RecebimentoID],RecebimentoConcreto[[#This Row],[RecebimentoID]])</f>
        <v>0.70972222222222225</v>
      </c>
      <c r="L457" s="1" t="s">
        <v>527</v>
      </c>
      <c r="M457" s="37">
        <v>36892</v>
      </c>
      <c r="N457" s="5" t="s">
        <v>25</v>
      </c>
      <c r="O457" s="9">
        <v>14.5</v>
      </c>
      <c r="P457" s="5" t="s">
        <v>26</v>
      </c>
      <c r="Q457" s="2"/>
      <c r="R457" s="5" t="s">
        <v>27</v>
      </c>
      <c r="S457" s="5" t="s">
        <v>500</v>
      </c>
      <c r="T457" s="39">
        <v>520</v>
      </c>
    </row>
    <row r="458" spans="1:20" ht="20.100000000000001" hidden="1" customHeight="1" x14ac:dyDescent="0.25">
      <c r="A458" s="26" t="str">
        <f>CONCATENATE(RIGHT(LEFT(RecebimentoConcreto[[#This Row],[Obra]],5),4),"RCBC",TEXT(RecebimentoConcreto[[#This Row],[Ordem]],"0000"))</f>
        <v>0184RCBC0964</v>
      </c>
      <c r="B458" s="1">
        <v>964</v>
      </c>
      <c r="C458" s="1" t="s">
        <v>21</v>
      </c>
      <c r="D458" s="35">
        <v>45055</v>
      </c>
      <c r="E458" s="1" t="s">
        <v>1400</v>
      </c>
      <c r="F458" s="2" t="s">
        <v>1401</v>
      </c>
      <c r="G458" s="2">
        <v>5746</v>
      </c>
      <c r="H458" s="2" t="s">
        <v>1402</v>
      </c>
      <c r="I458" s="5" t="s">
        <v>1403</v>
      </c>
      <c r="J458" s="5">
        <v>0.73541666666666661</v>
      </c>
      <c r="K458" s="32">
        <f>_xlfn.MAXIFS(ConsumoConcreto[Fim do Bombeamento],ConsumoConcreto[RecebimentoID],RecebimentoConcreto[[#This Row],[RecebimentoID]])</f>
        <v>0.77222222222222225</v>
      </c>
      <c r="L458" s="1" t="s">
        <v>542</v>
      </c>
      <c r="M458" s="37">
        <v>36892</v>
      </c>
      <c r="N458" s="5" t="s">
        <v>25</v>
      </c>
      <c r="O458" s="9">
        <v>14.5</v>
      </c>
      <c r="P458" s="5" t="s">
        <v>26</v>
      </c>
      <c r="Q458" s="2"/>
      <c r="R458" s="5" t="s">
        <v>27</v>
      </c>
      <c r="S458" s="5" t="s">
        <v>500</v>
      </c>
      <c r="T458" s="39">
        <v>520</v>
      </c>
    </row>
    <row r="459" spans="1:20" ht="20.100000000000001" hidden="1" customHeight="1" x14ac:dyDescent="0.25">
      <c r="A459" s="26" t="str">
        <f>CONCATENATE(RIGHT(LEFT(RecebimentoConcreto[[#This Row],[Obra]],5),4),"RCBC",TEXT(RecebimentoConcreto[[#This Row],[Ordem]],"0000"))</f>
        <v>0184RCBC0967</v>
      </c>
      <c r="B459" s="1">
        <v>967</v>
      </c>
      <c r="C459" s="1" t="s">
        <v>21</v>
      </c>
      <c r="D459" s="35">
        <v>45056</v>
      </c>
      <c r="E459" s="1" t="s">
        <v>1400</v>
      </c>
      <c r="F459" s="2" t="s">
        <v>1404</v>
      </c>
      <c r="G459" s="2">
        <v>5746</v>
      </c>
      <c r="H459" s="2" t="s">
        <v>1405</v>
      </c>
      <c r="I459" s="5" t="s">
        <v>1406</v>
      </c>
      <c r="J459" s="5">
        <v>0.64444444444444449</v>
      </c>
      <c r="K459" s="32">
        <f>_xlfn.MAXIFS(ConsumoConcreto[Fim do Bombeamento],ConsumoConcreto[RecebimentoID],RecebimentoConcreto[[#This Row],[RecebimentoID]])</f>
        <v>0.67361111111111116</v>
      </c>
      <c r="L459" s="1" t="s">
        <v>1328</v>
      </c>
      <c r="M459" s="37">
        <v>36892</v>
      </c>
      <c r="N459" s="5" t="s">
        <v>25</v>
      </c>
      <c r="O459" s="9">
        <v>14.5</v>
      </c>
      <c r="P459" s="5" t="s">
        <v>26</v>
      </c>
      <c r="Q459" s="2"/>
      <c r="R459" s="5" t="s">
        <v>27</v>
      </c>
      <c r="S459" s="5" t="s">
        <v>500</v>
      </c>
      <c r="T459" s="39">
        <v>520</v>
      </c>
    </row>
    <row r="460" spans="1:20" ht="20.100000000000001" hidden="1" customHeight="1" x14ac:dyDescent="0.25">
      <c r="A460" s="26" t="str">
        <f>CONCATENATE(RIGHT(LEFT(RecebimentoConcreto[[#This Row],[Obra]],5),4),"RCBC",TEXT(RecebimentoConcreto[[#This Row],[Ordem]],"0000"))</f>
        <v>0184RCBC0968</v>
      </c>
      <c r="B460" s="1">
        <v>968</v>
      </c>
      <c r="C460" s="1" t="s">
        <v>21</v>
      </c>
      <c r="D460" s="35">
        <v>45056</v>
      </c>
      <c r="E460" s="1" t="s">
        <v>1407</v>
      </c>
      <c r="F460" s="2" t="s">
        <v>1408</v>
      </c>
      <c r="G460" s="2">
        <v>5746</v>
      </c>
      <c r="H460" s="2" t="s">
        <v>1409</v>
      </c>
      <c r="I460" s="5" t="s">
        <v>1410</v>
      </c>
      <c r="J460" s="5">
        <v>0.60069444444444442</v>
      </c>
      <c r="K460" s="32">
        <f>_xlfn.MAXIFS(ConsumoConcreto[Fim do Bombeamento],ConsumoConcreto[RecebimentoID],RecebimentoConcreto[[#This Row],[RecebimentoID]])</f>
        <v>0.63472222222222219</v>
      </c>
      <c r="L460" s="1" t="s">
        <v>1411</v>
      </c>
      <c r="M460" s="37">
        <v>36892</v>
      </c>
      <c r="N460" s="5" t="s">
        <v>25</v>
      </c>
      <c r="O460" s="9">
        <v>14.5</v>
      </c>
      <c r="P460" s="5" t="s">
        <v>26</v>
      </c>
      <c r="Q460" s="2"/>
      <c r="R460" s="5" t="s">
        <v>27</v>
      </c>
      <c r="S460" s="5" t="s">
        <v>500</v>
      </c>
      <c r="T460" s="39">
        <v>520</v>
      </c>
    </row>
    <row r="461" spans="1:20" ht="20.100000000000001" hidden="1" customHeight="1" x14ac:dyDescent="0.25">
      <c r="A461" s="26" t="str">
        <f>CONCATENATE(RIGHT(LEFT(RecebimentoConcreto[[#This Row],[Obra]],5),4),"RCBC",TEXT(RecebimentoConcreto[[#This Row],[Ordem]],"0000"))</f>
        <v>0184RCBC0969</v>
      </c>
      <c r="B461" s="1">
        <v>969</v>
      </c>
      <c r="C461" s="1" t="s">
        <v>21</v>
      </c>
      <c r="D461" s="35">
        <v>45057</v>
      </c>
      <c r="E461" s="1" t="s">
        <v>1412</v>
      </c>
      <c r="F461" s="2" t="s">
        <v>1413</v>
      </c>
      <c r="G461" s="2">
        <v>5746</v>
      </c>
      <c r="H461" s="2" t="s">
        <v>1414</v>
      </c>
      <c r="I461" s="5" t="s">
        <v>1415</v>
      </c>
      <c r="J461" s="5">
        <v>0.69791666666666663</v>
      </c>
      <c r="K461" s="32">
        <f>_xlfn.MAXIFS(ConsumoConcreto[Fim do Bombeamento],ConsumoConcreto[RecebimentoID],RecebimentoConcreto[[#This Row],[RecebimentoID]])</f>
        <v>0.7284722222222223</v>
      </c>
      <c r="L461" s="1" t="s">
        <v>1084</v>
      </c>
      <c r="M461" s="37">
        <v>36892</v>
      </c>
      <c r="N461" s="5" t="s">
        <v>25</v>
      </c>
      <c r="O461" s="9">
        <v>14.5</v>
      </c>
      <c r="P461" s="5" t="s">
        <v>26</v>
      </c>
      <c r="Q461" s="2"/>
      <c r="R461" s="5" t="s">
        <v>27</v>
      </c>
      <c r="S461" s="5" t="s">
        <v>500</v>
      </c>
      <c r="T461" s="39">
        <v>520</v>
      </c>
    </row>
    <row r="462" spans="1:20" ht="20.100000000000001" hidden="1" customHeight="1" x14ac:dyDescent="0.25">
      <c r="A462" s="26" t="str">
        <f>CONCATENATE(RIGHT(LEFT(RecebimentoConcreto[[#This Row],[Obra]],5),4),"RCBC",TEXT(RecebimentoConcreto[[#This Row],[Ordem]],"0000"))</f>
        <v>0184RCBC0970</v>
      </c>
      <c r="B462" s="1">
        <v>970</v>
      </c>
      <c r="C462" s="1" t="s">
        <v>21</v>
      </c>
      <c r="D462" s="35">
        <v>45057</v>
      </c>
      <c r="E462" s="1" t="s">
        <v>1416</v>
      </c>
      <c r="F462" s="2" t="s">
        <v>1417</v>
      </c>
      <c r="G462" s="2">
        <v>5746</v>
      </c>
      <c r="H462" s="2" t="s">
        <v>1418</v>
      </c>
      <c r="I462" s="5" t="s">
        <v>1419</v>
      </c>
      <c r="J462" s="5">
        <v>0.7416666666666667</v>
      </c>
      <c r="K462" s="32">
        <f>_xlfn.MAXIFS(ConsumoConcreto[Fim do Bombeamento],ConsumoConcreto[RecebimentoID],RecebimentoConcreto[[#This Row],[RecebimentoID]])</f>
        <v>0.77638888888888891</v>
      </c>
      <c r="L462" s="1" t="s">
        <v>542</v>
      </c>
      <c r="M462" s="37">
        <v>36892</v>
      </c>
      <c r="N462" s="5" t="s">
        <v>25</v>
      </c>
      <c r="O462" s="9">
        <v>14.5</v>
      </c>
      <c r="P462" s="5" t="s">
        <v>26</v>
      </c>
      <c r="Q462" s="2"/>
      <c r="R462" s="5" t="s">
        <v>27</v>
      </c>
      <c r="S462" s="5" t="s">
        <v>500</v>
      </c>
      <c r="T462" s="39">
        <v>520</v>
      </c>
    </row>
    <row r="463" spans="1:20" ht="20.100000000000001" hidden="1" customHeight="1" x14ac:dyDescent="0.25">
      <c r="A463" s="26" t="str">
        <f>CONCATENATE(RIGHT(LEFT(RecebimentoConcreto[[#This Row],[Obra]],5),4),"RCBC",TEXT(RecebimentoConcreto[[#This Row],[Ordem]],"0000"))</f>
        <v>0184RCBC0971</v>
      </c>
      <c r="B463" s="1">
        <v>971</v>
      </c>
      <c r="C463" s="1" t="s">
        <v>21</v>
      </c>
      <c r="D463" s="35">
        <v>45058</v>
      </c>
      <c r="E463" s="1" t="s">
        <v>1420</v>
      </c>
      <c r="F463" s="2" t="s">
        <v>1421</v>
      </c>
      <c r="G463" s="2">
        <v>5746</v>
      </c>
      <c r="H463" s="2" t="s">
        <v>1422</v>
      </c>
      <c r="I463" s="5" t="s">
        <v>1423</v>
      </c>
      <c r="J463" s="5">
        <v>0.65347222222222223</v>
      </c>
      <c r="K463" s="32">
        <f>_xlfn.MAXIFS(ConsumoConcreto[Fim do Bombeamento],ConsumoConcreto[RecebimentoID],RecebimentoConcreto[[#This Row],[RecebimentoID]])</f>
        <v>0.6972222222222223</v>
      </c>
      <c r="L463" s="1" t="s">
        <v>1270</v>
      </c>
      <c r="M463" s="37">
        <v>36892</v>
      </c>
      <c r="N463" s="5" t="s">
        <v>25</v>
      </c>
      <c r="O463" s="9">
        <v>12</v>
      </c>
      <c r="P463" s="5" t="s">
        <v>26</v>
      </c>
      <c r="Q463" s="2"/>
      <c r="R463" s="5" t="s">
        <v>27</v>
      </c>
      <c r="S463" s="5" t="s">
        <v>500</v>
      </c>
      <c r="T463" s="39">
        <v>520</v>
      </c>
    </row>
    <row r="464" spans="1:20" ht="20.100000000000001" hidden="1" customHeight="1" x14ac:dyDescent="0.25">
      <c r="A464" s="26" t="str">
        <f>CONCATENATE(RIGHT(LEFT(RecebimentoConcreto[[#This Row],[Obra]],5),4),"RCBC",TEXT(RecebimentoConcreto[[#This Row],[Ordem]],"0000"))</f>
        <v>0184RCBC0972</v>
      </c>
      <c r="B464" s="1">
        <v>972</v>
      </c>
      <c r="C464" s="1" t="s">
        <v>21</v>
      </c>
      <c r="D464" s="35">
        <v>45059</v>
      </c>
      <c r="E464" s="1" t="s">
        <v>1424</v>
      </c>
      <c r="F464" s="2" t="s">
        <v>1425</v>
      </c>
      <c r="G464" s="2">
        <v>5746</v>
      </c>
      <c r="H464" s="2" t="s">
        <v>1426</v>
      </c>
      <c r="I464" s="5" t="s">
        <v>1427</v>
      </c>
      <c r="J464" s="5">
        <v>0.47083333333333338</v>
      </c>
      <c r="K464" s="32">
        <f>_xlfn.MAXIFS(ConsumoConcreto[Fim do Bombeamento],ConsumoConcreto[RecebimentoID],RecebimentoConcreto[[#This Row],[RecebimentoID]])</f>
        <v>0.45555555555555555</v>
      </c>
      <c r="L464" s="1" t="s">
        <v>1191</v>
      </c>
      <c r="M464" s="37">
        <v>36892</v>
      </c>
      <c r="N464" s="5" t="s">
        <v>25</v>
      </c>
      <c r="O464" s="9">
        <v>14.5</v>
      </c>
      <c r="P464" s="5" t="s">
        <v>26</v>
      </c>
      <c r="Q464" s="2"/>
      <c r="R464" s="5" t="s">
        <v>27</v>
      </c>
      <c r="S464" s="5" t="s">
        <v>500</v>
      </c>
      <c r="T464" s="39">
        <v>520</v>
      </c>
    </row>
    <row r="465" spans="1:20" ht="20.100000000000001" hidden="1" customHeight="1" x14ac:dyDescent="0.25">
      <c r="A465" s="26" t="str">
        <f>CONCATENATE(RIGHT(LEFT(RecebimentoConcreto[[#This Row],[Obra]],5),4),"RCBC",TEXT(RecebimentoConcreto[[#This Row],[Ordem]],"0000"))</f>
        <v>0184RCBC0973</v>
      </c>
      <c r="B465" s="1">
        <v>973</v>
      </c>
      <c r="C465" s="1" t="s">
        <v>21</v>
      </c>
      <c r="D465" s="35">
        <v>45061</v>
      </c>
      <c r="E465" s="1" t="s">
        <v>1428</v>
      </c>
      <c r="F465" s="2" t="s">
        <v>1429</v>
      </c>
      <c r="G465" s="2">
        <v>5746</v>
      </c>
      <c r="H465" s="2" t="s">
        <v>1430</v>
      </c>
      <c r="I465" s="5" t="s">
        <v>1431</v>
      </c>
      <c r="J465" s="5">
        <v>0.8027777777777777</v>
      </c>
      <c r="K465" s="32">
        <f>_xlfn.MAXIFS(ConsumoConcreto[Fim do Bombeamento],ConsumoConcreto[RecebimentoID],RecebimentoConcreto[[#This Row],[RecebimentoID]])</f>
        <v>0.83333333333333337</v>
      </c>
      <c r="L465" s="1" t="s">
        <v>1115</v>
      </c>
      <c r="M465" s="37">
        <v>36892</v>
      </c>
      <c r="N465" s="5" t="s">
        <v>25</v>
      </c>
      <c r="O465" s="9">
        <v>14.5</v>
      </c>
      <c r="P465" s="5" t="s">
        <v>26</v>
      </c>
      <c r="Q465" s="2"/>
      <c r="R465" s="5" t="s">
        <v>27</v>
      </c>
      <c r="S465" s="5" t="s">
        <v>500</v>
      </c>
      <c r="T465" s="39">
        <v>520</v>
      </c>
    </row>
    <row r="466" spans="1:20" ht="20.100000000000001" hidden="1" customHeight="1" x14ac:dyDescent="0.25">
      <c r="A466" s="26" t="str">
        <f>CONCATENATE(RIGHT(LEFT(RecebimentoConcreto[[#This Row],[Obra]],5),4),"RCBC",TEXT(RecebimentoConcreto[[#This Row],[Ordem]],"0000"))</f>
        <v>0184RCBC0974</v>
      </c>
      <c r="B466" s="1">
        <v>974</v>
      </c>
      <c r="C466" s="1" t="s">
        <v>21</v>
      </c>
      <c r="D466" s="35">
        <v>45062</v>
      </c>
      <c r="E466" s="1" t="s">
        <v>975</v>
      </c>
      <c r="F466" s="2" t="s">
        <v>1432</v>
      </c>
      <c r="G466" s="2">
        <v>5408</v>
      </c>
      <c r="H466" s="2" t="s">
        <v>1433</v>
      </c>
      <c r="I466" s="5" t="s">
        <v>1434</v>
      </c>
      <c r="J466" s="5">
        <v>0.73333333333333339</v>
      </c>
      <c r="K466" s="32">
        <f>_xlfn.MAXIFS(ConsumoConcreto[Fim do Bombeamento],ConsumoConcreto[RecebimentoID],RecebimentoConcreto[[#This Row],[RecebimentoID]])</f>
        <v>0.78680555555555554</v>
      </c>
      <c r="L466" s="1" t="s">
        <v>1435</v>
      </c>
      <c r="M466" s="37">
        <v>36892</v>
      </c>
      <c r="N466" s="5" t="s">
        <v>25</v>
      </c>
      <c r="O466" s="9">
        <v>14.5</v>
      </c>
      <c r="P466" s="5" t="s">
        <v>26</v>
      </c>
      <c r="Q466" s="2"/>
      <c r="R466" s="5" t="s">
        <v>27</v>
      </c>
      <c r="S466" s="5" t="s">
        <v>32</v>
      </c>
      <c r="T466" s="39">
        <v>480</v>
      </c>
    </row>
    <row r="467" spans="1:20" ht="20.100000000000001" hidden="1" customHeight="1" x14ac:dyDescent="0.25">
      <c r="A467" s="26" t="str">
        <f>CONCATENATE(RIGHT(LEFT(RecebimentoConcreto[[#This Row],[Obra]],5),4),"RCBC",TEXT(RecebimentoConcreto[[#This Row],[Ordem]],"0000"))</f>
        <v>0184RCBC0975</v>
      </c>
      <c r="B467" s="1">
        <v>975</v>
      </c>
      <c r="C467" s="1" t="s">
        <v>21</v>
      </c>
      <c r="D467" s="35">
        <v>45062</v>
      </c>
      <c r="E467" s="1" t="s">
        <v>1436</v>
      </c>
      <c r="F467" s="2" t="s">
        <v>1437</v>
      </c>
      <c r="G467" s="2">
        <v>5408</v>
      </c>
      <c r="H467" s="2" t="s">
        <v>1438</v>
      </c>
      <c r="I467" s="5" t="s">
        <v>1439</v>
      </c>
      <c r="J467" s="5">
        <v>0.67361111111111116</v>
      </c>
      <c r="K467" s="32">
        <f>_xlfn.MAXIFS(ConsumoConcreto[Fim do Bombeamento],ConsumoConcreto[RecebimentoID],RecebimentoConcreto[[#This Row],[RecebimentoID]])</f>
        <v>0.72916666666666663</v>
      </c>
      <c r="L467" s="1" t="s">
        <v>471</v>
      </c>
      <c r="M467" s="37">
        <v>36892</v>
      </c>
      <c r="N467" s="5" t="s">
        <v>25</v>
      </c>
      <c r="O467" s="9">
        <v>14.5</v>
      </c>
      <c r="P467" s="5" t="s">
        <v>26</v>
      </c>
      <c r="Q467" s="2"/>
      <c r="R467" s="5" t="s">
        <v>27</v>
      </c>
      <c r="S467" s="5" t="s">
        <v>32</v>
      </c>
      <c r="T467" s="39">
        <v>480</v>
      </c>
    </row>
    <row r="468" spans="1:20" ht="20.100000000000001" hidden="1" customHeight="1" x14ac:dyDescent="0.25">
      <c r="A468" s="26" t="str">
        <f>CONCATENATE(RIGHT(LEFT(RecebimentoConcreto[[#This Row],[Obra]],5),4),"RCBC",TEXT(RecebimentoConcreto[[#This Row],[Ordem]],"0000"))</f>
        <v>0184RCBC0976</v>
      </c>
      <c r="B468" s="1">
        <v>976</v>
      </c>
      <c r="C468" s="1" t="s">
        <v>21</v>
      </c>
      <c r="D468" s="35">
        <v>45063</v>
      </c>
      <c r="E468" s="1" t="s">
        <v>247</v>
      </c>
      <c r="F468" s="2" t="s">
        <v>1440</v>
      </c>
      <c r="G468" s="2">
        <v>5408</v>
      </c>
      <c r="H468" s="2" t="s">
        <v>1441</v>
      </c>
      <c r="I468" s="5" t="s">
        <v>1442</v>
      </c>
      <c r="J468" s="5">
        <v>0.70347222222222217</v>
      </c>
      <c r="K468" s="32">
        <f>_xlfn.MAXIFS(ConsumoConcreto[Fim do Bombeamento],ConsumoConcreto[RecebimentoID],RecebimentoConcreto[[#This Row],[RecebimentoID]])</f>
        <v>0.76111111111111107</v>
      </c>
      <c r="L468" s="1" t="s">
        <v>471</v>
      </c>
      <c r="M468" s="37">
        <v>36892</v>
      </c>
      <c r="N468" s="5" t="s">
        <v>25</v>
      </c>
      <c r="O468" s="9">
        <v>14.5</v>
      </c>
      <c r="P468" s="5" t="s">
        <v>26</v>
      </c>
      <c r="Q468" s="2"/>
      <c r="R468" s="5" t="s">
        <v>27</v>
      </c>
      <c r="S468" s="5" t="s">
        <v>32</v>
      </c>
      <c r="T468" s="39">
        <v>480</v>
      </c>
    </row>
    <row r="469" spans="1:20" ht="20.100000000000001" hidden="1" customHeight="1" x14ac:dyDescent="0.25">
      <c r="A469" s="26" t="str">
        <f>CONCATENATE(RIGHT(LEFT(RecebimentoConcreto[[#This Row],[Obra]],5),4),"RCBC",TEXT(RecebimentoConcreto[[#This Row],[Ordem]],"0000"))</f>
        <v>0184RCBC0977</v>
      </c>
      <c r="B469" s="1">
        <v>977</v>
      </c>
      <c r="C469" s="1" t="s">
        <v>21</v>
      </c>
      <c r="D469" s="35">
        <v>45064</v>
      </c>
      <c r="E469" s="1" t="s">
        <v>1443</v>
      </c>
      <c r="F469" s="2" t="s">
        <v>1444</v>
      </c>
      <c r="G469" s="2">
        <v>5408</v>
      </c>
      <c r="H469" s="2" t="s">
        <v>1445</v>
      </c>
      <c r="I469" s="5" t="s">
        <v>1446</v>
      </c>
      <c r="J469" s="5">
        <v>0.70208333333333339</v>
      </c>
      <c r="K469" s="32">
        <f>_xlfn.MAXIFS(ConsumoConcreto[Fim do Bombeamento],ConsumoConcreto[RecebimentoID],RecebimentoConcreto[[#This Row],[RecebimentoID]])</f>
        <v>0.76666666666666661</v>
      </c>
      <c r="L469" s="1" t="s">
        <v>1447</v>
      </c>
      <c r="M469" s="37">
        <v>36892</v>
      </c>
      <c r="N469" s="5" t="s">
        <v>25</v>
      </c>
      <c r="O469" s="9">
        <v>14.5</v>
      </c>
      <c r="P469" s="5" t="s">
        <v>26</v>
      </c>
      <c r="Q469" s="2"/>
      <c r="R469" s="5" t="s">
        <v>27</v>
      </c>
      <c r="S469" s="5" t="s">
        <v>32</v>
      </c>
      <c r="T469" s="39">
        <v>480</v>
      </c>
    </row>
    <row r="470" spans="1:20" ht="20.100000000000001" hidden="1" customHeight="1" x14ac:dyDescent="0.25">
      <c r="A470" s="26" t="str">
        <f>CONCATENATE(RIGHT(LEFT(RecebimentoConcreto[[#This Row],[Obra]],5),4),"RCBC",TEXT(RecebimentoConcreto[[#This Row],[Ordem]],"0000"))</f>
        <v>0184RCBC0978</v>
      </c>
      <c r="B470" s="1">
        <v>978</v>
      </c>
      <c r="C470" s="1" t="s">
        <v>21</v>
      </c>
      <c r="D470" s="35">
        <v>45065</v>
      </c>
      <c r="E470" s="1" t="s">
        <v>1448</v>
      </c>
      <c r="F470" s="2" t="s">
        <v>1449</v>
      </c>
      <c r="G470" s="2">
        <v>5408</v>
      </c>
      <c r="H470" s="2" t="s">
        <v>1450</v>
      </c>
      <c r="I470" s="5" t="s">
        <v>1451</v>
      </c>
      <c r="J470" s="5">
        <v>0.7715277777777777</v>
      </c>
      <c r="K470" s="32">
        <f>_xlfn.MAXIFS(ConsumoConcreto[Fim do Bombeamento],ConsumoConcreto[RecebimentoID],RecebimentoConcreto[[#This Row],[RecebimentoID]])</f>
        <v>0.79166666666666663</v>
      </c>
      <c r="L470" s="1" t="s">
        <v>1452</v>
      </c>
      <c r="M470" s="37">
        <v>36892</v>
      </c>
      <c r="N470" s="5" t="s">
        <v>25</v>
      </c>
      <c r="O470" s="9">
        <v>14.5</v>
      </c>
      <c r="P470" s="5" t="s">
        <v>26</v>
      </c>
      <c r="Q470" s="2"/>
      <c r="R470" s="5" t="s">
        <v>27</v>
      </c>
      <c r="S470" s="5" t="s">
        <v>32</v>
      </c>
      <c r="T470" s="39">
        <v>480</v>
      </c>
    </row>
    <row r="471" spans="1:20" ht="20.100000000000001" hidden="1" customHeight="1" x14ac:dyDescent="0.25">
      <c r="A471" s="26" t="str">
        <f>CONCATENATE(RIGHT(LEFT(RecebimentoConcreto[[#This Row],[Obra]],5),4),"RCBC",TEXT(RecebimentoConcreto[[#This Row],[Ordem]],"0000"))</f>
        <v>0184RCBC0979</v>
      </c>
      <c r="B471" s="1">
        <v>979</v>
      </c>
      <c r="C471" s="1" t="s">
        <v>21</v>
      </c>
      <c r="D471" s="35">
        <v>45068</v>
      </c>
      <c r="E471" s="1" t="s">
        <v>538</v>
      </c>
      <c r="F471" s="2" t="s">
        <v>1453</v>
      </c>
      <c r="G471" s="2">
        <v>5408</v>
      </c>
      <c r="H471" s="2" t="s">
        <v>1454</v>
      </c>
      <c r="I471" s="5" t="s">
        <v>1455</v>
      </c>
      <c r="J471" s="5">
        <v>0.74375000000000002</v>
      </c>
      <c r="K471" s="32">
        <f>_xlfn.MAXIFS(ConsumoConcreto[Fim do Bombeamento],ConsumoConcreto[RecebimentoID],RecebimentoConcreto[[#This Row],[RecebimentoID]])</f>
        <v>0</v>
      </c>
      <c r="L471" s="1" t="s">
        <v>1456</v>
      </c>
      <c r="M471" s="37">
        <v>36892</v>
      </c>
      <c r="N471" s="5" t="s">
        <v>25</v>
      </c>
      <c r="O471" s="9">
        <v>14.5</v>
      </c>
      <c r="P471" s="5" t="s">
        <v>26</v>
      </c>
      <c r="Q471" s="2"/>
      <c r="R471" s="5" t="s">
        <v>27</v>
      </c>
      <c r="S471" s="5" t="s">
        <v>32</v>
      </c>
      <c r="T471" s="39">
        <v>480</v>
      </c>
    </row>
    <row r="472" spans="1:20" ht="20.100000000000001" hidden="1" customHeight="1" x14ac:dyDescent="0.25">
      <c r="A472" s="26" t="str">
        <f>CONCATENATE(RIGHT(LEFT(RecebimentoConcreto[[#This Row],[Obra]],5),4),"RCBC",TEXT(RecebimentoConcreto[[#This Row],[Ordem]],"0000"))</f>
        <v>0184RCBC0980</v>
      </c>
      <c r="B472" s="1">
        <v>980</v>
      </c>
      <c r="C472" s="1" t="s">
        <v>21</v>
      </c>
      <c r="D472" s="35">
        <v>45068</v>
      </c>
      <c r="E472" s="1" t="s">
        <v>1457</v>
      </c>
      <c r="F472" s="2" t="s">
        <v>1458</v>
      </c>
      <c r="G472" s="2">
        <v>5408</v>
      </c>
      <c r="H472" s="2" t="s">
        <v>1459</v>
      </c>
      <c r="I472" s="5" t="s">
        <v>1460</v>
      </c>
      <c r="J472" s="5">
        <v>0.79166666666666663</v>
      </c>
      <c r="K472" s="32">
        <f>_xlfn.MAXIFS(ConsumoConcreto[Fim do Bombeamento],ConsumoConcreto[RecebimentoID],RecebimentoConcreto[[#This Row],[RecebimentoID]])</f>
        <v>0.8666666666666667</v>
      </c>
      <c r="L472" s="1" t="s">
        <v>489</v>
      </c>
      <c r="M472" s="37">
        <v>36892</v>
      </c>
      <c r="N472" s="5" t="s">
        <v>25</v>
      </c>
      <c r="O472" s="9">
        <v>18</v>
      </c>
      <c r="P472" s="5" t="s">
        <v>26</v>
      </c>
      <c r="Q472" s="2"/>
      <c r="R472" s="5" t="s">
        <v>27</v>
      </c>
      <c r="S472" s="5" t="s">
        <v>32</v>
      </c>
      <c r="T472" s="39">
        <v>480</v>
      </c>
    </row>
    <row r="473" spans="1:20" ht="20.100000000000001" hidden="1" customHeight="1" x14ac:dyDescent="0.25">
      <c r="A473" s="26" t="str">
        <f>CONCATENATE(RIGHT(LEFT(RecebimentoConcreto[[#This Row],[Obra]],5),4),"RCBC",TEXT(RecebimentoConcreto[[#This Row],[Ordem]],"0000"))</f>
        <v>0184RCBC0981</v>
      </c>
      <c r="B473" s="1">
        <v>981</v>
      </c>
      <c r="C473" s="1" t="s">
        <v>21</v>
      </c>
      <c r="D473" s="35">
        <v>45069</v>
      </c>
      <c r="E473" s="1" t="s">
        <v>1436</v>
      </c>
      <c r="F473" s="2" t="s">
        <v>1461</v>
      </c>
      <c r="G473" s="2">
        <v>5408</v>
      </c>
      <c r="H473" s="2" t="s">
        <v>1462</v>
      </c>
      <c r="I473" s="5" t="s">
        <v>1463</v>
      </c>
      <c r="J473" s="5">
        <v>0.75416666666666676</v>
      </c>
      <c r="K473" s="32">
        <f>_xlfn.MAXIFS(ConsumoConcreto[Fim do Bombeamento],ConsumoConcreto[RecebimentoID],RecebimentoConcreto[[#This Row],[RecebimentoID]])</f>
        <v>0.79861111111111116</v>
      </c>
      <c r="L473" s="1" t="s">
        <v>1464</v>
      </c>
      <c r="M473" s="37">
        <v>36892</v>
      </c>
      <c r="N473" s="5" t="s">
        <v>25</v>
      </c>
      <c r="O473" s="9">
        <v>14.5</v>
      </c>
      <c r="P473" s="5" t="s">
        <v>26</v>
      </c>
      <c r="Q473" s="2"/>
      <c r="R473" s="5" t="s">
        <v>27</v>
      </c>
      <c r="S473" s="5" t="s">
        <v>32</v>
      </c>
      <c r="T473" s="39">
        <v>480</v>
      </c>
    </row>
    <row r="474" spans="1:20" ht="20.100000000000001" hidden="1" customHeight="1" x14ac:dyDescent="0.25">
      <c r="A474" s="26" t="str">
        <f>CONCATENATE(RIGHT(LEFT(RecebimentoConcreto[[#This Row],[Obra]],5),4),"RCBC",TEXT(RecebimentoConcreto[[#This Row],[Ordem]],"0000"))</f>
        <v>0184RCBC0982</v>
      </c>
      <c r="B474" s="1">
        <v>982</v>
      </c>
      <c r="C474" s="1" t="s">
        <v>21</v>
      </c>
      <c r="D474" s="35">
        <v>45069</v>
      </c>
      <c r="E474" s="1" t="s">
        <v>1465</v>
      </c>
      <c r="F474" s="2" t="s">
        <v>1466</v>
      </c>
      <c r="G474" s="2">
        <v>5408</v>
      </c>
      <c r="H474" s="2" t="s">
        <v>1467</v>
      </c>
      <c r="I474" s="5" t="s">
        <v>1468</v>
      </c>
      <c r="J474" s="5">
        <v>0.81458333333333333</v>
      </c>
      <c r="K474" s="32">
        <f>_xlfn.MAXIFS(ConsumoConcreto[Fim do Bombeamento],ConsumoConcreto[RecebimentoID],RecebimentoConcreto[[#This Row],[RecebimentoID]])</f>
        <v>0.85833333333333339</v>
      </c>
      <c r="M474" s="37">
        <v>36892</v>
      </c>
      <c r="N474" s="5" t="s">
        <v>25</v>
      </c>
      <c r="O474" s="9">
        <v>18</v>
      </c>
      <c r="P474" s="5" t="s">
        <v>26</v>
      </c>
      <c r="Q474" s="2"/>
      <c r="R474" s="5" t="s">
        <v>27</v>
      </c>
      <c r="S474" s="5" t="s">
        <v>32</v>
      </c>
      <c r="T474" s="39">
        <v>480</v>
      </c>
    </row>
    <row r="475" spans="1:20" ht="20.100000000000001" hidden="1" customHeight="1" x14ac:dyDescent="0.25">
      <c r="A475" s="26" t="str">
        <f>CONCATENATE(RIGHT(LEFT(RecebimentoConcreto[[#This Row],[Obra]],5),4),"RCBC",TEXT(RecebimentoConcreto[[#This Row],[Ordem]],"0000"))</f>
        <v>0184RCBC0986</v>
      </c>
      <c r="B475" s="1">
        <v>986</v>
      </c>
      <c r="C475" s="1" t="s">
        <v>21</v>
      </c>
      <c r="D475" s="35">
        <v>45070</v>
      </c>
      <c r="E475" s="1" t="s">
        <v>1085</v>
      </c>
      <c r="F475" s="2" t="s">
        <v>1469</v>
      </c>
      <c r="G475" s="2">
        <v>5408</v>
      </c>
      <c r="H475" s="2" t="s">
        <v>1470</v>
      </c>
      <c r="I475" s="5" t="s">
        <v>1471</v>
      </c>
      <c r="J475" s="5">
        <v>0.67708333333333337</v>
      </c>
      <c r="K475" s="32">
        <f>_xlfn.MAXIFS(ConsumoConcreto[Fim do Bombeamento],ConsumoConcreto[RecebimentoID],RecebimentoConcreto[[#This Row],[RecebimentoID]])</f>
        <v>0.72152777777777777</v>
      </c>
      <c r="L475" s="1" t="s">
        <v>1472</v>
      </c>
      <c r="M475" s="37">
        <v>36892</v>
      </c>
      <c r="N475" s="5" t="s">
        <v>25</v>
      </c>
      <c r="O475" s="9">
        <v>14.5</v>
      </c>
      <c r="P475" s="5" t="s">
        <v>26</v>
      </c>
      <c r="Q475" s="2"/>
      <c r="R475" s="5" t="s">
        <v>27</v>
      </c>
      <c r="S475" s="5" t="s">
        <v>32</v>
      </c>
      <c r="T475" s="39">
        <v>480</v>
      </c>
    </row>
    <row r="476" spans="1:20" ht="20.100000000000001" hidden="1" customHeight="1" x14ac:dyDescent="0.25">
      <c r="A476" s="26" t="str">
        <f>CONCATENATE(RIGHT(LEFT(RecebimentoConcreto[[#This Row],[Obra]],5),4),"RCBC",TEXT(RecebimentoConcreto[[#This Row],[Ordem]],"0000"))</f>
        <v>0184RCBC0987</v>
      </c>
      <c r="B476" s="1">
        <v>987</v>
      </c>
      <c r="C476" s="1" t="s">
        <v>21</v>
      </c>
      <c r="D476" s="35">
        <v>45071</v>
      </c>
      <c r="E476" s="1" t="s">
        <v>1473</v>
      </c>
      <c r="F476" s="2" t="s">
        <v>1474</v>
      </c>
      <c r="G476" s="2">
        <v>5408</v>
      </c>
      <c r="H476" s="2" t="s">
        <v>1475</v>
      </c>
      <c r="I476" s="5" t="s">
        <v>1476</v>
      </c>
      <c r="J476" s="5">
        <v>0.7090277777777777</v>
      </c>
      <c r="K476" s="32">
        <f>_xlfn.MAXIFS(ConsumoConcreto[Fim do Bombeamento],ConsumoConcreto[RecebimentoID],RecebimentoConcreto[[#This Row],[RecebimentoID]])</f>
        <v>0.77708333333333324</v>
      </c>
      <c r="L476" s="1" t="s">
        <v>1477</v>
      </c>
      <c r="M476" s="37">
        <v>36892</v>
      </c>
      <c r="N476" s="5" t="s">
        <v>25</v>
      </c>
      <c r="O476" s="9">
        <v>18.5</v>
      </c>
      <c r="P476" s="5" t="s">
        <v>26</v>
      </c>
      <c r="Q476" s="2"/>
      <c r="R476" s="5" t="s">
        <v>27</v>
      </c>
      <c r="S476" s="5" t="s">
        <v>32</v>
      </c>
      <c r="T476" s="39">
        <v>480</v>
      </c>
    </row>
    <row r="477" spans="1:20" ht="20.100000000000001" hidden="1" customHeight="1" x14ac:dyDescent="0.25">
      <c r="A477" s="26" t="str">
        <f>CONCATENATE(RIGHT(LEFT(RecebimentoConcreto[[#This Row],[Obra]],5),4),"RCBC",TEXT(RecebimentoConcreto[[#This Row],[Ordem]],"0000"))</f>
        <v>0184RCBC0991</v>
      </c>
      <c r="B477" s="1">
        <v>991</v>
      </c>
      <c r="C477" s="1" t="s">
        <v>21</v>
      </c>
      <c r="D477" s="35">
        <v>45072</v>
      </c>
      <c r="E477" s="1" t="s">
        <v>1478</v>
      </c>
      <c r="F477" s="2" t="s">
        <v>1479</v>
      </c>
      <c r="G477" s="2">
        <v>5408</v>
      </c>
      <c r="H477" s="2" t="s">
        <v>1480</v>
      </c>
      <c r="I477" s="5" t="s">
        <v>1481</v>
      </c>
      <c r="J477" s="5">
        <v>0.7680555555555556</v>
      </c>
      <c r="K477" s="32">
        <f>_xlfn.MAXIFS(ConsumoConcreto[Fim do Bombeamento],ConsumoConcreto[RecebimentoID],RecebimentoConcreto[[#This Row],[RecebimentoID]])</f>
        <v>0.80486111111111114</v>
      </c>
      <c r="L477" s="1" t="s">
        <v>442</v>
      </c>
      <c r="M477" s="37">
        <v>36892</v>
      </c>
      <c r="N477" s="5" t="s">
        <v>25</v>
      </c>
      <c r="O477" s="9">
        <v>14.5</v>
      </c>
      <c r="P477" s="5" t="s">
        <v>26</v>
      </c>
      <c r="Q477" s="2"/>
      <c r="R477" s="5" t="s">
        <v>27</v>
      </c>
      <c r="S477" s="5" t="s">
        <v>32</v>
      </c>
      <c r="T477" s="39">
        <v>480</v>
      </c>
    </row>
    <row r="478" spans="1:20" ht="20.100000000000001" hidden="1" customHeight="1" x14ac:dyDescent="0.25">
      <c r="A478" s="26" t="str">
        <f>CONCATENATE(RIGHT(LEFT(RecebimentoConcreto[[#This Row],[Obra]],5),4),"RCBC",TEXT(RecebimentoConcreto[[#This Row],[Ordem]],"0000"))</f>
        <v>0184RCBC0992</v>
      </c>
      <c r="B478" s="1">
        <v>992</v>
      </c>
      <c r="C478" s="1" t="s">
        <v>21</v>
      </c>
      <c r="D478" s="35">
        <v>45072</v>
      </c>
      <c r="E478" s="1" t="s">
        <v>1482</v>
      </c>
      <c r="F478" s="2" t="s">
        <v>1483</v>
      </c>
      <c r="G478" s="2">
        <v>5408</v>
      </c>
      <c r="H478" s="2" t="s">
        <v>1484</v>
      </c>
      <c r="I478" s="5" t="s">
        <v>1485</v>
      </c>
      <c r="J478" s="5">
        <v>0.81458333333333333</v>
      </c>
      <c r="K478" s="32">
        <f>_xlfn.MAXIFS(ConsumoConcreto[Fim do Bombeamento],ConsumoConcreto[RecebimentoID],RecebimentoConcreto[[#This Row],[RecebimentoID]])</f>
        <v>0.86805555555555547</v>
      </c>
      <c r="L478" s="1" t="s">
        <v>476</v>
      </c>
      <c r="M478" s="37">
        <v>36892</v>
      </c>
      <c r="N478" s="5" t="s">
        <v>25</v>
      </c>
      <c r="O478" s="9">
        <v>18</v>
      </c>
      <c r="P478" s="5" t="s">
        <v>26</v>
      </c>
      <c r="Q478" s="2"/>
      <c r="R478" s="5" t="s">
        <v>27</v>
      </c>
      <c r="S478" s="5" t="s">
        <v>32</v>
      </c>
      <c r="T478" s="39">
        <v>480</v>
      </c>
    </row>
    <row r="479" spans="1:20" ht="20.100000000000001" hidden="1" customHeight="1" x14ac:dyDescent="0.25">
      <c r="A479" s="26" t="str">
        <f>CONCATENATE(RIGHT(LEFT(RecebimentoConcreto[[#This Row],[Obra]],5),4),"RCBC",TEXT(RecebimentoConcreto[[#This Row],[Ordem]],"0000"))</f>
        <v>0184RCBC0993</v>
      </c>
      <c r="B479" s="1">
        <v>993</v>
      </c>
      <c r="C479" s="1" t="s">
        <v>21</v>
      </c>
      <c r="D479" s="35">
        <v>45076</v>
      </c>
      <c r="E479" s="1" t="s">
        <v>380</v>
      </c>
      <c r="F479" s="2" t="s">
        <v>1486</v>
      </c>
      <c r="G479" s="2">
        <v>5408</v>
      </c>
      <c r="H479" s="2" t="s">
        <v>1487</v>
      </c>
      <c r="I479" s="5" t="s">
        <v>1488</v>
      </c>
      <c r="J479" s="5">
        <v>0.72916666666666663</v>
      </c>
      <c r="K479" s="32">
        <f>_xlfn.MAXIFS(ConsumoConcreto[Fim do Bombeamento],ConsumoConcreto[RecebimentoID],RecebimentoConcreto[[#This Row],[RecebimentoID]])</f>
        <v>0.75347222222222221</v>
      </c>
      <c r="L479" s="1" t="s">
        <v>1452</v>
      </c>
      <c r="M479" s="37">
        <v>36892</v>
      </c>
      <c r="N479" s="5" t="s">
        <v>25</v>
      </c>
      <c r="O479" s="9">
        <v>14.5</v>
      </c>
      <c r="P479" s="5" t="s">
        <v>26</v>
      </c>
      <c r="Q479" s="2"/>
      <c r="R479" s="5" t="s">
        <v>27</v>
      </c>
      <c r="S479" s="5" t="s">
        <v>32</v>
      </c>
      <c r="T479" s="39">
        <v>480</v>
      </c>
    </row>
    <row r="480" spans="1:20" ht="20.100000000000001" hidden="1" customHeight="1" x14ac:dyDescent="0.25">
      <c r="A480" s="26" t="str">
        <f>CONCATENATE(RIGHT(LEFT(RecebimentoConcreto[[#This Row],[Obra]],5),4),"RCBC",TEXT(RecebimentoConcreto[[#This Row],[Ordem]],"0000"))</f>
        <v>0184RCBC0994</v>
      </c>
      <c r="B480" s="1">
        <v>994</v>
      </c>
      <c r="C480" s="1" t="s">
        <v>21</v>
      </c>
      <c r="D480" s="35">
        <v>45076</v>
      </c>
      <c r="E480" s="1" t="s">
        <v>1489</v>
      </c>
      <c r="F480" s="2" t="s">
        <v>1490</v>
      </c>
      <c r="G480" s="2">
        <v>5408</v>
      </c>
      <c r="H480" s="2" t="s">
        <v>1491</v>
      </c>
      <c r="I480" s="5" t="s">
        <v>1492</v>
      </c>
      <c r="J480" s="5">
        <v>0.76597222222222217</v>
      </c>
      <c r="K480" s="32">
        <f>_xlfn.MAXIFS(ConsumoConcreto[Fim do Bombeamento],ConsumoConcreto[RecebimentoID],RecebimentoConcreto[[#This Row],[RecebimentoID]])</f>
        <v>0.80555555555555547</v>
      </c>
      <c r="L480" s="1" t="s">
        <v>476</v>
      </c>
      <c r="M480" s="37">
        <v>36892</v>
      </c>
      <c r="N480" s="5" t="s">
        <v>25</v>
      </c>
      <c r="O480" s="9">
        <v>18</v>
      </c>
      <c r="P480" s="5" t="s">
        <v>26</v>
      </c>
      <c r="Q480" s="2"/>
      <c r="R480" s="5" t="s">
        <v>27</v>
      </c>
      <c r="S480" s="5" t="s">
        <v>32</v>
      </c>
      <c r="T480" s="39">
        <v>480</v>
      </c>
    </row>
    <row r="481" spans="1:20" ht="20.100000000000001" hidden="1" customHeight="1" x14ac:dyDescent="0.25">
      <c r="A481" s="26" t="str">
        <f>CONCATENATE(RIGHT(LEFT(RecebimentoConcreto[[#This Row],[Obra]],5),4),"RCBC",TEXT(RecebimentoConcreto[[#This Row],[Ordem]],"0000"))</f>
        <v>0184RCBC0995</v>
      </c>
      <c r="B481" s="1">
        <v>995</v>
      </c>
      <c r="C481" s="1" t="s">
        <v>21</v>
      </c>
      <c r="D481" s="35">
        <v>45077</v>
      </c>
      <c r="E481" s="1" t="s">
        <v>1493</v>
      </c>
      <c r="F481" s="2" t="s">
        <v>1494</v>
      </c>
      <c r="G481" s="2">
        <v>5746</v>
      </c>
      <c r="H481" s="2" t="s">
        <v>1495</v>
      </c>
      <c r="I481" s="5" t="s">
        <v>1496</v>
      </c>
      <c r="J481" s="5">
        <v>0.78055555555555556</v>
      </c>
      <c r="K481" s="32">
        <f>_xlfn.MAXIFS(ConsumoConcreto[Fim do Bombeamento],ConsumoConcreto[RecebimentoID],RecebimentoConcreto[[#This Row],[RecebimentoID]])</f>
        <v>0.84722222222222221</v>
      </c>
      <c r="L481" s="1" t="s">
        <v>1497</v>
      </c>
      <c r="M481" s="37">
        <v>36892</v>
      </c>
      <c r="N481" s="5" t="s">
        <v>25</v>
      </c>
      <c r="O481" s="9">
        <v>18.5</v>
      </c>
      <c r="P481" s="5" t="s">
        <v>26</v>
      </c>
      <c r="Q481" s="2"/>
      <c r="R481" s="5" t="s">
        <v>27</v>
      </c>
      <c r="S481" s="5" t="s">
        <v>500</v>
      </c>
      <c r="T481" s="39">
        <v>520</v>
      </c>
    </row>
    <row r="482" spans="1:20" ht="20.100000000000001" hidden="1" customHeight="1" x14ac:dyDescent="0.25">
      <c r="A482" s="26" t="str">
        <f>CONCATENATE(RIGHT(LEFT(RecebimentoConcreto[[#This Row],[Obra]],5),4),"RCBC",TEXT(RecebimentoConcreto[[#This Row],[Ordem]],"0000"))</f>
        <v>0184RCBC0996</v>
      </c>
      <c r="B482" s="1">
        <v>996</v>
      </c>
      <c r="C482" s="1" t="s">
        <v>21</v>
      </c>
      <c r="D482" s="35">
        <v>45078</v>
      </c>
      <c r="E482" s="1" t="s">
        <v>975</v>
      </c>
      <c r="F482" s="2" t="s">
        <v>1498</v>
      </c>
      <c r="G482" s="2">
        <v>5408</v>
      </c>
      <c r="H482" s="2" t="s">
        <v>1499</v>
      </c>
      <c r="I482" s="5" t="s">
        <v>1500</v>
      </c>
      <c r="J482" s="5">
        <v>0.64722222222222225</v>
      </c>
      <c r="K482" s="32">
        <f>_xlfn.MAXIFS(ConsumoConcreto[Fim do Bombeamento],ConsumoConcreto[RecebimentoID],RecebimentoConcreto[[#This Row],[RecebimentoID]])</f>
        <v>0.68125000000000002</v>
      </c>
      <c r="L482" s="1" t="s">
        <v>1501</v>
      </c>
      <c r="M482" s="37">
        <v>36892</v>
      </c>
      <c r="N482" s="5" t="s">
        <v>25</v>
      </c>
      <c r="O482" s="9">
        <v>14.5</v>
      </c>
      <c r="P482" s="5" t="s">
        <v>26</v>
      </c>
      <c r="Q482" s="2"/>
      <c r="R482" s="5" t="s">
        <v>27</v>
      </c>
      <c r="S482" s="5" t="s">
        <v>32</v>
      </c>
      <c r="T482" s="39">
        <v>480</v>
      </c>
    </row>
    <row r="483" spans="1:20" ht="20.100000000000001" hidden="1" customHeight="1" x14ac:dyDescent="0.25">
      <c r="A483" s="26" t="str">
        <f>CONCATENATE(RIGHT(LEFT(RecebimentoConcreto[[#This Row],[Obra]],5),4),"RCBC",TEXT(RecebimentoConcreto[[#This Row],[Ordem]],"0000"))</f>
        <v>0184RCBC0997</v>
      </c>
      <c r="B483" s="1">
        <v>997</v>
      </c>
      <c r="C483" s="1" t="s">
        <v>21</v>
      </c>
      <c r="D483" s="35">
        <v>45078</v>
      </c>
      <c r="E483" s="1" t="s">
        <v>1473</v>
      </c>
      <c r="F483" s="2" t="s">
        <v>1502</v>
      </c>
      <c r="G483" s="2">
        <v>5408</v>
      </c>
      <c r="H483" s="2" t="s">
        <v>1503</v>
      </c>
      <c r="I483" s="5" t="s">
        <v>1504</v>
      </c>
      <c r="J483" s="5">
        <v>0.70486111111111116</v>
      </c>
      <c r="K483" s="32">
        <f>_xlfn.MAXIFS(ConsumoConcreto[Fim do Bombeamento],ConsumoConcreto[RecebimentoID],RecebimentoConcreto[[#This Row],[RecebimentoID]])</f>
        <v>0.79722222222222217</v>
      </c>
      <c r="L483" s="1" t="s">
        <v>1505</v>
      </c>
      <c r="M483" s="37">
        <v>36892</v>
      </c>
      <c r="N483" s="5" t="s">
        <v>25</v>
      </c>
      <c r="O483" s="9">
        <v>18.5</v>
      </c>
      <c r="P483" s="5" t="s">
        <v>26</v>
      </c>
      <c r="Q483" s="2"/>
      <c r="R483" s="5" t="s">
        <v>27</v>
      </c>
      <c r="S483" s="5" t="s">
        <v>32</v>
      </c>
      <c r="T483" s="39">
        <v>480</v>
      </c>
    </row>
    <row r="484" spans="1:20" ht="20.100000000000001" hidden="1" customHeight="1" x14ac:dyDescent="0.25">
      <c r="A484" s="26" t="str">
        <f>CONCATENATE(RIGHT(LEFT(RecebimentoConcreto[[#This Row],[Obra]],5),4),"RCBC",TEXT(RecebimentoConcreto[[#This Row],[Ordem]],"0000"))</f>
        <v>0184RCBC0998</v>
      </c>
      <c r="B484" s="1">
        <v>998</v>
      </c>
      <c r="C484" s="1" t="s">
        <v>21</v>
      </c>
      <c r="D484" s="35">
        <v>45079</v>
      </c>
      <c r="E484" s="1" t="s">
        <v>380</v>
      </c>
      <c r="F484" s="2" t="s">
        <v>1506</v>
      </c>
      <c r="G484" s="2">
        <v>5408</v>
      </c>
      <c r="H484" s="2" t="s">
        <v>1507</v>
      </c>
      <c r="I484" s="5" t="s">
        <v>1508</v>
      </c>
      <c r="J484" s="5">
        <v>0.80902777777777779</v>
      </c>
      <c r="K484" s="32">
        <f>_xlfn.MAXIFS(ConsumoConcreto[Fim do Bombeamento],ConsumoConcreto[RecebimentoID],RecebimentoConcreto[[#This Row],[RecebimentoID]])</f>
        <v>0.85625000000000007</v>
      </c>
      <c r="L484" s="1" t="s">
        <v>1452</v>
      </c>
      <c r="M484" s="37">
        <v>36892</v>
      </c>
      <c r="N484" s="5" t="s">
        <v>25</v>
      </c>
      <c r="O484" s="9">
        <v>14.5</v>
      </c>
      <c r="P484" s="5" t="s">
        <v>26</v>
      </c>
      <c r="Q484" s="2"/>
      <c r="R484" s="5" t="s">
        <v>27</v>
      </c>
      <c r="S484" s="5" t="s">
        <v>32</v>
      </c>
      <c r="T484" s="39">
        <v>480</v>
      </c>
    </row>
    <row r="485" spans="1:20" ht="20.100000000000001" hidden="1" customHeight="1" x14ac:dyDescent="0.25">
      <c r="A485" s="26" t="str">
        <f>CONCATENATE(RIGHT(LEFT(RecebimentoConcreto[[#This Row],[Obra]],5),4),"RCBC",TEXT(RecebimentoConcreto[[#This Row],[Ordem]],"0000"))</f>
        <v>0184RCBC0999</v>
      </c>
      <c r="B485" s="1">
        <v>999</v>
      </c>
      <c r="C485" s="1" t="s">
        <v>21</v>
      </c>
      <c r="D485" s="35">
        <v>45082</v>
      </c>
      <c r="E485" s="1" t="s">
        <v>923</v>
      </c>
      <c r="F485" s="2" t="s">
        <v>1509</v>
      </c>
      <c r="G485" s="2">
        <v>5408</v>
      </c>
      <c r="H485" s="2" t="s">
        <v>1510</v>
      </c>
      <c r="I485" s="5" t="s">
        <v>1511</v>
      </c>
      <c r="J485" s="5">
        <v>0.75486111111111109</v>
      </c>
      <c r="K485" s="32">
        <f>_xlfn.MAXIFS(ConsumoConcreto[Fim do Bombeamento],ConsumoConcreto[RecebimentoID],RecebimentoConcreto[[#This Row],[RecebimentoID]])</f>
        <v>0.78333333333333333</v>
      </c>
      <c r="L485" s="1" t="s">
        <v>1452</v>
      </c>
      <c r="M485" s="37">
        <v>36892</v>
      </c>
      <c r="N485" s="5" t="s">
        <v>25</v>
      </c>
      <c r="O485" s="9">
        <v>14.5</v>
      </c>
      <c r="P485" s="5" t="s">
        <v>26</v>
      </c>
      <c r="Q485" s="2"/>
      <c r="R485" s="5" t="s">
        <v>27</v>
      </c>
      <c r="S485" s="5" t="s">
        <v>32</v>
      </c>
      <c r="T485" s="39">
        <v>480</v>
      </c>
    </row>
    <row r="486" spans="1:20" ht="20.100000000000001" hidden="1" customHeight="1" x14ac:dyDescent="0.25">
      <c r="A486" s="26" t="str">
        <f>CONCATENATE(RIGHT(LEFT(RecebimentoConcreto[[#This Row],[Obra]],5),4),"RCBC",TEXT(RecebimentoConcreto[[#This Row],[Ordem]],"0000"))</f>
        <v>0184RCBC1000</v>
      </c>
      <c r="B486" s="1">
        <v>1000</v>
      </c>
      <c r="C486" s="1" t="s">
        <v>21</v>
      </c>
      <c r="D486" s="35">
        <v>45082</v>
      </c>
      <c r="E486" s="1" t="s">
        <v>1512</v>
      </c>
      <c r="F486" s="2" t="s">
        <v>1513</v>
      </c>
      <c r="G486" s="2">
        <v>5408</v>
      </c>
      <c r="H486" s="2" t="s">
        <v>1514</v>
      </c>
      <c r="I486" s="5" t="s">
        <v>1515</v>
      </c>
      <c r="J486" s="5">
        <v>0.79652777777777783</v>
      </c>
      <c r="K486" s="32">
        <f>_xlfn.MAXIFS(ConsumoConcreto[Fim do Bombeamento],ConsumoConcreto[RecebimentoID],RecebimentoConcreto[[#This Row],[RecebimentoID]])</f>
        <v>0.85902777777777783</v>
      </c>
      <c r="L486" s="1" t="s">
        <v>1516</v>
      </c>
      <c r="M486" s="37">
        <v>36892</v>
      </c>
      <c r="N486" s="5" t="s">
        <v>25</v>
      </c>
      <c r="O486" s="9">
        <v>18</v>
      </c>
      <c r="P486" s="5" t="s">
        <v>26</v>
      </c>
      <c r="Q486" s="2"/>
      <c r="R486" s="5" t="s">
        <v>27</v>
      </c>
      <c r="S486" s="5" t="s">
        <v>32</v>
      </c>
      <c r="T486" s="39">
        <v>480</v>
      </c>
    </row>
    <row r="487" spans="1:20" ht="20.100000000000001" hidden="1" customHeight="1" x14ac:dyDescent="0.25">
      <c r="A487" s="26" t="str">
        <f>CONCATENATE(RIGHT(LEFT(RecebimentoConcreto[[#This Row],[Obra]],5),4),"RCBC",TEXT(RecebimentoConcreto[[#This Row],[Ordem]],"0000"))</f>
        <v>0184RCBC1001</v>
      </c>
      <c r="B487" s="1">
        <v>1001</v>
      </c>
      <c r="C487" s="1" t="s">
        <v>21</v>
      </c>
      <c r="D487" s="35">
        <v>45083</v>
      </c>
      <c r="E487" s="1" t="s">
        <v>1448</v>
      </c>
      <c r="F487" s="2" t="s">
        <v>1517</v>
      </c>
      <c r="G487" s="2">
        <v>5408</v>
      </c>
      <c r="H487" s="2" t="s">
        <v>1518</v>
      </c>
      <c r="I487" s="5" t="s">
        <v>1519</v>
      </c>
      <c r="J487" s="5">
        <v>0.78749999999999998</v>
      </c>
      <c r="K487" s="32">
        <f>_xlfn.MAXIFS(ConsumoConcreto[Fim do Bombeamento],ConsumoConcreto[RecebimentoID],RecebimentoConcreto[[#This Row],[RecebimentoID]])</f>
        <v>0.8222222222222223</v>
      </c>
      <c r="L487" s="1" t="s">
        <v>1452</v>
      </c>
      <c r="M487" s="37">
        <v>36892</v>
      </c>
      <c r="N487" s="5" t="s">
        <v>25</v>
      </c>
      <c r="O487" s="9">
        <v>14.5</v>
      </c>
      <c r="P487" s="5" t="s">
        <v>26</v>
      </c>
      <c r="Q487" s="2"/>
      <c r="R487" s="5" t="s">
        <v>27</v>
      </c>
      <c r="S487" s="5" t="s">
        <v>32</v>
      </c>
      <c r="T487" s="39">
        <v>480</v>
      </c>
    </row>
    <row r="488" spans="1:20" ht="20.100000000000001" hidden="1" customHeight="1" x14ac:dyDescent="0.25">
      <c r="A488" s="26" t="str">
        <f>CONCATENATE(RIGHT(LEFT(RecebimentoConcreto[[#This Row],[Obra]],5),4),"RCBC",TEXT(RecebimentoConcreto[[#This Row],[Ordem]],"0000"))</f>
        <v>0184RCBC1006</v>
      </c>
      <c r="B488" s="1">
        <v>1006</v>
      </c>
      <c r="C488" s="1" t="s">
        <v>21</v>
      </c>
      <c r="D488" s="35"/>
      <c r="K488" s="32">
        <f>_xlfn.MAXIFS(ConsumoConcreto[Fim do Bombeamento],ConsumoConcreto[RecebimentoID],RecebimentoConcreto[[#This Row],[RecebimentoID]])</f>
        <v>0</v>
      </c>
      <c r="M488" s="37">
        <v>36892</v>
      </c>
      <c r="N488" s="5" t="s">
        <v>25</v>
      </c>
      <c r="O488" s="9"/>
      <c r="P488" s="5" t="s">
        <v>26</v>
      </c>
      <c r="Q488" s="2"/>
      <c r="R488" s="5" t="s">
        <v>27</v>
      </c>
      <c r="S488" s="5"/>
    </row>
    <row r="489" spans="1:20" ht="20.100000000000001" hidden="1" customHeight="1" x14ac:dyDescent="0.25">
      <c r="A489" s="26" t="str">
        <f>CONCATENATE(RIGHT(LEFT(RecebimentoConcreto[[#This Row],[Obra]],5),4),"RCBC",TEXT(RecebimentoConcreto[[#This Row],[Ordem]],"0000"))</f>
        <v>0184RCBC1007</v>
      </c>
      <c r="B489" s="1">
        <v>1007</v>
      </c>
      <c r="C489" s="1" t="s">
        <v>21</v>
      </c>
      <c r="D489" s="35"/>
      <c r="K489" s="32">
        <f>_xlfn.MAXIFS(ConsumoConcreto[Fim do Bombeamento],ConsumoConcreto[RecebimentoID],RecebimentoConcreto[[#This Row],[RecebimentoID]])</f>
        <v>0</v>
      </c>
      <c r="M489" s="37">
        <v>36892</v>
      </c>
      <c r="N489" s="5" t="s">
        <v>25</v>
      </c>
      <c r="O489" s="9"/>
      <c r="P489" s="5" t="s">
        <v>26</v>
      </c>
      <c r="Q489" s="2"/>
      <c r="R489" s="5" t="s">
        <v>27</v>
      </c>
      <c r="S489" s="5"/>
    </row>
    <row r="490" spans="1:20" ht="20.100000000000001" hidden="1" customHeight="1" x14ac:dyDescent="0.25">
      <c r="A490" s="26" t="str">
        <f>CONCATENATE(RIGHT(LEFT(RecebimentoConcreto[[#This Row],[Obra]],5),4),"RCBC",TEXT(RecebimentoConcreto[[#This Row],[Ordem]],"0000"))</f>
        <v>0184RCBC1008</v>
      </c>
      <c r="B490" s="1">
        <v>1008</v>
      </c>
      <c r="C490" s="1" t="s">
        <v>21</v>
      </c>
      <c r="D490" s="35"/>
      <c r="K490" s="32">
        <f>_xlfn.MAXIFS(ConsumoConcreto[Fim do Bombeamento],ConsumoConcreto[RecebimentoID],RecebimentoConcreto[[#This Row],[RecebimentoID]])</f>
        <v>0</v>
      </c>
      <c r="M490" s="37">
        <v>36892</v>
      </c>
      <c r="N490" s="5" t="s">
        <v>25</v>
      </c>
      <c r="O490" s="9"/>
      <c r="P490" s="5" t="s">
        <v>26</v>
      </c>
      <c r="Q490" s="2"/>
      <c r="R490" s="5" t="s">
        <v>27</v>
      </c>
      <c r="S490" s="5"/>
    </row>
    <row r="491" spans="1:20" ht="20.100000000000001" hidden="1" customHeight="1" x14ac:dyDescent="0.25">
      <c r="A491" s="26" t="str">
        <f>CONCATENATE(RIGHT(LEFT(RecebimentoConcreto[[#This Row],[Obra]],5),4),"RCBC",TEXT(RecebimentoConcreto[[#This Row],[Ordem]],"0000"))</f>
        <v>0184RCBC1009</v>
      </c>
      <c r="B491" s="1">
        <v>1009</v>
      </c>
      <c r="C491" s="1" t="s">
        <v>21</v>
      </c>
      <c r="D491" s="35"/>
      <c r="K491" s="32">
        <f>_xlfn.MAXIFS(ConsumoConcreto[Fim do Bombeamento],ConsumoConcreto[RecebimentoID],RecebimentoConcreto[[#This Row],[RecebimentoID]])</f>
        <v>0</v>
      </c>
      <c r="M491" s="37">
        <v>36892</v>
      </c>
      <c r="N491" s="5" t="s">
        <v>25</v>
      </c>
      <c r="O491" s="9"/>
      <c r="P491" s="5" t="s">
        <v>26</v>
      </c>
      <c r="Q491" s="2"/>
      <c r="R491" s="5" t="s">
        <v>27</v>
      </c>
      <c r="S491" s="5"/>
    </row>
    <row r="492" spans="1:20" ht="20.100000000000001" hidden="1" customHeight="1" x14ac:dyDescent="0.25">
      <c r="A492" s="26" t="str">
        <f>CONCATENATE(RIGHT(LEFT(RecebimentoConcreto[[#This Row],[Obra]],5),4),"RCBC",TEXT(RecebimentoConcreto[[#This Row],[Ordem]],"0000"))</f>
        <v>0184RCBC1050</v>
      </c>
      <c r="B492" s="1">
        <v>1050</v>
      </c>
      <c r="C492" s="1" t="s">
        <v>21</v>
      </c>
      <c r="D492" s="35">
        <v>45007</v>
      </c>
      <c r="E492" s="1" t="s">
        <v>1520</v>
      </c>
      <c r="F492" s="2" t="s">
        <v>1521</v>
      </c>
      <c r="G492" s="2">
        <v>58691</v>
      </c>
      <c r="H492" s="2" t="s">
        <v>1522</v>
      </c>
      <c r="I492" s="5" t="s">
        <v>1523</v>
      </c>
      <c r="J492" s="5">
        <v>0.73541666666666661</v>
      </c>
      <c r="K492" s="32">
        <f>_xlfn.MAXIFS(ConsumoConcreto[Fim do Bombeamento],ConsumoConcreto[RecebimentoID],RecebimentoConcreto[[#This Row],[RecebimentoID]])</f>
        <v>0.77083333333333337</v>
      </c>
      <c r="L492" s="1" t="s">
        <v>1052</v>
      </c>
      <c r="M492" s="37">
        <v>36892</v>
      </c>
      <c r="N492" s="5" t="s">
        <v>25</v>
      </c>
      <c r="O492" s="9">
        <v>14.5</v>
      </c>
      <c r="P492" s="5" t="s">
        <v>26</v>
      </c>
      <c r="Q492" s="2">
        <v>9</v>
      </c>
      <c r="R492" s="5" t="s">
        <v>27</v>
      </c>
      <c r="S492" s="5" t="s">
        <v>500</v>
      </c>
      <c r="T492" s="39">
        <v>520</v>
      </c>
    </row>
    <row r="493" spans="1:20" ht="20.100000000000001" hidden="1" customHeight="1" x14ac:dyDescent="0.25">
      <c r="A493" s="26" t="str">
        <f>CONCATENATE(RIGHT(LEFT(RecebimentoConcreto[[#This Row],[Obra]],5),4),"RCBC",TEXT(RecebimentoConcreto[[#This Row],[Ordem]],"0000"))</f>
        <v>0184RCBC1051</v>
      </c>
      <c r="B493" s="1">
        <v>1051</v>
      </c>
      <c r="C493" s="1" t="s">
        <v>21</v>
      </c>
      <c r="D493" s="35">
        <v>45008</v>
      </c>
      <c r="E493" s="1" t="s">
        <v>1524</v>
      </c>
      <c r="F493" s="2" t="s">
        <v>1525</v>
      </c>
      <c r="G493" s="2">
        <v>58691</v>
      </c>
      <c r="H493" s="2" t="s">
        <v>1526</v>
      </c>
      <c r="I493" s="5" t="s">
        <v>1527</v>
      </c>
      <c r="J493" s="5">
        <v>0.6972222222222223</v>
      </c>
      <c r="K493" s="32">
        <f>_xlfn.MAXIFS(ConsumoConcreto[Fim do Bombeamento],ConsumoConcreto[RecebimentoID],RecebimentoConcreto[[#This Row],[RecebimentoID]])</f>
        <v>0.73541666666666661</v>
      </c>
      <c r="L493" s="1" t="s">
        <v>1528</v>
      </c>
      <c r="M493" s="37">
        <v>36892</v>
      </c>
      <c r="N493" s="5" t="s">
        <v>25</v>
      </c>
      <c r="O493" s="9">
        <v>14.5</v>
      </c>
      <c r="P493" s="5" t="s">
        <v>26</v>
      </c>
      <c r="Q493" s="2">
        <v>9</v>
      </c>
      <c r="R493" s="5" t="s">
        <v>27</v>
      </c>
      <c r="S493" s="5" t="s">
        <v>500</v>
      </c>
      <c r="T493" s="39">
        <v>520</v>
      </c>
    </row>
    <row r="494" spans="1:20" ht="20.100000000000001" hidden="1" customHeight="1" x14ac:dyDescent="0.25">
      <c r="A494" s="26" t="str">
        <f>CONCATENATE(RIGHT(LEFT(RecebimentoConcreto[[#This Row],[Obra]],5),4),"RCBC",TEXT(RecebimentoConcreto[[#This Row],[Ordem]],"0000"))</f>
        <v>0184RCBC1052</v>
      </c>
      <c r="B494" s="1">
        <v>1052</v>
      </c>
      <c r="C494" s="1" t="s">
        <v>21</v>
      </c>
      <c r="D494" s="35">
        <v>45008</v>
      </c>
      <c r="E494" s="1" t="s">
        <v>1529</v>
      </c>
      <c r="F494" s="2" t="s">
        <v>1530</v>
      </c>
      <c r="G494" s="2">
        <v>58691</v>
      </c>
      <c r="H494" s="2" t="s">
        <v>1531</v>
      </c>
      <c r="I494" s="5" t="s">
        <v>1532</v>
      </c>
      <c r="J494" s="5">
        <v>0.75902777777777775</v>
      </c>
      <c r="K494" s="32">
        <f>_xlfn.MAXIFS(ConsumoConcreto[Fim do Bombeamento],ConsumoConcreto[RecebimentoID],RecebimentoConcreto[[#This Row],[RecebimentoID]])</f>
        <v>0.78541666666666676</v>
      </c>
      <c r="L494" s="1" t="s">
        <v>1115</v>
      </c>
      <c r="M494" s="37">
        <v>36892</v>
      </c>
      <c r="N494" s="5" t="s">
        <v>25</v>
      </c>
      <c r="O494" s="9">
        <v>14.5</v>
      </c>
      <c r="P494" s="5" t="s">
        <v>26</v>
      </c>
      <c r="Q494" s="2">
        <v>9</v>
      </c>
      <c r="R494" s="5" t="s">
        <v>27</v>
      </c>
      <c r="S494" s="5" t="s">
        <v>500</v>
      </c>
      <c r="T494" s="39">
        <v>520</v>
      </c>
    </row>
    <row r="495" spans="1:20" ht="20.100000000000001" hidden="1" customHeight="1" x14ac:dyDescent="0.25">
      <c r="A495" s="26" t="str">
        <f>CONCATENATE(RIGHT(LEFT(RecebimentoConcreto[[#This Row],[Obra]],5),4),"RCBC",TEXT(RecebimentoConcreto[[#This Row],[Ordem]],"0000"))</f>
        <v>0184RCBC1054</v>
      </c>
      <c r="B495" s="1">
        <v>1054</v>
      </c>
      <c r="C495" s="1" t="s">
        <v>21</v>
      </c>
      <c r="D495" s="35">
        <v>45009</v>
      </c>
      <c r="E495" s="1" t="s">
        <v>1533</v>
      </c>
      <c r="F495" s="2" t="s">
        <v>1534</v>
      </c>
      <c r="G495" s="2">
        <v>58691</v>
      </c>
      <c r="H495" s="2" t="s">
        <v>1535</v>
      </c>
      <c r="I495" s="5" t="s">
        <v>1536</v>
      </c>
      <c r="J495" s="5">
        <v>0.7368055555555556</v>
      </c>
      <c r="K495" s="32">
        <f>_xlfn.MAXIFS(ConsumoConcreto[Fim do Bombeamento],ConsumoConcreto[RecebimentoID],RecebimentoConcreto[[#This Row],[RecebimentoID]])</f>
        <v>0.7631944444444444</v>
      </c>
      <c r="L495" s="1" t="s">
        <v>1537</v>
      </c>
      <c r="M495" s="37">
        <v>36892</v>
      </c>
      <c r="N495" s="5" t="s">
        <v>25</v>
      </c>
      <c r="O495" s="9">
        <v>14.5</v>
      </c>
      <c r="P495" s="5" t="s">
        <v>26</v>
      </c>
      <c r="Q495" s="2">
        <v>9</v>
      </c>
      <c r="R495" s="5" t="s">
        <v>27</v>
      </c>
      <c r="S495" s="5" t="s">
        <v>500</v>
      </c>
      <c r="T495" s="39">
        <v>520</v>
      </c>
    </row>
    <row r="496" spans="1:20" ht="20.100000000000001" hidden="1" customHeight="1" x14ac:dyDescent="0.25">
      <c r="A496" s="26" t="str">
        <f>CONCATENATE(RIGHT(LEFT(RecebimentoConcreto[[#This Row],[Obra]],5),4),"RCBC",TEXT(RecebimentoConcreto[[#This Row],[Ordem]],"0000"))</f>
        <v>0184RCBC1055</v>
      </c>
      <c r="B496" s="1">
        <v>1055</v>
      </c>
      <c r="C496" s="1" t="s">
        <v>21</v>
      </c>
      <c r="D496" s="35">
        <v>45009</v>
      </c>
      <c r="E496" s="1" t="s">
        <v>1538</v>
      </c>
      <c r="F496" s="2" t="s">
        <v>1539</v>
      </c>
      <c r="G496" s="2">
        <v>58691</v>
      </c>
      <c r="H496" s="2" t="s">
        <v>1540</v>
      </c>
      <c r="I496" s="5" t="s">
        <v>1541</v>
      </c>
      <c r="J496" s="5">
        <v>0.68819444444444444</v>
      </c>
      <c r="K496" s="32">
        <f>_xlfn.MAXIFS(ConsumoConcreto[Fim do Bombeamento],ConsumoConcreto[RecebimentoID],RecebimentoConcreto[[#This Row],[RecebimentoID]])</f>
        <v>0.71736111111111101</v>
      </c>
      <c r="L496" s="1" t="s">
        <v>1128</v>
      </c>
      <c r="M496" s="37">
        <v>36892</v>
      </c>
      <c r="N496" s="5" t="s">
        <v>25</v>
      </c>
      <c r="O496" s="9">
        <v>14.5</v>
      </c>
      <c r="P496" s="5" t="s">
        <v>26</v>
      </c>
      <c r="Q496" s="2">
        <v>9</v>
      </c>
      <c r="R496" s="5" t="s">
        <v>27</v>
      </c>
      <c r="S496" s="5" t="s">
        <v>500</v>
      </c>
      <c r="T496" s="39">
        <v>520</v>
      </c>
    </row>
    <row r="497" spans="1:20" ht="20.100000000000001" hidden="1" customHeight="1" x14ac:dyDescent="0.25">
      <c r="A497" s="26" t="str">
        <f>CONCATENATE(RIGHT(LEFT(RecebimentoConcreto[[#This Row],[Obra]],5),4),"RCBC",TEXT(RecebimentoConcreto[[#This Row],[Ordem]],"0000"))</f>
        <v>0184RCBC1056</v>
      </c>
      <c r="B497" s="1">
        <v>1056</v>
      </c>
      <c r="C497" s="1" t="s">
        <v>21</v>
      </c>
      <c r="D497" s="35">
        <v>45012</v>
      </c>
      <c r="E497" s="1" t="s">
        <v>1542</v>
      </c>
      <c r="F497" s="2" t="s">
        <v>1543</v>
      </c>
      <c r="G497" s="2">
        <v>58691</v>
      </c>
      <c r="H497" s="2" t="s">
        <v>1544</v>
      </c>
      <c r="I497" s="5" t="s">
        <v>1545</v>
      </c>
      <c r="J497" s="5">
        <v>0.82708333333333339</v>
      </c>
      <c r="K497" s="32">
        <f>_xlfn.MAXIFS(ConsumoConcreto[Fim do Bombeamento],ConsumoConcreto[RecebimentoID],RecebimentoConcreto[[#This Row],[RecebimentoID]])</f>
        <v>0.86805555555555547</v>
      </c>
      <c r="L497" s="1" t="s">
        <v>703</v>
      </c>
      <c r="M497" s="37">
        <v>36892</v>
      </c>
      <c r="N497" s="5" t="s">
        <v>25</v>
      </c>
      <c r="O497" s="9">
        <v>14.5</v>
      </c>
      <c r="P497" s="5" t="s">
        <v>26</v>
      </c>
      <c r="Q497" s="2">
        <v>9</v>
      </c>
      <c r="R497" s="5" t="s">
        <v>27</v>
      </c>
      <c r="S497" s="5" t="s">
        <v>500</v>
      </c>
      <c r="T497" s="39">
        <v>520</v>
      </c>
    </row>
    <row r="498" spans="1:20" ht="20.100000000000001" hidden="1" customHeight="1" x14ac:dyDescent="0.25">
      <c r="A498" s="26" t="str">
        <f>CONCATENATE(RIGHT(LEFT(RecebimentoConcreto[[#This Row],[Obra]],5),4),"RCBC",TEXT(RecebimentoConcreto[[#This Row],[Ordem]],"0000"))</f>
        <v>0184RCBC1057</v>
      </c>
      <c r="B498" s="1">
        <v>1057</v>
      </c>
      <c r="C498" s="1" t="s">
        <v>21</v>
      </c>
      <c r="D498" s="35">
        <v>45012</v>
      </c>
      <c r="E498" s="1" t="s">
        <v>1538</v>
      </c>
      <c r="F498" s="2" t="s">
        <v>1546</v>
      </c>
      <c r="G498" s="2">
        <v>58691</v>
      </c>
      <c r="H498" s="2" t="s">
        <v>1547</v>
      </c>
      <c r="I498" s="5" t="s">
        <v>1548</v>
      </c>
      <c r="J498" s="5">
        <v>0.75069444444444444</v>
      </c>
      <c r="K498" s="32">
        <f>_xlfn.MAXIFS(ConsumoConcreto[Fim do Bombeamento],ConsumoConcreto[RecebimentoID],RecebimentoConcreto[[#This Row],[RecebimentoID]])</f>
        <v>0.77986111111111101</v>
      </c>
      <c r="L498" s="1" t="s">
        <v>1257</v>
      </c>
      <c r="M498" s="37">
        <v>36892</v>
      </c>
      <c r="N498" s="5" t="s">
        <v>25</v>
      </c>
      <c r="O498" s="9">
        <v>14.5</v>
      </c>
      <c r="P498" s="5" t="s">
        <v>26</v>
      </c>
      <c r="Q498" s="2">
        <v>9</v>
      </c>
      <c r="R498" s="5" t="s">
        <v>27</v>
      </c>
      <c r="S498" s="5" t="s">
        <v>500</v>
      </c>
      <c r="T498" s="39">
        <v>520</v>
      </c>
    </row>
    <row r="499" spans="1:20" ht="20.100000000000001" hidden="1" customHeight="1" x14ac:dyDescent="0.25">
      <c r="A499" s="26" t="str">
        <f>CONCATENATE(RIGHT(LEFT(RecebimentoConcreto[[#This Row],[Obra]],5),4),"RCBC",TEXT(RecebimentoConcreto[[#This Row],[Ordem]],"0000"))</f>
        <v>0184RCBC1058</v>
      </c>
      <c r="B499" s="1">
        <v>1058</v>
      </c>
      <c r="C499" s="1" t="s">
        <v>21</v>
      </c>
      <c r="D499" s="35">
        <v>45013</v>
      </c>
      <c r="E499" s="1" t="s">
        <v>1333</v>
      </c>
      <c r="F499" s="2" t="s">
        <v>1549</v>
      </c>
      <c r="G499" s="2">
        <v>58691</v>
      </c>
      <c r="H499" s="2" t="s">
        <v>1550</v>
      </c>
      <c r="I499" s="5" t="s">
        <v>1551</v>
      </c>
      <c r="J499" s="5">
        <v>0.70416666666666661</v>
      </c>
      <c r="K499" s="32">
        <f>_xlfn.MAXIFS(ConsumoConcreto[Fim do Bombeamento],ConsumoConcreto[RecebimentoID],RecebimentoConcreto[[#This Row],[RecebimentoID]])</f>
        <v>0.73888888888888893</v>
      </c>
      <c r="L499" s="1" t="s">
        <v>1552</v>
      </c>
      <c r="M499" s="37">
        <v>36892</v>
      </c>
      <c r="N499" s="5" t="s">
        <v>25</v>
      </c>
      <c r="O499" s="9">
        <v>15</v>
      </c>
      <c r="P499" s="5" t="s">
        <v>26</v>
      </c>
      <c r="Q499" s="2">
        <v>9</v>
      </c>
      <c r="R499" s="5" t="s">
        <v>27</v>
      </c>
      <c r="S499" s="5" t="s">
        <v>500</v>
      </c>
      <c r="T499" s="39">
        <v>520</v>
      </c>
    </row>
    <row r="500" spans="1:20" ht="20.100000000000001" hidden="1" customHeight="1" x14ac:dyDescent="0.25">
      <c r="A500" s="26" t="str">
        <f>CONCATENATE(RIGHT(LEFT(RecebimentoConcreto[[#This Row],[Obra]],5),4),"RCBC",TEXT(RecebimentoConcreto[[#This Row],[Ordem]],"0000"))</f>
        <v>0184RCBC1059</v>
      </c>
      <c r="B500" s="1">
        <v>1059</v>
      </c>
      <c r="C500" s="1" t="s">
        <v>21</v>
      </c>
      <c r="D500" s="35">
        <v>45013</v>
      </c>
      <c r="E500" s="1" t="s">
        <v>1553</v>
      </c>
      <c r="F500" s="2" t="s">
        <v>1554</v>
      </c>
      <c r="G500" s="2">
        <v>58691</v>
      </c>
      <c r="H500" s="2" t="s">
        <v>1555</v>
      </c>
      <c r="I500" s="5" t="s">
        <v>1556</v>
      </c>
      <c r="J500" s="5">
        <v>0.75555555555555554</v>
      </c>
      <c r="K500" s="32">
        <f>_xlfn.MAXIFS(ConsumoConcreto[Fim do Bombeamento],ConsumoConcreto[RecebimentoID],RecebimentoConcreto[[#This Row],[RecebimentoID]])</f>
        <v>0.8125</v>
      </c>
      <c r="L500" s="1" t="s">
        <v>662</v>
      </c>
      <c r="M500" s="37">
        <v>36892</v>
      </c>
      <c r="N500" s="5" t="s">
        <v>25</v>
      </c>
      <c r="O500" s="9">
        <v>14.5</v>
      </c>
      <c r="P500" s="5" t="s">
        <v>26</v>
      </c>
      <c r="Q500" s="2">
        <v>9</v>
      </c>
      <c r="R500" s="5" t="s">
        <v>27</v>
      </c>
      <c r="S500" s="5" t="s">
        <v>500</v>
      </c>
      <c r="T500" s="39">
        <v>520</v>
      </c>
    </row>
    <row r="501" spans="1:20" ht="20.100000000000001" hidden="1" customHeight="1" x14ac:dyDescent="0.25">
      <c r="A501" s="26" t="str">
        <f>CONCATENATE(RIGHT(LEFT(RecebimentoConcreto[[#This Row],[Obra]],5),4),"RCBC",TEXT(RecebimentoConcreto[[#This Row],[Ordem]],"0000"))</f>
        <v>0184RCBC1060</v>
      </c>
      <c r="B501" s="1">
        <v>1060</v>
      </c>
      <c r="C501" s="1" t="s">
        <v>21</v>
      </c>
      <c r="D501" s="35">
        <v>45014</v>
      </c>
      <c r="E501" s="1" t="s">
        <v>1557</v>
      </c>
      <c r="F501" s="2" t="s">
        <v>1558</v>
      </c>
      <c r="G501" s="2">
        <v>58691</v>
      </c>
      <c r="H501" s="2" t="s">
        <v>1559</v>
      </c>
      <c r="I501" s="5" t="s">
        <v>1560</v>
      </c>
      <c r="J501" s="5">
        <v>0.67083333333333339</v>
      </c>
      <c r="K501" s="32">
        <f>_xlfn.MAXIFS(ConsumoConcreto[Fim do Bombeamento],ConsumoConcreto[RecebimentoID],RecebimentoConcreto[[#This Row],[RecebimentoID]])</f>
        <v>0.70763888888888893</v>
      </c>
      <c r="L501" s="1" t="s">
        <v>681</v>
      </c>
      <c r="M501" s="37">
        <v>36892</v>
      </c>
      <c r="N501" s="5" t="s">
        <v>25</v>
      </c>
      <c r="O501" s="9">
        <v>14.5</v>
      </c>
      <c r="P501" s="5" t="s">
        <v>26</v>
      </c>
      <c r="Q501" s="2">
        <v>9</v>
      </c>
      <c r="R501" s="5" t="s">
        <v>27</v>
      </c>
      <c r="S501" s="5" t="s">
        <v>500</v>
      </c>
      <c r="T501" s="39">
        <v>520</v>
      </c>
    </row>
    <row r="502" spans="1:20" ht="20.100000000000001" hidden="1" customHeight="1" x14ac:dyDescent="0.25">
      <c r="A502" s="26" t="str">
        <f>CONCATENATE(RIGHT(LEFT(RecebimentoConcreto[[#This Row],[Obra]],5),4),"RCBC",TEXT(RecebimentoConcreto[[#This Row],[Ordem]],"0000"))</f>
        <v>0184RCBC1061</v>
      </c>
      <c r="B502" s="1">
        <v>1061</v>
      </c>
      <c r="C502" s="1" t="s">
        <v>21</v>
      </c>
      <c r="D502" s="35">
        <v>45014</v>
      </c>
      <c r="E502" s="1" t="s">
        <v>1561</v>
      </c>
      <c r="F502" s="2" t="s">
        <v>1562</v>
      </c>
      <c r="G502" s="2">
        <v>58691</v>
      </c>
      <c r="H502" s="2" t="s">
        <v>1563</v>
      </c>
      <c r="I502" s="5" t="s">
        <v>1564</v>
      </c>
      <c r="J502" s="5">
        <v>0.72222222222222221</v>
      </c>
      <c r="K502" s="32">
        <f>_xlfn.MAXIFS(ConsumoConcreto[Fim do Bombeamento],ConsumoConcreto[RecebimentoID],RecebimentoConcreto[[#This Row],[RecebimentoID]])</f>
        <v>0.74930555555555556</v>
      </c>
      <c r="L502" s="1" t="s">
        <v>1565</v>
      </c>
      <c r="M502" s="37">
        <v>36892</v>
      </c>
      <c r="N502" s="5" t="s">
        <v>25</v>
      </c>
      <c r="O502" s="9">
        <v>14.5</v>
      </c>
      <c r="P502" s="5" t="s">
        <v>26</v>
      </c>
      <c r="Q502" s="2">
        <v>9</v>
      </c>
      <c r="R502" s="5" t="s">
        <v>27</v>
      </c>
      <c r="S502" s="5" t="s">
        <v>500</v>
      </c>
      <c r="T502" s="39">
        <v>520</v>
      </c>
    </row>
    <row r="503" spans="1:20" ht="20.100000000000001" hidden="1" customHeight="1" x14ac:dyDescent="0.25">
      <c r="A503" s="26" t="str">
        <f>CONCATENATE(RIGHT(LEFT(RecebimentoConcreto[[#This Row],[Obra]],5),4),"RCBC",TEXT(RecebimentoConcreto[[#This Row],[Ordem]],"0000"))</f>
        <v>0184RCBC1062</v>
      </c>
      <c r="B503" s="1">
        <v>1062</v>
      </c>
      <c r="C503" s="1" t="s">
        <v>21</v>
      </c>
      <c r="D503" s="35">
        <v>45015</v>
      </c>
      <c r="E503" s="1" t="s">
        <v>713</v>
      </c>
      <c r="F503" s="2" t="s">
        <v>1566</v>
      </c>
      <c r="G503" s="2">
        <v>58691</v>
      </c>
      <c r="H503" s="2" t="s">
        <v>1567</v>
      </c>
      <c r="I503" s="5" t="s">
        <v>1568</v>
      </c>
      <c r="J503" s="5">
        <v>0.87569444444444444</v>
      </c>
      <c r="K503" s="32">
        <f>_xlfn.MAXIFS(ConsumoConcreto[Fim do Bombeamento],ConsumoConcreto[RecebimentoID],RecebimentoConcreto[[#This Row],[RecebimentoID]])</f>
        <v>0.91319444444444453</v>
      </c>
      <c r="L503" s="1" t="s">
        <v>1378</v>
      </c>
      <c r="M503" s="37">
        <v>36892</v>
      </c>
      <c r="N503" s="5" t="s">
        <v>25</v>
      </c>
      <c r="O503" s="9">
        <v>14.5</v>
      </c>
      <c r="P503" s="5" t="s">
        <v>26</v>
      </c>
      <c r="Q503" s="2">
        <v>9</v>
      </c>
      <c r="R503" s="5" t="s">
        <v>27</v>
      </c>
      <c r="S503" s="5" t="s">
        <v>500</v>
      </c>
      <c r="T503" s="39">
        <v>520</v>
      </c>
    </row>
    <row r="504" spans="1:20" ht="20.100000000000001" hidden="1" customHeight="1" x14ac:dyDescent="0.25">
      <c r="A504" s="26" t="str">
        <f>CONCATENATE(RIGHT(LEFT(RecebimentoConcreto[[#This Row],[Obra]],5),4),"RCBC",TEXT(RecebimentoConcreto[[#This Row],[Ordem]],"0000"))</f>
        <v>0184RCBC1063</v>
      </c>
      <c r="B504" s="1">
        <v>1063</v>
      </c>
      <c r="C504" s="1" t="s">
        <v>21</v>
      </c>
      <c r="D504" s="35">
        <v>45015</v>
      </c>
      <c r="E504" s="1" t="s">
        <v>1569</v>
      </c>
      <c r="F504" s="2" t="s">
        <v>1570</v>
      </c>
      <c r="G504" s="2">
        <v>58691</v>
      </c>
      <c r="H504" s="2" t="s">
        <v>1571</v>
      </c>
      <c r="I504" s="5" t="s">
        <v>1572</v>
      </c>
      <c r="J504" s="5">
        <v>0.92083333333333339</v>
      </c>
      <c r="K504" s="32">
        <f>_xlfn.MAXIFS(ConsumoConcreto[Fim do Bombeamento],ConsumoConcreto[RecebimentoID],RecebimentoConcreto[[#This Row],[RecebimentoID]])</f>
        <v>0.95000000000000007</v>
      </c>
      <c r="L504" s="1" t="s">
        <v>1573</v>
      </c>
      <c r="M504" s="37">
        <v>36892</v>
      </c>
      <c r="N504" s="5" t="s">
        <v>25</v>
      </c>
      <c r="O504" s="9">
        <v>14.5</v>
      </c>
      <c r="P504" s="5" t="s">
        <v>26</v>
      </c>
      <c r="Q504" s="2">
        <v>9</v>
      </c>
      <c r="R504" s="5" t="s">
        <v>27</v>
      </c>
      <c r="S504" s="5" t="s">
        <v>500</v>
      </c>
      <c r="T504" s="39">
        <v>520</v>
      </c>
    </row>
    <row r="505" spans="1:20" ht="20.100000000000001" hidden="1" customHeight="1" x14ac:dyDescent="0.25">
      <c r="A505" s="26" t="str">
        <f>CONCATENATE(RIGHT(LEFT(RecebimentoConcreto[[#This Row],[Obra]],5),4),"RCBC",TEXT(RecebimentoConcreto[[#This Row],[Ordem]],"0000"))</f>
        <v>0184RCBC1064</v>
      </c>
      <c r="B505" s="1">
        <v>1064</v>
      </c>
      <c r="C505" s="1" t="s">
        <v>21</v>
      </c>
      <c r="D505" s="35">
        <v>45016</v>
      </c>
      <c r="E505" s="1" t="s">
        <v>1574</v>
      </c>
      <c r="F505" s="2" t="s">
        <v>1575</v>
      </c>
      <c r="G505" s="2">
        <v>58691</v>
      </c>
      <c r="H505" s="2" t="s">
        <v>1576</v>
      </c>
      <c r="I505" s="5" t="s">
        <v>1577</v>
      </c>
      <c r="J505" s="5">
        <v>0.74722222222222223</v>
      </c>
      <c r="K505" s="32">
        <f>_xlfn.MAXIFS(ConsumoConcreto[Fim do Bombeamento],ConsumoConcreto[RecebimentoID],RecebimentoConcreto[[#This Row],[RecebimentoID]])</f>
        <v>0.78194444444444444</v>
      </c>
      <c r="L505" s="1" t="s">
        <v>1565</v>
      </c>
      <c r="M505" s="37">
        <v>36892</v>
      </c>
      <c r="N505" s="5" t="s">
        <v>25</v>
      </c>
      <c r="O505" s="9">
        <v>14.5</v>
      </c>
      <c r="P505" s="5" t="s">
        <v>26</v>
      </c>
      <c r="Q505" s="2">
        <v>9</v>
      </c>
      <c r="R505" s="5" t="s">
        <v>27</v>
      </c>
      <c r="S505" s="5" t="s">
        <v>500</v>
      </c>
      <c r="T505" s="39">
        <v>520</v>
      </c>
    </row>
    <row r="506" spans="1:20" ht="20.100000000000001" hidden="1" customHeight="1" x14ac:dyDescent="0.25">
      <c r="A506" s="26" t="str">
        <f>CONCATENATE(RIGHT(LEFT(RecebimentoConcreto[[#This Row],[Obra]],5),4),"RCBC",TEXT(RecebimentoConcreto[[#This Row],[Ordem]],"0000"))</f>
        <v>0184RCBC1065</v>
      </c>
      <c r="B506" s="1">
        <v>1065</v>
      </c>
      <c r="C506" s="1" t="s">
        <v>21</v>
      </c>
      <c r="D506" s="35">
        <v>45019</v>
      </c>
      <c r="E506" s="1" t="s">
        <v>1396</v>
      </c>
      <c r="F506" s="2" t="s">
        <v>1578</v>
      </c>
      <c r="G506" s="2">
        <v>5746</v>
      </c>
      <c r="H506" s="2" t="s">
        <v>1579</v>
      </c>
      <c r="I506" s="5" t="s">
        <v>1580</v>
      </c>
      <c r="J506" s="5">
        <v>0.65972222222222221</v>
      </c>
      <c r="K506" s="32">
        <f>_xlfn.MAXIFS(ConsumoConcreto[Fim do Bombeamento],ConsumoConcreto[RecebimentoID],RecebimentoConcreto[[#This Row],[RecebimentoID]])</f>
        <v>0.66666666666666663</v>
      </c>
      <c r="L506" s="1" t="s">
        <v>1395</v>
      </c>
      <c r="M506" s="37">
        <v>36892</v>
      </c>
      <c r="N506" s="5" t="s">
        <v>25</v>
      </c>
      <c r="O506" s="9">
        <v>14.5</v>
      </c>
      <c r="P506" s="5" t="s">
        <v>26</v>
      </c>
      <c r="Q506" s="2">
        <v>2</v>
      </c>
      <c r="R506" s="5" t="s">
        <v>27</v>
      </c>
      <c r="S506" s="5" t="s">
        <v>500</v>
      </c>
      <c r="T506" s="39">
        <v>520</v>
      </c>
    </row>
    <row r="507" spans="1:20" ht="20.100000000000001" hidden="1" customHeight="1" x14ac:dyDescent="0.25">
      <c r="A507" s="26" t="str">
        <f>CONCATENATE(RIGHT(LEFT(RecebimentoConcreto[[#This Row],[Obra]],5),4),"RCBC",TEXT(RecebimentoConcreto[[#This Row],[Ordem]],"0000"))</f>
        <v>0184RCBC1072</v>
      </c>
      <c r="B507" s="1">
        <v>1072</v>
      </c>
      <c r="C507" s="1" t="s">
        <v>21</v>
      </c>
      <c r="D507" s="35">
        <v>45020</v>
      </c>
      <c r="E507" s="1" t="s">
        <v>1581</v>
      </c>
      <c r="F507" s="2" t="s">
        <v>1582</v>
      </c>
      <c r="G507" s="2">
        <v>5746</v>
      </c>
      <c r="H507" s="2" t="s">
        <v>1583</v>
      </c>
      <c r="I507" s="5" t="s">
        <v>1584</v>
      </c>
      <c r="J507" s="5">
        <v>0.61041666666666672</v>
      </c>
      <c r="K507" s="32">
        <f>_xlfn.MAXIFS(ConsumoConcreto[Fim do Bombeamento],ConsumoConcreto[RecebimentoID],RecebimentoConcreto[[#This Row],[RecebimentoID]])</f>
        <v>0.62222222222222223</v>
      </c>
      <c r="L507" s="1" t="s">
        <v>542</v>
      </c>
      <c r="M507" s="37">
        <v>36892</v>
      </c>
      <c r="N507" s="5" t="s">
        <v>25</v>
      </c>
      <c r="O507" s="9">
        <v>14.5</v>
      </c>
      <c r="P507" s="5" t="s">
        <v>26</v>
      </c>
      <c r="Q507" s="2">
        <v>2</v>
      </c>
      <c r="R507" s="5" t="s">
        <v>27</v>
      </c>
      <c r="S507" s="5" t="s">
        <v>500</v>
      </c>
      <c r="T507" s="39">
        <v>520</v>
      </c>
    </row>
    <row r="508" spans="1:20" ht="20.100000000000001" hidden="1" customHeight="1" x14ac:dyDescent="0.25">
      <c r="A508" s="26" t="str">
        <f>CONCATENATE(RIGHT(LEFT(RecebimentoConcreto[[#This Row],[Obra]],5),4),"RCBC",TEXT(RecebimentoConcreto[[#This Row],[Ordem]],"0000"))</f>
        <v>0184RCBC1073</v>
      </c>
      <c r="B508" s="1">
        <v>1073</v>
      </c>
      <c r="C508" s="1" t="s">
        <v>21</v>
      </c>
      <c r="D508" s="35">
        <v>45020</v>
      </c>
      <c r="E508" s="1" t="s">
        <v>1585</v>
      </c>
      <c r="F508" s="2" t="s">
        <v>1586</v>
      </c>
      <c r="G508" s="2">
        <v>5746</v>
      </c>
      <c r="H508" s="2" t="s">
        <v>1587</v>
      </c>
      <c r="I508" s="5" t="s">
        <v>1588</v>
      </c>
      <c r="J508" s="5">
        <v>0.67013888888888884</v>
      </c>
      <c r="K508" s="32">
        <f>_xlfn.MAXIFS(ConsumoConcreto[Fim do Bombeamento],ConsumoConcreto[RecebimentoID],RecebimentoConcreto[[#This Row],[RecebimentoID]])</f>
        <v>0.70347222222222217</v>
      </c>
      <c r="L508" s="1" t="s">
        <v>681</v>
      </c>
      <c r="M508" s="37">
        <v>36892</v>
      </c>
      <c r="N508" s="5" t="s">
        <v>25</v>
      </c>
      <c r="O508" s="9">
        <v>14.5</v>
      </c>
      <c r="P508" s="5" t="s">
        <v>26</v>
      </c>
      <c r="Q508" s="2">
        <v>2</v>
      </c>
      <c r="R508" s="5" t="s">
        <v>27</v>
      </c>
      <c r="S508" s="5" t="s">
        <v>500</v>
      </c>
      <c r="T508" s="39">
        <v>520</v>
      </c>
    </row>
    <row r="509" spans="1:20" ht="20.100000000000001" hidden="1" customHeight="1" x14ac:dyDescent="0.25">
      <c r="A509" s="26" t="str">
        <f>CONCATENATE(RIGHT(LEFT(RecebimentoConcreto[[#This Row],[Obra]],5),4),"RCBC",TEXT(RecebimentoConcreto[[#This Row],[Ordem]],"0000"))</f>
        <v>0184RCBC1074</v>
      </c>
      <c r="B509" s="1">
        <v>1074</v>
      </c>
      <c r="C509" s="1" t="s">
        <v>21</v>
      </c>
      <c r="D509" s="35">
        <v>45021</v>
      </c>
      <c r="E509" s="1" t="s">
        <v>1589</v>
      </c>
      <c r="F509" s="2" t="s">
        <v>1590</v>
      </c>
      <c r="G509" s="2">
        <v>5746</v>
      </c>
      <c r="H509" s="2" t="s">
        <v>1591</v>
      </c>
      <c r="I509" s="5" t="s">
        <v>1592</v>
      </c>
      <c r="J509" s="5">
        <v>0.73125000000000007</v>
      </c>
      <c r="K509" s="32">
        <f>_xlfn.MAXIFS(ConsumoConcreto[Fim do Bombeamento],ConsumoConcreto[RecebimentoID],RecebimentoConcreto[[#This Row],[RecebimentoID]])</f>
        <v>0.75138888888888899</v>
      </c>
      <c r="L509" s="1" t="s">
        <v>1593</v>
      </c>
      <c r="M509" s="37">
        <v>36892</v>
      </c>
      <c r="N509" s="5" t="s">
        <v>25</v>
      </c>
      <c r="O509" s="9">
        <v>14.5</v>
      </c>
      <c r="P509" s="5" t="s">
        <v>26</v>
      </c>
      <c r="Q509" s="2">
        <v>2</v>
      </c>
      <c r="R509" s="5" t="s">
        <v>27</v>
      </c>
      <c r="S509" s="5" t="s">
        <v>500</v>
      </c>
      <c r="T509" s="39">
        <v>520</v>
      </c>
    </row>
    <row r="510" spans="1:20" ht="20.100000000000001" hidden="1" customHeight="1" x14ac:dyDescent="0.25">
      <c r="A510" s="26" t="str">
        <f>CONCATENATE(RIGHT(LEFT(RecebimentoConcreto[[#This Row],[Obra]],5),4),"RCBC",TEXT(RecebimentoConcreto[[#This Row],[Ordem]],"0000"))</f>
        <v>0184RCBC1075</v>
      </c>
      <c r="B510" s="1">
        <v>1075</v>
      </c>
      <c r="C510" s="1" t="s">
        <v>21</v>
      </c>
      <c r="D510" s="35">
        <v>45021</v>
      </c>
      <c r="E510" s="1" t="s">
        <v>1594</v>
      </c>
      <c r="F510" s="2" t="s">
        <v>1595</v>
      </c>
      <c r="G510" s="2">
        <v>5746</v>
      </c>
      <c r="H510" s="2" t="s">
        <v>1596</v>
      </c>
      <c r="I510" s="5" t="s">
        <v>1597</v>
      </c>
      <c r="J510" s="5">
        <v>0.76597222222222217</v>
      </c>
      <c r="K510" s="32">
        <f>_xlfn.MAXIFS(ConsumoConcreto[Fim do Bombeamento],ConsumoConcreto[RecebimentoID],RecebimentoConcreto[[#This Row],[RecebimentoID]])</f>
        <v>0.80763888888888891</v>
      </c>
      <c r="L510" s="1" t="s">
        <v>1598</v>
      </c>
      <c r="M510" s="37">
        <v>36892</v>
      </c>
      <c r="N510" s="5" t="s">
        <v>25</v>
      </c>
      <c r="O510" s="9">
        <v>14.5</v>
      </c>
      <c r="P510" s="5" t="s">
        <v>26</v>
      </c>
      <c r="Q510" s="2">
        <v>2</v>
      </c>
      <c r="R510" s="5" t="s">
        <v>27</v>
      </c>
      <c r="S510" s="5" t="s">
        <v>500</v>
      </c>
      <c r="T510" s="39">
        <v>520</v>
      </c>
    </row>
    <row r="511" spans="1:20" ht="20.100000000000001" hidden="1" customHeight="1" x14ac:dyDescent="0.25">
      <c r="A511" s="26" t="str">
        <f>CONCATENATE(RIGHT(LEFT(RecebimentoConcreto[[#This Row],[Obra]],5),4),"RCBC",TEXT(RecebimentoConcreto[[#This Row],[Ordem]],"0000"))</f>
        <v>0184RCBC1076</v>
      </c>
      <c r="B511" s="1">
        <v>1076</v>
      </c>
      <c r="C511" s="1" t="s">
        <v>21</v>
      </c>
      <c r="D511" s="35">
        <v>45026</v>
      </c>
      <c r="E511" s="1" t="s">
        <v>1599</v>
      </c>
      <c r="F511" s="2" t="s">
        <v>1600</v>
      </c>
      <c r="G511" s="2">
        <v>5746</v>
      </c>
      <c r="H511" s="2" t="s">
        <v>1601</v>
      </c>
      <c r="I511" s="5" t="s">
        <v>1602</v>
      </c>
      <c r="J511" s="5">
        <v>0.7284722222222223</v>
      </c>
      <c r="K511" s="32">
        <f>_xlfn.MAXIFS(ConsumoConcreto[Fim do Bombeamento],ConsumoConcreto[RecebimentoID],RecebimentoConcreto[[#This Row],[RecebimentoID]])</f>
        <v>0.73541666666666661</v>
      </c>
      <c r="L511" s="1" t="s">
        <v>542</v>
      </c>
      <c r="M511" s="37">
        <v>36892</v>
      </c>
      <c r="N511" s="5" t="s">
        <v>25</v>
      </c>
      <c r="O511" s="9">
        <v>14.5</v>
      </c>
      <c r="P511" s="5" t="s">
        <v>26</v>
      </c>
      <c r="Q511" s="2">
        <v>2</v>
      </c>
      <c r="R511" s="5" t="s">
        <v>27</v>
      </c>
      <c r="S511" s="5" t="s">
        <v>500</v>
      </c>
      <c r="T511" s="39">
        <v>520</v>
      </c>
    </row>
    <row r="512" spans="1:20" ht="20.100000000000001" hidden="1" customHeight="1" x14ac:dyDescent="0.25">
      <c r="A512" s="26" t="str">
        <f>CONCATENATE(RIGHT(LEFT(RecebimentoConcreto[[#This Row],[Obra]],5),4),"RCBC",TEXT(RecebimentoConcreto[[#This Row],[Ordem]],"0000"))</f>
        <v>0184RCBC1077</v>
      </c>
      <c r="B512" s="1">
        <v>1077</v>
      </c>
      <c r="C512" s="1" t="s">
        <v>21</v>
      </c>
      <c r="D512" s="35">
        <v>45026</v>
      </c>
      <c r="E512" s="1" t="s">
        <v>1396</v>
      </c>
      <c r="F512" s="2" t="s">
        <v>1603</v>
      </c>
      <c r="G512" s="2">
        <v>5746</v>
      </c>
      <c r="H512" s="2" t="s">
        <v>1604</v>
      </c>
      <c r="I512" s="5" t="s">
        <v>1605</v>
      </c>
      <c r="J512" s="5">
        <v>0.68402777777777779</v>
      </c>
      <c r="K512" s="32">
        <f>_xlfn.MAXIFS(ConsumoConcreto[Fim do Bombeamento],ConsumoConcreto[RecebimentoID],RecebimentoConcreto[[#This Row],[RecebimentoID]])</f>
        <v>0.71597222222222223</v>
      </c>
      <c r="L512" s="1" t="s">
        <v>1115</v>
      </c>
      <c r="M512" s="37">
        <v>36892</v>
      </c>
      <c r="N512" s="5" t="s">
        <v>25</v>
      </c>
      <c r="O512" s="9">
        <v>14.5</v>
      </c>
      <c r="P512" s="5" t="s">
        <v>26</v>
      </c>
      <c r="Q512" s="2">
        <v>2</v>
      </c>
      <c r="R512" s="5" t="s">
        <v>27</v>
      </c>
      <c r="S512" s="5" t="s">
        <v>500</v>
      </c>
      <c r="T512" s="39">
        <v>520</v>
      </c>
    </row>
    <row r="513" spans="1:20" ht="20.100000000000001" hidden="1" customHeight="1" x14ac:dyDescent="0.25">
      <c r="A513" s="26" t="str">
        <f>CONCATENATE(RIGHT(LEFT(RecebimentoConcreto[[#This Row],[Obra]],5),4),"RCBC",TEXT(RecebimentoConcreto[[#This Row],[Ordem]],"0000"))</f>
        <v>0184RCBC1078</v>
      </c>
      <c r="B513" s="1">
        <v>1078</v>
      </c>
      <c r="C513" s="1" t="s">
        <v>21</v>
      </c>
      <c r="D513" s="35">
        <v>45028</v>
      </c>
      <c r="E513" s="1" t="s">
        <v>1606</v>
      </c>
      <c r="F513" s="2" t="s">
        <v>1607</v>
      </c>
      <c r="G513" s="2">
        <v>5746</v>
      </c>
      <c r="H513" s="2" t="s">
        <v>1608</v>
      </c>
      <c r="I513" s="5" t="s">
        <v>1609</v>
      </c>
      <c r="J513" s="5">
        <v>0.85069444444444453</v>
      </c>
      <c r="K513" s="32">
        <f>_xlfn.MAXIFS(ConsumoConcreto[Fim do Bombeamento],ConsumoConcreto[RecebimentoID],RecebimentoConcreto[[#This Row],[RecebimentoID]])</f>
        <v>0.8930555555555556</v>
      </c>
      <c r="L513" s="1" t="s">
        <v>1610</v>
      </c>
      <c r="M513" s="37">
        <v>36892</v>
      </c>
      <c r="N513" s="5" t="s">
        <v>25</v>
      </c>
      <c r="O513" s="9">
        <v>14.5</v>
      </c>
      <c r="P513" s="5" t="s">
        <v>26</v>
      </c>
      <c r="Q513" s="2">
        <v>2</v>
      </c>
      <c r="R513" s="5" t="s">
        <v>27</v>
      </c>
      <c r="S513" s="5" t="s">
        <v>500</v>
      </c>
      <c r="T513" s="39">
        <v>520</v>
      </c>
    </row>
    <row r="514" spans="1:20" ht="20.100000000000001" hidden="1" customHeight="1" x14ac:dyDescent="0.25">
      <c r="A514" s="26" t="str">
        <f>CONCATENATE(RIGHT(LEFT(RecebimentoConcreto[[#This Row],[Obra]],5),4),"RCBC",TEXT(RecebimentoConcreto[[#This Row],[Ordem]],"0000"))</f>
        <v>0184RCBC1079</v>
      </c>
      <c r="B514" s="1">
        <v>1079</v>
      </c>
      <c r="C514" s="1" t="s">
        <v>21</v>
      </c>
      <c r="D514" s="35">
        <v>45028</v>
      </c>
      <c r="E514" s="1" t="s">
        <v>1611</v>
      </c>
      <c r="F514" s="2" t="s">
        <v>1612</v>
      </c>
      <c r="G514" s="2">
        <v>5746</v>
      </c>
      <c r="H514" s="2" t="s">
        <v>1613</v>
      </c>
      <c r="I514" s="5" t="s">
        <v>1614</v>
      </c>
      <c r="J514" s="5">
        <v>0.82361111111111107</v>
      </c>
      <c r="K514" s="32">
        <f>_xlfn.MAXIFS(ConsumoConcreto[Fim do Bombeamento],ConsumoConcreto[RecebimentoID],RecebimentoConcreto[[#This Row],[RecebimentoID]])</f>
        <v>0.84513888888888899</v>
      </c>
      <c r="L514" s="1" t="s">
        <v>708</v>
      </c>
      <c r="M514" s="37">
        <v>36892</v>
      </c>
      <c r="N514" s="5" t="s">
        <v>25</v>
      </c>
      <c r="O514" s="9">
        <v>14.5</v>
      </c>
      <c r="P514" s="5" t="s">
        <v>26</v>
      </c>
      <c r="Q514" s="2">
        <v>2</v>
      </c>
      <c r="R514" s="5" t="s">
        <v>27</v>
      </c>
      <c r="S514" s="5" t="s">
        <v>500</v>
      </c>
      <c r="T514" s="39">
        <v>520</v>
      </c>
    </row>
    <row r="515" spans="1:20" ht="20.100000000000001" hidden="1" customHeight="1" x14ac:dyDescent="0.25">
      <c r="A515" s="26" t="str">
        <f>CONCATENATE(RIGHT(LEFT(RecebimentoConcreto[[#This Row],[Obra]],5),4),"RCBC",TEXT(RecebimentoConcreto[[#This Row],[Ordem]],"0000"))</f>
        <v>0184RCBC1080</v>
      </c>
      <c r="B515" s="1">
        <v>1080</v>
      </c>
      <c r="C515" s="1" t="s">
        <v>21</v>
      </c>
      <c r="D515" s="35">
        <v>45029</v>
      </c>
      <c r="E515" s="1" t="s">
        <v>1329</v>
      </c>
      <c r="F515" s="2" t="s">
        <v>1615</v>
      </c>
      <c r="G515" s="2">
        <v>5746</v>
      </c>
      <c r="H515" s="2" t="s">
        <v>1616</v>
      </c>
      <c r="I515" s="5" t="s">
        <v>1617</v>
      </c>
      <c r="J515" s="5">
        <v>0.80138888888888893</v>
      </c>
      <c r="K515" s="32">
        <f>_xlfn.MAXIFS(ConsumoConcreto[Fim do Bombeamento],ConsumoConcreto[RecebimentoID],RecebimentoConcreto[[#This Row],[RecebimentoID]])</f>
        <v>0.83750000000000002</v>
      </c>
      <c r="L515" s="1" t="s">
        <v>1115</v>
      </c>
      <c r="M515" s="37">
        <v>36892</v>
      </c>
      <c r="N515" s="5" t="s">
        <v>25</v>
      </c>
      <c r="O515" s="9">
        <v>14.5</v>
      </c>
      <c r="P515" s="5" t="s">
        <v>26</v>
      </c>
      <c r="Q515" s="2">
        <v>2</v>
      </c>
      <c r="R515" s="5" t="s">
        <v>27</v>
      </c>
      <c r="S515" s="5" t="s">
        <v>500</v>
      </c>
      <c r="T515" s="39">
        <v>520</v>
      </c>
    </row>
    <row r="516" spans="1:20" ht="20.100000000000001" hidden="1" customHeight="1" x14ac:dyDescent="0.25">
      <c r="A516" s="26" t="str">
        <f>CONCATENATE(RIGHT(LEFT(RecebimentoConcreto[[#This Row],[Obra]],5),4),"RCBC",TEXT(RecebimentoConcreto[[#This Row],[Ordem]],"0000"))</f>
        <v>0184RCBC1081</v>
      </c>
      <c r="B516" s="1">
        <v>1081</v>
      </c>
      <c r="C516" s="1" t="s">
        <v>21</v>
      </c>
      <c r="D516" s="35">
        <v>45029</v>
      </c>
      <c r="E516" s="1" t="s">
        <v>1618</v>
      </c>
      <c r="F516" s="2" t="s">
        <v>1619</v>
      </c>
      <c r="G516" s="2">
        <v>5746</v>
      </c>
      <c r="H516" s="2" t="s">
        <v>1620</v>
      </c>
      <c r="I516" s="5" t="s">
        <v>1621</v>
      </c>
      <c r="J516" s="5">
        <v>0.74861111111111101</v>
      </c>
      <c r="K516" s="32">
        <f>_xlfn.MAXIFS(ConsumoConcreto[Fim do Bombeamento],ConsumoConcreto[RecebimentoID],RecebimentoConcreto[[#This Row],[RecebimentoID]])</f>
        <v>0.78333333333333333</v>
      </c>
      <c r="L516" s="1" t="s">
        <v>1115</v>
      </c>
      <c r="M516" s="37">
        <v>36892</v>
      </c>
      <c r="N516" s="5" t="s">
        <v>25</v>
      </c>
      <c r="O516" s="9">
        <v>14.5</v>
      </c>
      <c r="P516" s="5" t="s">
        <v>26</v>
      </c>
      <c r="Q516" s="2">
        <v>2</v>
      </c>
      <c r="R516" s="5" t="s">
        <v>27</v>
      </c>
      <c r="S516" s="5" t="s">
        <v>500</v>
      </c>
      <c r="T516" s="39">
        <v>520</v>
      </c>
    </row>
    <row r="517" spans="1:20" ht="20.100000000000001" hidden="1" customHeight="1" x14ac:dyDescent="0.25">
      <c r="A517" s="26" t="str">
        <f>CONCATENATE(RIGHT(LEFT(RecebimentoConcreto[[#This Row],[Obra]],5),4),"RCBC",TEXT(RecebimentoConcreto[[#This Row],[Ordem]],"0000"))</f>
        <v>0184RCBC1082</v>
      </c>
      <c r="B517" s="1">
        <v>1082</v>
      </c>
      <c r="C517" s="1" t="s">
        <v>21</v>
      </c>
      <c r="D517" s="35">
        <v>45030</v>
      </c>
      <c r="E517" s="1" t="s">
        <v>1622</v>
      </c>
      <c r="F517" s="2" t="s">
        <v>1623</v>
      </c>
      <c r="G517" s="2">
        <v>5746</v>
      </c>
      <c r="H517" s="2" t="s">
        <v>1624</v>
      </c>
      <c r="I517" s="5" t="s">
        <v>1625</v>
      </c>
      <c r="J517" s="5">
        <v>0.91111111111111109</v>
      </c>
      <c r="K517" s="32">
        <f>_xlfn.MAXIFS(ConsumoConcreto[Fim do Bombeamento],ConsumoConcreto[RecebimentoID],RecebimentoConcreto[[#This Row],[RecebimentoID]])</f>
        <v>0.51874999999999993</v>
      </c>
      <c r="L517" s="1" t="s">
        <v>1162</v>
      </c>
      <c r="M517" s="37">
        <v>36892</v>
      </c>
      <c r="N517" s="5" t="s">
        <v>25</v>
      </c>
      <c r="O517" s="9">
        <v>15</v>
      </c>
      <c r="P517" s="5" t="s">
        <v>26</v>
      </c>
      <c r="Q517" s="2">
        <v>2</v>
      </c>
      <c r="R517" s="5" t="s">
        <v>27</v>
      </c>
      <c r="S517" s="5" t="s">
        <v>500</v>
      </c>
      <c r="T517" s="39">
        <v>520</v>
      </c>
    </row>
    <row r="518" spans="1:20" ht="20.100000000000001" hidden="1" customHeight="1" x14ac:dyDescent="0.25">
      <c r="A518" s="26" t="str">
        <f>CONCATENATE(RIGHT(LEFT(RecebimentoConcreto[[#This Row],[Obra]],5),4),"RCBC",TEXT(RecebimentoConcreto[[#This Row],[Ordem]],"0000"))</f>
        <v>0184RCBC1083</v>
      </c>
      <c r="B518" s="1">
        <v>1083</v>
      </c>
      <c r="C518" s="1" t="s">
        <v>21</v>
      </c>
      <c r="D518" s="35">
        <v>45030</v>
      </c>
      <c r="E518" s="1" t="s">
        <v>1626</v>
      </c>
      <c r="F518" s="2" t="s">
        <v>1627</v>
      </c>
      <c r="G518" s="2">
        <v>5746</v>
      </c>
      <c r="H518" s="2" t="s">
        <v>1628</v>
      </c>
      <c r="I518" s="5" t="s">
        <v>1629</v>
      </c>
      <c r="J518" s="5">
        <v>0.84930555555555554</v>
      </c>
      <c r="K518" s="32">
        <f>_xlfn.MAXIFS(ConsumoConcreto[Fim do Bombeamento],ConsumoConcreto[RecebimentoID],RecebimentoConcreto[[#This Row],[RecebimentoID]])</f>
        <v>0.87986111111111109</v>
      </c>
      <c r="L518" s="1" t="s">
        <v>1630</v>
      </c>
      <c r="M518" s="37">
        <v>36892</v>
      </c>
      <c r="N518" s="5" t="s">
        <v>25</v>
      </c>
      <c r="O518" s="9">
        <v>14.5</v>
      </c>
      <c r="P518" s="5" t="s">
        <v>26</v>
      </c>
      <c r="Q518" s="2">
        <v>2</v>
      </c>
      <c r="R518" s="5" t="s">
        <v>27</v>
      </c>
      <c r="S518" s="5" t="s">
        <v>500</v>
      </c>
      <c r="T518" s="39">
        <v>520</v>
      </c>
    </row>
    <row r="519" spans="1:20" ht="20.100000000000001" hidden="1" customHeight="1" x14ac:dyDescent="0.25">
      <c r="A519" s="26" t="str">
        <f>CONCATENATE(RIGHT(LEFT(RecebimentoConcreto[[#This Row],[Obra]],5),4),"RCBC",TEXT(RecebimentoConcreto[[#This Row],[Ordem]],"0000"))</f>
        <v>0184RCBC1084</v>
      </c>
      <c r="B519" s="1">
        <v>1084</v>
      </c>
      <c r="C519" s="1" t="s">
        <v>21</v>
      </c>
      <c r="D519" s="35">
        <v>45033</v>
      </c>
      <c r="E519" s="1" t="s">
        <v>1631</v>
      </c>
      <c r="F519" s="2" t="s">
        <v>1632</v>
      </c>
      <c r="G519" s="2">
        <v>5746</v>
      </c>
      <c r="H519" s="2" t="s">
        <v>1633</v>
      </c>
      <c r="I519" s="5" t="s">
        <v>1634</v>
      </c>
      <c r="J519" s="5">
        <v>0.68958333333333333</v>
      </c>
      <c r="K519" s="32">
        <f>_xlfn.MAXIFS(ConsumoConcreto[Fim do Bombeamento],ConsumoConcreto[RecebimentoID],RecebimentoConcreto[[#This Row],[RecebimentoID]])</f>
        <v>0.73472222222222217</v>
      </c>
      <c r="L519" s="1" t="s">
        <v>1635</v>
      </c>
      <c r="M519" s="37">
        <v>36892</v>
      </c>
      <c r="N519" s="5" t="s">
        <v>25</v>
      </c>
      <c r="O519" s="9">
        <v>14.5</v>
      </c>
      <c r="P519" s="5" t="s">
        <v>26</v>
      </c>
      <c r="Q519" s="2">
        <v>2</v>
      </c>
      <c r="R519" s="5" t="s">
        <v>27</v>
      </c>
      <c r="S519" s="5" t="s">
        <v>500</v>
      </c>
      <c r="T519" s="39">
        <v>520</v>
      </c>
    </row>
    <row r="520" spans="1:20" ht="20.100000000000001" hidden="1" customHeight="1" x14ac:dyDescent="0.25">
      <c r="A520" s="26" t="str">
        <f>CONCATENATE(RIGHT(LEFT(RecebimentoConcreto[[#This Row],[Obra]],5),4),"RCBC",TEXT(RecebimentoConcreto[[#This Row],[Ordem]],"0000"))</f>
        <v>0184RCBC1085</v>
      </c>
      <c r="B520" s="1">
        <v>1085</v>
      </c>
      <c r="C520" s="1" t="s">
        <v>21</v>
      </c>
      <c r="D520" s="35">
        <v>45033</v>
      </c>
      <c r="E520" s="1" t="s">
        <v>1636</v>
      </c>
      <c r="F520" s="2" t="s">
        <v>1637</v>
      </c>
      <c r="G520" s="2">
        <v>5746</v>
      </c>
      <c r="H520" s="2" t="s">
        <v>1638</v>
      </c>
      <c r="I520" s="5" t="s">
        <v>1639</v>
      </c>
      <c r="J520" s="5">
        <v>0.73888888888888893</v>
      </c>
      <c r="K520" s="32">
        <f>_xlfn.MAXIFS(ConsumoConcreto[Fim do Bombeamento],ConsumoConcreto[RecebimentoID],RecebimentoConcreto[[#This Row],[RecebimentoID]])</f>
        <v>0.76736111111111116</v>
      </c>
      <c r="L520" s="1" t="s">
        <v>1115</v>
      </c>
      <c r="M520" s="37">
        <v>36892</v>
      </c>
      <c r="N520" s="5" t="s">
        <v>25</v>
      </c>
      <c r="O520" s="9">
        <v>14.5</v>
      </c>
      <c r="P520" s="5" t="s">
        <v>26</v>
      </c>
      <c r="Q520" s="2">
        <v>2</v>
      </c>
      <c r="R520" s="5" t="s">
        <v>27</v>
      </c>
      <c r="S520" s="5" t="s">
        <v>500</v>
      </c>
      <c r="T520" s="39">
        <v>520</v>
      </c>
    </row>
    <row r="521" spans="1:20" ht="20.100000000000001" hidden="1" customHeight="1" x14ac:dyDescent="0.25">
      <c r="A521" s="26" t="str">
        <f>CONCATENATE(RIGHT(LEFT(RecebimentoConcreto[[#This Row],[Obra]],5),4),"RCBC",TEXT(RecebimentoConcreto[[#This Row],[Ordem]],"0000"))</f>
        <v>0184RCBC1086</v>
      </c>
      <c r="B521" s="1">
        <v>1086</v>
      </c>
      <c r="C521" s="1" t="s">
        <v>21</v>
      </c>
      <c r="D521" s="35">
        <v>45034</v>
      </c>
      <c r="E521" s="1" t="s">
        <v>1428</v>
      </c>
      <c r="F521" s="2" t="s">
        <v>1640</v>
      </c>
      <c r="G521" s="2">
        <v>5746</v>
      </c>
      <c r="H521" s="2" t="s">
        <v>1641</v>
      </c>
      <c r="I521" s="5" t="s">
        <v>1642</v>
      </c>
      <c r="J521" s="5">
        <v>0.71319444444444446</v>
      </c>
      <c r="K521" s="32">
        <f>_xlfn.MAXIFS(ConsumoConcreto[Fim do Bombeamento],ConsumoConcreto[RecebimentoID],RecebimentoConcreto[[#This Row],[RecebimentoID]])</f>
        <v>0.7402777777777777</v>
      </c>
      <c r="L521" s="1" t="s">
        <v>726</v>
      </c>
      <c r="M521" s="37">
        <v>36892</v>
      </c>
      <c r="N521" s="5" t="s">
        <v>25</v>
      </c>
      <c r="O521" s="9">
        <v>14.5</v>
      </c>
      <c r="P521" s="5" t="s">
        <v>26</v>
      </c>
      <c r="Q521" s="2">
        <v>2</v>
      </c>
      <c r="R521" s="5" t="s">
        <v>27</v>
      </c>
      <c r="S521" s="5" t="s">
        <v>500</v>
      </c>
      <c r="T521" s="39">
        <v>520</v>
      </c>
    </row>
    <row r="522" spans="1:20" ht="20.100000000000001" hidden="1" customHeight="1" x14ac:dyDescent="0.25">
      <c r="A522" s="26" t="str">
        <f>CONCATENATE(RIGHT(LEFT(RecebimentoConcreto[[#This Row],[Obra]],5),4),"RCBC",TEXT(RecebimentoConcreto[[#This Row],[Ordem]],"0000"))</f>
        <v>0184RCBC1087</v>
      </c>
      <c r="B522" s="1">
        <v>1087</v>
      </c>
      <c r="C522" s="1" t="s">
        <v>21</v>
      </c>
      <c r="D522" s="35">
        <v>45034</v>
      </c>
      <c r="E522" s="1" t="s">
        <v>1643</v>
      </c>
      <c r="F522" s="2" t="s">
        <v>1644</v>
      </c>
      <c r="G522" s="2">
        <v>5746</v>
      </c>
      <c r="H522" s="2" t="s">
        <v>1645</v>
      </c>
      <c r="I522" s="5" t="s">
        <v>1646</v>
      </c>
      <c r="J522" s="5">
        <v>0.67499999999999993</v>
      </c>
      <c r="K522" s="32">
        <f>_xlfn.MAXIFS(ConsumoConcreto[Fim do Bombeamento],ConsumoConcreto[RecebimentoID],RecebimentoConcreto[[#This Row],[RecebimentoID]])</f>
        <v>0.7006944444444444</v>
      </c>
      <c r="L522" s="1" t="s">
        <v>752</v>
      </c>
      <c r="M522" s="37">
        <v>36892</v>
      </c>
      <c r="N522" s="5" t="s">
        <v>25</v>
      </c>
      <c r="O522" s="9">
        <v>14.5</v>
      </c>
      <c r="P522" s="5" t="s">
        <v>26</v>
      </c>
      <c r="Q522" s="2">
        <v>2</v>
      </c>
      <c r="R522" s="5" t="s">
        <v>27</v>
      </c>
      <c r="S522" s="5" t="s">
        <v>500</v>
      </c>
      <c r="T522" s="39">
        <v>520</v>
      </c>
    </row>
    <row r="523" spans="1:20" ht="20.100000000000001" hidden="1" customHeight="1" x14ac:dyDescent="0.25">
      <c r="A523" s="26" t="str">
        <f>CONCATENATE(RIGHT(LEFT(RecebimentoConcreto[[#This Row],[Obra]],5),4),"RCBC",TEXT(RecebimentoConcreto[[#This Row],[Ordem]],"0000"))</f>
        <v>0184RCBC1088</v>
      </c>
      <c r="B523" s="1">
        <v>1088</v>
      </c>
      <c r="C523" s="1" t="s">
        <v>21</v>
      </c>
      <c r="D523" s="35">
        <v>45038</v>
      </c>
      <c r="E523" s="1" t="s">
        <v>380</v>
      </c>
      <c r="F523" s="2" t="s">
        <v>1647</v>
      </c>
      <c r="G523" s="2">
        <v>5408</v>
      </c>
      <c r="H523" s="2" t="s">
        <v>1648</v>
      </c>
      <c r="I523" s="5" t="s">
        <v>1649</v>
      </c>
      <c r="J523" s="5">
        <v>0.41111111111111115</v>
      </c>
      <c r="K523" s="32">
        <f>_xlfn.MAXIFS(ConsumoConcreto[Fim do Bombeamento],ConsumoConcreto[RecebimentoID],RecebimentoConcreto[[#This Row],[RecebimentoID]])</f>
        <v>0.4465277777777778</v>
      </c>
      <c r="L523" s="1" t="s">
        <v>1452</v>
      </c>
      <c r="M523" s="37">
        <v>36892</v>
      </c>
      <c r="N523" s="5" t="s">
        <v>25</v>
      </c>
      <c r="O523" s="9">
        <v>14.5</v>
      </c>
      <c r="P523" s="5" t="s">
        <v>26</v>
      </c>
      <c r="Q523" s="2">
        <v>9</v>
      </c>
      <c r="R523" s="5" t="s">
        <v>27</v>
      </c>
      <c r="S523" s="5" t="s">
        <v>32</v>
      </c>
      <c r="T523" s="39">
        <v>470</v>
      </c>
    </row>
    <row r="524" spans="1:20" ht="20.100000000000001" hidden="1" customHeight="1" x14ac:dyDescent="0.25">
      <c r="A524" s="26" t="str">
        <f>CONCATENATE(RIGHT(LEFT(RecebimentoConcreto[[#This Row],[Obra]],5),4),"RCBC",TEXT(RecebimentoConcreto[[#This Row],[Ordem]],"0000"))</f>
        <v>0184RCBC1089</v>
      </c>
      <c r="B524" s="1">
        <v>1089</v>
      </c>
      <c r="C524" s="1" t="s">
        <v>21</v>
      </c>
      <c r="D524" s="35">
        <v>45038</v>
      </c>
      <c r="E524" s="1" t="s">
        <v>290</v>
      </c>
      <c r="F524" s="2" t="s">
        <v>1650</v>
      </c>
      <c r="G524" s="2">
        <v>5408</v>
      </c>
      <c r="H524" s="2" t="s">
        <v>1651</v>
      </c>
      <c r="I524" s="5" t="s">
        <v>1652</v>
      </c>
      <c r="J524" s="5">
        <v>0.4513888888888889</v>
      </c>
      <c r="K524" s="32">
        <f>_xlfn.MAXIFS(ConsumoConcreto[Fim do Bombeamento],ConsumoConcreto[RecebimentoID],RecebimentoConcreto[[#This Row],[RecebimentoID]])</f>
        <v>0.48680555555555555</v>
      </c>
      <c r="L524" s="1" t="s">
        <v>1501</v>
      </c>
      <c r="M524" s="37">
        <v>36892</v>
      </c>
      <c r="N524" s="5" t="s">
        <v>25</v>
      </c>
      <c r="O524" s="9">
        <v>14.5</v>
      </c>
      <c r="P524" s="5" t="s">
        <v>26</v>
      </c>
      <c r="Q524" s="2">
        <v>9</v>
      </c>
      <c r="R524" s="5" t="s">
        <v>27</v>
      </c>
      <c r="S524" s="5" t="s">
        <v>32</v>
      </c>
      <c r="T524" s="39">
        <v>470</v>
      </c>
    </row>
    <row r="525" spans="1:20" ht="20.100000000000001" hidden="1" customHeight="1" x14ac:dyDescent="0.25">
      <c r="A525" s="26" t="str">
        <f>CONCATENATE(RIGHT(LEFT(RecebimentoConcreto[[#This Row],[Obra]],5),4),"RCBC",TEXT(RecebimentoConcreto[[#This Row],[Ordem]],"0000"))</f>
        <v>0184RCBC1090</v>
      </c>
      <c r="B525" s="1">
        <v>1090</v>
      </c>
      <c r="C525" s="1" t="s">
        <v>21</v>
      </c>
      <c r="D525" s="35">
        <v>45041</v>
      </c>
      <c r="E525" s="1" t="s">
        <v>1653</v>
      </c>
      <c r="F525" s="2" t="s">
        <v>1654</v>
      </c>
      <c r="G525" s="2">
        <v>5746</v>
      </c>
      <c r="H525" s="2" t="s">
        <v>1655</v>
      </c>
      <c r="I525" s="5" t="s">
        <v>1656</v>
      </c>
      <c r="J525" s="5">
        <v>0.65277777777777779</v>
      </c>
      <c r="K525" s="32">
        <f>_xlfn.MAXIFS(ConsumoConcreto[Fim do Bombeamento],ConsumoConcreto[RecebimentoID],RecebimentoConcreto[[#This Row],[RecebimentoID]])</f>
        <v>0.70208333333333339</v>
      </c>
      <c r="L525" s="1" t="s">
        <v>1115</v>
      </c>
      <c r="M525" s="37">
        <v>36892</v>
      </c>
      <c r="N525" s="5" t="s">
        <v>25</v>
      </c>
      <c r="O525" s="9">
        <v>14.5</v>
      </c>
      <c r="P525" s="5" t="s">
        <v>26</v>
      </c>
      <c r="Q525" s="2">
        <v>2</v>
      </c>
      <c r="R525" s="5" t="s">
        <v>27</v>
      </c>
      <c r="S525" s="5" t="s">
        <v>500</v>
      </c>
      <c r="T525" s="39">
        <v>520</v>
      </c>
    </row>
    <row r="526" spans="1:20" ht="20.100000000000001" hidden="1" customHeight="1" x14ac:dyDescent="0.25">
      <c r="A526" s="26" t="str">
        <f>CONCATENATE(RIGHT(LEFT(RecebimentoConcreto[[#This Row],[Obra]],5),4),"RCBC",TEXT(RecebimentoConcreto[[#This Row],[Ordem]],"0000"))</f>
        <v>0184RCBC1091</v>
      </c>
      <c r="B526" s="1">
        <v>1091</v>
      </c>
      <c r="C526" s="1" t="s">
        <v>21</v>
      </c>
      <c r="D526" s="35">
        <v>45041</v>
      </c>
      <c r="E526" s="1" t="s">
        <v>1657</v>
      </c>
      <c r="F526" s="2" t="s">
        <v>1658</v>
      </c>
      <c r="G526" s="2">
        <v>5746</v>
      </c>
      <c r="H526" s="2" t="s">
        <v>1659</v>
      </c>
      <c r="I526" s="5" t="s">
        <v>1660</v>
      </c>
      <c r="J526" s="5">
        <v>0.59375</v>
      </c>
      <c r="K526" s="32">
        <f>_xlfn.MAXIFS(ConsumoConcreto[Fim do Bombeamento],ConsumoConcreto[RecebimentoID],RecebimentoConcreto[[#This Row],[RecebimentoID]])</f>
        <v>0.6430555555555556</v>
      </c>
      <c r="L526" s="1" t="s">
        <v>1115</v>
      </c>
      <c r="M526" s="37">
        <v>36892</v>
      </c>
      <c r="N526" s="5" t="s">
        <v>25</v>
      </c>
      <c r="O526" s="9">
        <v>15</v>
      </c>
      <c r="P526" s="5" t="s">
        <v>26</v>
      </c>
      <c r="Q526" s="2">
        <v>2</v>
      </c>
      <c r="R526" s="5" t="s">
        <v>27</v>
      </c>
      <c r="S526" s="5" t="s">
        <v>500</v>
      </c>
      <c r="T526" s="39">
        <v>520</v>
      </c>
    </row>
    <row r="527" spans="1:20" ht="20.100000000000001" hidden="1" customHeight="1" x14ac:dyDescent="0.25">
      <c r="A527" s="26" t="str">
        <f>CONCATENATE(RIGHT(LEFT(RecebimentoConcreto[[#This Row],[Obra]],5),4),"RCBC",TEXT(RecebimentoConcreto[[#This Row],[Ordem]],"0000"))</f>
        <v>0184RCBC1092</v>
      </c>
      <c r="B527" s="1">
        <v>1092</v>
      </c>
      <c r="C527" s="1" t="s">
        <v>21</v>
      </c>
      <c r="D527" s="35">
        <v>45043</v>
      </c>
      <c r="E527" s="1" t="s">
        <v>1661</v>
      </c>
      <c r="F527" s="2" t="s">
        <v>1662</v>
      </c>
      <c r="G527" s="2">
        <v>5746</v>
      </c>
      <c r="H527" s="2" t="s">
        <v>1663</v>
      </c>
      <c r="I527" s="5" t="s">
        <v>1664</v>
      </c>
      <c r="J527" s="5">
        <v>0.54722222222222217</v>
      </c>
      <c r="K527" s="32">
        <f>_xlfn.MAXIFS(ConsumoConcreto[Fim do Bombeamento],ConsumoConcreto[RecebimentoID],RecebimentoConcreto[[#This Row],[RecebimentoID]])</f>
        <v>0.59722222222222221</v>
      </c>
      <c r="L527" s="1" t="s">
        <v>1277</v>
      </c>
      <c r="M527" s="37">
        <v>36892</v>
      </c>
      <c r="N527" s="5" t="s">
        <v>25</v>
      </c>
      <c r="O527" s="9">
        <v>15</v>
      </c>
      <c r="P527" s="5" t="s">
        <v>26</v>
      </c>
      <c r="Q527" s="2">
        <v>2</v>
      </c>
      <c r="R527" s="5" t="s">
        <v>27</v>
      </c>
      <c r="S527" s="5" t="s">
        <v>500</v>
      </c>
      <c r="T527" s="39">
        <v>520</v>
      </c>
    </row>
    <row r="528" spans="1:20" ht="20.100000000000001" hidden="1" customHeight="1" x14ac:dyDescent="0.25">
      <c r="A528" s="26" t="str">
        <f>CONCATENATE(RIGHT(LEFT(RecebimentoConcreto[[#This Row],[Obra]],5),4),"RCBC",TEXT(RecebimentoConcreto[[#This Row],[Ordem]],"0000"))</f>
        <v>0184RCBC1093</v>
      </c>
      <c r="B528" s="1">
        <v>1093</v>
      </c>
      <c r="C528" s="1" t="s">
        <v>21</v>
      </c>
      <c r="D528" s="35">
        <v>45043</v>
      </c>
      <c r="E528" s="1" t="s">
        <v>1665</v>
      </c>
      <c r="F528" s="2" t="s">
        <v>1666</v>
      </c>
      <c r="G528" s="2">
        <v>5746</v>
      </c>
      <c r="H528" s="2" t="s">
        <v>1667</v>
      </c>
      <c r="I528" s="5" t="s">
        <v>1668</v>
      </c>
      <c r="J528" s="5">
        <v>0.60972222222222217</v>
      </c>
      <c r="K528" s="32">
        <f>_xlfn.MAXIFS(ConsumoConcreto[Fim do Bombeamento],ConsumoConcreto[RecebimentoID],RecebimentoConcreto[[#This Row],[RecebimentoID]])</f>
        <v>0.65</v>
      </c>
      <c r="L528" s="1" t="s">
        <v>1669</v>
      </c>
      <c r="M528" s="37">
        <v>36892</v>
      </c>
      <c r="N528" s="5" t="s">
        <v>25</v>
      </c>
      <c r="O528" s="9">
        <v>14.5</v>
      </c>
      <c r="P528" s="5" t="s">
        <v>26</v>
      </c>
      <c r="Q528" s="2">
        <v>2</v>
      </c>
      <c r="R528" s="5" t="s">
        <v>27</v>
      </c>
      <c r="S528" s="5" t="s">
        <v>500</v>
      </c>
      <c r="T528" s="39">
        <v>520</v>
      </c>
    </row>
    <row r="529" spans="1:20" ht="20.100000000000001" hidden="1" customHeight="1" x14ac:dyDescent="0.25">
      <c r="A529" s="26" t="str">
        <f>CONCATENATE(RIGHT(LEFT(RecebimentoConcreto[[#This Row],[Obra]],5),4),"RCBC",TEXT(RecebimentoConcreto[[#This Row],[Ordem]],"0000"))</f>
        <v>0184RCBC1095</v>
      </c>
      <c r="B529" s="1">
        <v>1095</v>
      </c>
      <c r="C529" s="1" t="s">
        <v>21</v>
      </c>
      <c r="D529" s="35">
        <v>45044</v>
      </c>
      <c r="E529" s="1" t="s">
        <v>1396</v>
      </c>
      <c r="F529" s="2" t="s">
        <v>1670</v>
      </c>
      <c r="G529" s="2">
        <v>5746</v>
      </c>
      <c r="H529" s="2" t="s">
        <v>1671</v>
      </c>
      <c r="I529" s="5" t="s">
        <v>1672</v>
      </c>
      <c r="J529" s="5">
        <v>0.76041666666666663</v>
      </c>
      <c r="K529" s="32">
        <f>_xlfn.MAXIFS(ConsumoConcreto[Fim do Bombeamento],ConsumoConcreto[RecebimentoID],RecebimentoConcreto[[#This Row],[RecebimentoID]])</f>
        <v>0.80208333333333337</v>
      </c>
      <c r="L529" s="1" t="s">
        <v>1115</v>
      </c>
      <c r="M529" s="37">
        <v>36892</v>
      </c>
      <c r="N529" s="5" t="s">
        <v>25</v>
      </c>
      <c r="O529" s="9">
        <v>14.5</v>
      </c>
      <c r="P529" s="5" t="s">
        <v>26</v>
      </c>
      <c r="Q529" s="2">
        <v>2</v>
      </c>
      <c r="R529" s="5" t="s">
        <v>27</v>
      </c>
      <c r="S529" s="5" t="s">
        <v>500</v>
      </c>
      <c r="T529" s="39">
        <v>520</v>
      </c>
    </row>
    <row r="530" spans="1:20" ht="20.100000000000001" hidden="1" customHeight="1" x14ac:dyDescent="0.25">
      <c r="A530" s="26" t="str">
        <f>CONCATENATE(RIGHT(LEFT(RecebimentoConcreto[[#This Row],[Obra]],5),4),"RCBC",TEXT(RecebimentoConcreto[[#This Row],[Ordem]],"0000"))</f>
        <v>0184RCBC1096</v>
      </c>
      <c r="B530" s="1">
        <v>1096</v>
      </c>
      <c r="C530" s="1" t="s">
        <v>21</v>
      </c>
      <c r="D530" s="35">
        <v>45044</v>
      </c>
      <c r="E530" s="1" t="s">
        <v>1673</v>
      </c>
      <c r="F530" s="2" t="s">
        <v>1674</v>
      </c>
      <c r="G530" s="2">
        <v>5746</v>
      </c>
      <c r="H530" s="2" t="s">
        <v>1675</v>
      </c>
      <c r="I530" s="5" t="s">
        <v>1676</v>
      </c>
      <c r="J530" s="5">
        <v>0.83611111111111114</v>
      </c>
      <c r="K530" s="32">
        <f>_xlfn.MAXIFS(ConsumoConcreto[Fim do Bombeamento],ConsumoConcreto[RecebimentoID],RecebimentoConcreto[[#This Row],[RecebimentoID]])</f>
        <v>0.99930555555555556</v>
      </c>
      <c r="L530" s="1" t="s">
        <v>1084</v>
      </c>
      <c r="M530" s="37">
        <v>36892</v>
      </c>
      <c r="N530" s="5" t="s">
        <v>25</v>
      </c>
      <c r="O530" s="9">
        <v>17</v>
      </c>
      <c r="P530" s="5" t="s">
        <v>26</v>
      </c>
      <c r="Q530" s="2">
        <v>2</v>
      </c>
      <c r="R530" s="5" t="s">
        <v>27</v>
      </c>
      <c r="S530" s="5" t="s">
        <v>500</v>
      </c>
      <c r="T530" s="39">
        <v>520</v>
      </c>
    </row>
    <row r="531" spans="1:20" ht="20.100000000000001" hidden="1" customHeight="1" x14ac:dyDescent="0.25">
      <c r="A531" s="26" t="str">
        <f>CONCATENATE(RIGHT(LEFT(RecebimentoConcreto[[#This Row],[Obra]],5),4),"RCBC",TEXT(RecebimentoConcreto[[#This Row],[Ordem]],"0000"))</f>
        <v>0184RCBC1097</v>
      </c>
      <c r="B531" s="1">
        <v>1097</v>
      </c>
      <c r="C531" s="1" t="s">
        <v>21</v>
      </c>
      <c r="D531" s="35">
        <v>45048</v>
      </c>
      <c r="E531" s="1" t="s">
        <v>1677</v>
      </c>
      <c r="F531" s="2" t="s">
        <v>1678</v>
      </c>
      <c r="G531" s="2">
        <v>5746</v>
      </c>
      <c r="H531" s="2" t="s">
        <v>1679</v>
      </c>
      <c r="I531" s="5" t="s">
        <v>1532</v>
      </c>
      <c r="J531" s="5">
        <v>0.75</v>
      </c>
      <c r="K531" s="32">
        <f>_xlfn.MAXIFS(ConsumoConcreto[Fim do Bombeamento],ConsumoConcreto[RecebimentoID],RecebimentoConcreto[[#This Row],[RecebimentoID]])</f>
        <v>0.7909722222222223</v>
      </c>
      <c r="L531" s="1" t="s">
        <v>508</v>
      </c>
      <c r="M531" s="37">
        <v>36892</v>
      </c>
      <c r="N531" s="5" t="s">
        <v>25</v>
      </c>
      <c r="O531" s="9">
        <v>15</v>
      </c>
      <c r="P531" s="5" t="s">
        <v>26</v>
      </c>
      <c r="Q531" s="2"/>
      <c r="R531" s="5" t="s">
        <v>27</v>
      </c>
      <c r="S531" s="5" t="s">
        <v>500</v>
      </c>
      <c r="T531" s="39">
        <v>520</v>
      </c>
    </row>
    <row r="532" spans="1:20" ht="20.100000000000001" hidden="1" customHeight="1" x14ac:dyDescent="0.25">
      <c r="A532" s="26" t="str">
        <f>CONCATENATE(RIGHT(LEFT(RecebimentoConcreto[[#This Row],[Obra]],5),4),"RCBC",TEXT(RecebimentoConcreto[[#This Row],[Ordem]],"0000"))</f>
        <v>0184RCBC1098</v>
      </c>
      <c r="B532" s="1">
        <v>1098</v>
      </c>
      <c r="C532" s="1" t="s">
        <v>21</v>
      </c>
      <c r="D532" s="35">
        <v>45048</v>
      </c>
      <c r="E532" s="1" t="s">
        <v>1680</v>
      </c>
      <c r="F532" s="2" t="s">
        <v>1681</v>
      </c>
      <c r="G532" s="2">
        <v>5746</v>
      </c>
      <c r="H532" s="2" t="s">
        <v>1682</v>
      </c>
      <c r="I532" s="5" t="s">
        <v>1683</v>
      </c>
      <c r="J532" s="5">
        <v>0.83333333333333337</v>
      </c>
      <c r="K532" s="32">
        <f>_xlfn.MAXIFS(ConsumoConcreto[Fim do Bombeamento],ConsumoConcreto[RecebimentoID],RecebimentoConcreto[[#This Row],[RecebimentoID]])</f>
        <v>0.87361111111111101</v>
      </c>
      <c r="L532" s="1" t="s">
        <v>1136</v>
      </c>
      <c r="M532" s="37">
        <v>36892</v>
      </c>
      <c r="N532" s="5" t="s">
        <v>25</v>
      </c>
      <c r="O532" s="9">
        <v>14.5</v>
      </c>
      <c r="P532" s="5" t="s">
        <v>26</v>
      </c>
      <c r="Q532" s="2"/>
      <c r="R532" s="5" t="s">
        <v>27</v>
      </c>
      <c r="S532" s="5" t="s">
        <v>500</v>
      </c>
      <c r="T532" s="39">
        <v>520</v>
      </c>
    </row>
    <row r="533" spans="1:20" ht="20.100000000000001" hidden="1" customHeight="1" x14ac:dyDescent="0.25">
      <c r="A533" s="26" t="str">
        <f>CONCATENATE(RIGHT(LEFT(RecebimentoConcreto[[#This Row],[Obra]],5),4),"RCBC",TEXT(RecebimentoConcreto[[#This Row],[Ordem]],"0000"))</f>
        <v>0184RCBC1099</v>
      </c>
      <c r="B533" s="1">
        <v>1099</v>
      </c>
      <c r="C533" s="1" t="s">
        <v>21</v>
      </c>
      <c r="D533" s="35">
        <v>45049</v>
      </c>
      <c r="E533" s="1" t="s">
        <v>1631</v>
      </c>
      <c r="F533" s="2" t="s">
        <v>1684</v>
      </c>
      <c r="G533" s="2">
        <v>5746</v>
      </c>
      <c r="H533" s="2" t="s">
        <v>1685</v>
      </c>
      <c r="I533" s="5" t="s">
        <v>1686</v>
      </c>
      <c r="J533" s="5">
        <v>0.70138888888888884</v>
      </c>
      <c r="K533" s="32">
        <f>_xlfn.MAXIFS(ConsumoConcreto[Fim do Bombeamento],ConsumoConcreto[RecebimentoID],RecebimentoConcreto[[#This Row],[RecebimentoID]])</f>
        <v>0.75555555555555554</v>
      </c>
      <c r="L533" s="1" t="s">
        <v>1115</v>
      </c>
      <c r="M533" s="37">
        <v>36892</v>
      </c>
      <c r="N533" s="5" t="s">
        <v>25</v>
      </c>
      <c r="O533" s="9">
        <v>14.5</v>
      </c>
      <c r="P533" s="5" t="s">
        <v>26</v>
      </c>
      <c r="Q533" s="2"/>
      <c r="R533" s="5" t="s">
        <v>27</v>
      </c>
      <c r="S533" s="5" t="s">
        <v>500</v>
      </c>
      <c r="T533" s="39">
        <v>520</v>
      </c>
    </row>
    <row r="534" spans="1:20" ht="20.100000000000001" hidden="1" customHeight="1" x14ac:dyDescent="0.25">
      <c r="A534" s="26" t="str">
        <f>CONCATENATE(RIGHT(LEFT(RecebimentoConcreto[[#This Row],[Obra]],5),4),"RCBC",TEXT(RecebimentoConcreto[[#This Row],[Ordem]],"0000"))</f>
        <v>0184RCBC1100</v>
      </c>
      <c r="B534" s="1">
        <v>1100</v>
      </c>
      <c r="C534" s="1" t="s">
        <v>21</v>
      </c>
      <c r="D534" s="35">
        <v>45084</v>
      </c>
      <c r="E534" s="1" t="s">
        <v>1687</v>
      </c>
      <c r="F534" s="2" t="s">
        <v>1688</v>
      </c>
      <c r="G534" s="2">
        <v>5408</v>
      </c>
      <c r="H534" s="2" t="s">
        <v>1689</v>
      </c>
      <c r="I534" s="5" t="s">
        <v>1690</v>
      </c>
      <c r="J534" s="5">
        <v>0.72569444444444453</v>
      </c>
      <c r="K534" s="32">
        <f>_xlfn.MAXIFS(ConsumoConcreto[Fim do Bombeamento],ConsumoConcreto[RecebimentoID],RecebimentoConcreto[[#This Row],[RecebimentoID]])</f>
        <v>0.75694444444444453</v>
      </c>
      <c r="L534" s="1" t="s">
        <v>1691</v>
      </c>
      <c r="M534" s="37">
        <v>36892</v>
      </c>
      <c r="N534" s="5" t="s">
        <v>25</v>
      </c>
      <c r="O534" s="9">
        <v>18.5</v>
      </c>
      <c r="P534" s="5" t="s">
        <v>26</v>
      </c>
      <c r="Q534" s="2"/>
      <c r="R534" s="5" t="s">
        <v>27</v>
      </c>
      <c r="S534" s="5" t="s">
        <v>32</v>
      </c>
      <c r="T534" s="39">
        <v>480</v>
      </c>
    </row>
    <row r="535" spans="1:20" ht="20.100000000000001" hidden="1" customHeight="1" x14ac:dyDescent="0.25">
      <c r="A535" s="26" t="str">
        <f>CONCATENATE(RIGHT(LEFT(RecebimentoConcreto[[#This Row],[Obra]],5),4),"RCBC",TEXT(RecebimentoConcreto[[#This Row],[Ordem]],"0000"))</f>
        <v>0184RCBC1101</v>
      </c>
      <c r="B535" s="1">
        <v>1101</v>
      </c>
      <c r="C535" s="1" t="s">
        <v>21</v>
      </c>
      <c r="D535" s="35">
        <v>45085</v>
      </c>
      <c r="E535" s="1" t="s">
        <v>1512</v>
      </c>
      <c r="F535" s="2" t="s">
        <v>1692</v>
      </c>
      <c r="G535" s="2">
        <v>5408</v>
      </c>
      <c r="H535" s="2" t="s">
        <v>1693</v>
      </c>
      <c r="I535" s="5" t="s">
        <v>1694</v>
      </c>
      <c r="J535" s="5">
        <v>0.6069444444444444</v>
      </c>
      <c r="K535" s="32">
        <f>_xlfn.MAXIFS(ConsumoConcreto[Fim do Bombeamento],ConsumoConcreto[RecebimentoID],RecebimentoConcreto[[#This Row],[RecebimentoID]])</f>
        <v>0.64444444444444449</v>
      </c>
      <c r="L535" s="1" t="s">
        <v>1516</v>
      </c>
      <c r="M535" s="37">
        <v>36892</v>
      </c>
      <c r="N535" s="5" t="s">
        <v>25</v>
      </c>
      <c r="O535" s="9">
        <v>18.5</v>
      </c>
      <c r="P535" s="5" t="s">
        <v>26</v>
      </c>
      <c r="Q535" s="2"/>
      <c r="R535" s="5" t="s">
        <v>27</v>
      </c>
      <c r="S535" s="5" t="s">
        <v>32</v>
      </c>
      <c r="T535" s="39">
        <v>480</v>
      </c>
    </row>
    <row r="536" spans="1:20" ht="20.100000000000001" hidden="1" customHeight="1" x14ac:dyDescent="0.25">
      <c r="A536" s="26" t="str">
        <f>CONCATENATE(RIGHT(LEFT(RecebimentoConcreto[[#This Row],[Obra]],5),4),"RCBC",TEXT(RecebimentoConcreto[[#This Row],[Ordem]],"0000"))</f>
        <v>0184RCBC1102</v>
      </c>
      <c r="B536" s="1">
        <v>1102</v>
      </c>
      <c r="C536" s="1" t="s">
        <v>21</v>
      </c>
      <c r="D536" s="35">
        <v>45087</v>
      </c>
      <c r="E536" s="1" t="s">
        <v>1695</v>
      </c>
      <c r="F536" s="2" t="s">
        <v>1696</v>
      </c>
      <c r="G536" s="2">
        <v>5408</v>
      </c>
      <c r="H536" s="2" t="s">
        <v>1697</v>
      </c>
      <c r="I536" s="5" t="s">
        <v>1698</v>
      </c>
      <c r="J536" s="5">
        <v>0.39583333333333331</v>
      </c>
      <c r="K536" s="32">
        <f>_xlfn.MAXIFS(ConsumoConcreto[Fim do Bombeamento],ConsumoConcreto[RecebimentoID],RecebimentoConcreto[[#This Row],[RecebimentoID]])</f>
        <v>0.45069444444444445</v>
      </c>
      <c r="M536" s="37">
        <v>36892</v>
      </c>
      <c r="N536" s="5" t="s">
        <v>25</v>
      </c>
      <c r="O536" s="9">
        <v>18.5</v>
      </c>
      <c r="P536" s="5" t="s">
        <v>26</v>
      </c>
      <c r="Q536" s="2"/>
      <c r="R536" s="5" t="s">
        <v>27</v>
      </c>
      <c r="S536" s="5" t="s">
        <v>32</v>
      </c>
      <c r="T536" s="39">
        <v>480</v>
      </c>
    </row>
    <row r="537" spans="1:20" ht="20.100000000000001" hidden="1" customHeight="1" x14ac:dyDescent="0.25">
      <c r="A537" s="26" t="str">
        <f>CONCATENATE(RIGHT(LEFT(RecebimentoConcreto[[#This Row],[Obra]],5),4),"RCBC",TEXT(RecebimentoConcreto[[#This Row],[Ordem]],"0000"))</f>
        <v>0184RCBC1103</v>
      </c>
      <c r="B537" s="1">
        <v>1103</v>
      </c>
      <c r="C537" s="1" t="s">
        <v>21</v>
      </c>
      <c r="D537" s="35">
        <v>45089</v>
      </c>
      <c r="E537" s="1" t="s">
        <v>1699</v>
      </c>
      <c r="F537" s="2" t="s">
        <v>1700</v>
      </c>
      <c r="G537" s="2">
        <v>5408</v>
      </c>
      <c r="H537" s="2" t="s">
        <v>1701</v>
      </c>
      <c r="I537" s="5" t="s">
        <v>1702</v>
      </c>
      <c r="J537" s="5">
        <v>0.7090277777777777</v>
      </c>
      <c r="K537" s="32">
        <f>_xlfn.MAXIFS(ConsumoConcreto[Fim do Bombeamento],ConsumoConcreto[RecebimentoID],RecebimentoConcreto[[#This Row],[RecebimentoID]])</f>
        <v>0.80902777777777779</v>
      </c>
      <c r="L537" s="1" t="s">
        <v>1703</v>
      </c>
      <c r="M537" s="37">
        <v>36892</v>
      </c>
      <c r="N537" s="5" t="s">
        <v>25</v>
      </c>
      <c r="O537" s="9">
        <v>18.5</v>
      </c>
      <c r="P537" s="5" t="s">
        <v>26</v>
      </c>
      <c r="Q537" s="2"/>
      <c r="R537" s="5" t="s">
        <v>27</v>
      </c>
      <c r="S537" s="5" t="s">
        <v>32</v>
      </c>
      <c r="T537" s="39">
        <v>480</v>
      </c>
    </row>
    <row r="538" spans="1:20" ht="20.100000000000001" hidden="1" customHeight="1" x14ac:dyDescent="0.25">
      <c r="A538" s="26" t="str">
        <f>CONCATENATE(RIGHT(LEFT(RecebimentoConcreto[[#This Row],[Obra]],5),4),"RCBC",TEXT(RecebimentoConcreto[[#This Row],[Ordem]],"0000"))</f>
        <v>0184RCBC1104</v>
      </c>
      <c r="B538" s="1">
        <v>1104</v>
      </c>
      <c r="C538" s="1" t="s">
        <v>21</v>
      </c>
      <c r="D538" s="35">
        <v>45090</v>
      </c>
      <c r="E538" s="1" t="s">
        <v>1704</v>
      </c>
      <c r="F538" s="2" t="s">
        <v>1705</v>
      </c>
      <c r="G538" s="2">
        <v>5408</v>
      </c>
      <c r="H538" s="2" t="s">
        <v>1706</v>
      </c>
      <c r="I538" s="5" t="s">
        <v>1707</v>
      </c>
      <c r="J538" s="5">
        <v>0.67499999999999993</v>
      </c>
      <c r="K538" s="32">
        <f>_xlfn.MAXIFS(ConsumoConcreto[Fim do Bombeamento],ConsumoConcreto[RecebimentoID],RecebimentoConcreto[[#This Row],[RecebimentoID]])</f>
        <v>0.73472222222222217</v>
      </c>
      <c r="L538" s="1" t="s">
        <v>1477</v>
      </c>
      <c r="M538" s="37">
        <v>36892</v>
      </c>
      <c r="N538" s="5" t="s">
        <v>25</v>
      </c>
      <c r="O538" s="9">
        <v>18.5</v>
      </c>
      <c r="P538" s="5" t="s">
        <v>26</v>
      </c>
      <c r="Q538" s="2"/>
      <c r="R538" s="5" t="s">
        <v>27</v>
      </c>
      <c r="S538" s="5" t="s">
        <v>32</v>
      </c>
      <c r="T538" s="39">
        <v>480</v>
      </c>
    </row>
    <row r="539" spans="1:20" ht="20.100000000000001" hidden="1" customHeight="1" x14ac:dyDescent="0.25">
      <c r="A539" s="26" t="str">
        <f>CONCATENATE(RIGHT(LEFT(RecebimentoConcreto[[#This Row],[Obra]],5),4),"RCBC",TEXT(RecebimentoConcreto[[#This Row],[Ordem]],"0000"))</f>
        <v>0184RCBC0380</v>
      </c>
      <c r="B539" s="1">
        <v>380</v>
      </c>
      <c r="C539" s="1" t="s">
        <v>21</v>
      </c>
      <c r="D539" s="35">
        <v>44825</v>
      </c>
      <c r="E539" s="1" t="s">
        <v>1708</v>
      </c>
      <c r="F539" s="2">
        <v>10740</v>
      </c>
      <c r="G539" s="2">
        <v>5408</v>
      </c>
      <c r="H539" s="2">
        <v>16870</v>
      </c>
      <c r="I539" s="5">
        <v>0.4375</v>
      </c>
      <c r="J539" s="5">
        <v>0.4777777777777778</v>
      </c>
      <c r="K539" s="32">
        <f>_xlfn.MAXIFS(ConsumoConcreto[Fim do Bombeamento],ConsumoConcreto[RecebimentoID],RecebimentoConcreto[[#This Row],[RecebimentoID]])</f>
        <v>0.4861111111111111</v>
      </c>
      <c r="L539" s="1">
        <v>70</v>
      </c>
      <c r="M539" s="37">
        <v>36892</v>
      </c>
      <c r="N539" s="5" t="s">
        <v>25</v>
      </c>
      <c r="O539" s="9">
        <v>14</v>
      </c>
      <c r="P539" s="5" t="s">
        <v>26</v>
      </c>
      <c r="Q539" s="2">
        <v>5</v>
      </c>
      <c r="R539" s="5" t="s">
        <v>27</v>
      </c>
      <c r="S539" s="5" t="s">
        <v>32</v>
      </c>
      <c r="T539" s="39">
        <v>450</v>
      </c>
    </row>
    <row r="540" spans="1:20" ht="20.100000000000001" hidden="1" customHeight="1" x14ac:dyDescent="0.25">
      <c r="A540" s="26" t="str">
        <f>CONCATENATE(RIGHT(LEFT(RecebimentoConcreto[[#This Row],[Obra]],5),4),"RCBC",TEXT(RecebimentoConcreto[[#This Row],[Ordem]],"0000"))</f>
        <v>0184RCBC0381</v>
      </c>
      <c r="B540" s="1">
        <v>381</v>
      </c>
      <c r="C540" s="1" t="s">
        <v>21</v>
      </c>
      <c r="D540" s="35">
        <v>44827</v>
      </c>
      <c r="E540" s="1" t="s">
        <v>1709</v>
      </c>
      <c r="F540" s="2" t="s">
        <v>1710</v>
      </c>
      <c r="G540" s="2">
        <v>5408</v>
      </c>
      <c r="H540" s="2" t="s">
        <v>1711</v>
      </c>
      <c r="I540" s="5" t="s">
        <v>1712</v>
      </c>
      <c r="J540" s="5">
        <v>0.33749999999999997</v>
      </c>
      <c r="K540" s="32">
        <f>_xlfn.MAXIFS(ConsumoConcreto[Fim do Bombeamento],ConsumoConcreto[RecebimentoID],RecebimentoConcreto[[#This Row],[RecebimentoID]])</f>
        <v>0.38263888888888892</v>
      </c>
      <c r="L540" s="1" t="s">
        <v>1713</v>
      </c>
      <c r="M540" s="37">
        <v>36892</v>
      </c>
      <c r="N540" s="5" t="s">
        <v>25</v>
      </c>
      <c r="O540" s="9">
        <v>18</v>
      </c>
      <c r="P540" s="5" t="s">
        <v>26</v>
      </c>
      <c r="Q540" s="2">
        <v>5</v>
      </c>
      <c r="R540" s="5" t="s">
        <v>27</v>
      </c>
      <c r="S540" s="5" t="s">
        <v>32</v>
      </c>
      <c r="T540" s="39">
        <v>450</v>
      </c>
    </row>
    <row r="541" spans="1:20" ht="20.100000000000001" hidden="1" customHeight="1" x14ac:dyDescent="0.25">
      <c r="A541" s="26" t="str">
        <f>CONCATENATE(RIGHT(LEFT(RecebimentoConcreto[[#This Row],[Obra]],5),4),"RCBC",TEXT(RecebimentoConcreto[[#This Row],[Ordem]],"0000"))</f>
        <v>0184RCBC0382</v>
      </c>
      <c r="B541" s="1">
        <v>382</v>
      </c>
      <c r="C541" s="1" t="s">
        <v>21</v>
      </c>
      <c r="D541" s="35">
        <v>44827</v>
      </c>
      <c r="E541" s="1" t="s">
        <v>975</v>
      </c>
      <c r="F541" s="2" t="s">
        <v>1714</v>
      </c>
      <c r="G541" s="2">
        <v>5408</v>
      </c>
      <c r="H541" s="2" t="s">
        <v>1715</v>
      </c>
      <c r="I541" s="5" t="s">
        <v>1716</v>
      </c>
      <c r="J541" s="5">
        <v>0.29652777777777778</v>
      </c>
      <c r="K541" s="32">
        <f>_xlfn.MAXIFS(ConsumoConcreto[Fim do Bombeamento],ConsumoConcreto[RecebimentoID],RecebimentoConcreto[[#This Row],[RecebimentoID]])</f>
        <v>0.33263888888888887</v>
      </c>
      <c r="L541" s="1" t="s">
        <v>676</v>
      </c>
      <c r="M541" s="37">
        <v>36892</v>
      </c>
      <c r="N541" s="5" t="s">
        <v>25</v>
      </c>
      <c r="O541" s="9">
        <v>14.5</v>
      </c>
      <c r="P541" s="5" t="s">
        <v>26</v>
      </c>
      <c r="Q541" s="2">
        <v>5</v>
      </c>
      <c r="R541" s="5" t="s">
        <v>27</v>
      </c>
      <c r="S541" s="5" t="s">
        <v>32</v>
      </c>
      <c r="T541" s="39">
        <v>450</v>
      </c>
    </row>
    <row r="542" spans="1:20" ht="20.100000000000001" hidden="1" customHeight="1" x14ac:dyDescent="0.25">
      <c r="A542" s="26" t="str">
        <f>CONCATENATE(RIGHT(LEFT(RecebimentoConcreto[[#This Row],[Obra]],5),4),"RCBC",TEXT(RecebimentoConcreto[[#This Row],[Ordem]],"0000"))</f>
        <v>0184RCBC0383</v>
      </c>
      <c r="B542" s="1">
        <v>383</v>
      </c>
      <c r="C542" s="1" t="s">
        <v>21</v>
      </c>
      <c r="D542" s="35">
        <v>44831</v>
      </c>
      <c r="E542" s="1" t="s">
        <v>1717</v>
      </c>
      <c r="F542" s="2" t="s">
        <v>1718</v>
      </c>
      <c r="G542" s="2">
        <v>5408</v>
      </c>
      <c r="H542" s="2" t="s">
        <v>1719</v>
      </c>
      <c r="I542" s="5" t="s">
        <v>1720</v>
      </c>
      <c r="J542" s="5">
        <v>0.81666666666666676</v>
      </c>
      <c r="K542" s="32">
        <f>_xlfn.MAXIFS(ConsumoConcreto[Fim do Bombeamento],ConsumoConcreto[RecebimentoID],RecebimentoConcreto[[#This Row],[RecebimentoID]])</f>
        <v>0.87430555555555556</v>
      </c>
      <c r="L542" s="1" t="s">
        <v>1721</v>
      </c>
      <c r="M542" s="37">
        <v>36892</v>
      </c>
      <c r="N542" s="5" t="s">
        <v>25</v>
      </c>
      <c r="O542" s="9">
        <v>18.5</v>
      </c>
      <c r="P542" s="5" t="s">
        <v>26</v>
      </c>
      <c r="Q542" s="2">
        <v>5</v>
      </c>
      <c r="R542" s="5" t="s">
        <v>27</v>
      </c>
      <c r="S542" s="5" t="s">
        <v>32</v>
      </c>
      <c r="T542" s="39">
        <v>450</v>
      </c>
    </row>
    <row r="543" spans="1:20" ht="20.100000000000001" hidden="1" customHeight="1" x14ac:dyDescent="0.25">
      <c r="A543" s="26" t="str">
        <f>CONCATENATE(RIGHT(LEFT(RecebimentoConcreto[[#This Row],[Obra]],5),4),"RCBC",TEXT(RecebimentoConcreto[[#This Row],[Ordem]],"0000"))</f>
        <v>0184RCBC0384</v>
      </c>
      <c r="B543" s="1">
        <v>384</v>
      </c>
      <c r="C543" s="1" t="s">
        <v>21</v>
      </c>
      <c r="D543" s="35">
        <v>44831</v>
      </c>
      <c r="E543" s="1" t="s">
        <v>375</v>
      </c>
      <c r="F543" s="2" t="s">
        <v>1722</v>
      </c>
      <c r="G543" s="2">
        <v>5408</v>
      </c>
      <c r="H543" s="2" t="s">
        <v>1723</v>
      </c>
      <c r="I543" s="5" t="s">
        <v>1724</v>
      </c>
      <c r="J543" s="5">
        <v>0.89722222222222225</v>
      </c>
      <c r="K543" s="32">
        <f>_xlfn.MAXIFS(ConsumoConcreto[Fim do Bombeamento],ConsumoConcreto[RecebimentoID],RecebimentoConcreto[[#This Row],[RecebimentoID]])</f>
        <v>0.94791666666666663</v>
      </c>
      <c r="L543" s="1" t="s">
        <v>1115</v>
      </c>
      <c r="M543" s="37">
        <v>36892</v>
      </c>
      <c r="N543" s="5" t="s">
        <v>25</v>
      </c>
      <c r="O543" s="9">
        <v>14</v>
      </c>
      <c r="P543" s="5" t="s">
        <v>26</v>
      </c>
      <c r="Q543" s="2">
        <v>5</v>
      </c>
      <c r="R543" s="5" t="s">
        <v>27</v>
      </c>
      <c r="S543" s="5" t="s">
        <v>32</v>
      </c>
      <c r="T543" s="39">
        <v>450</v>
      </c>
    </row>
    <row r="544" spans="1:20" ht="20.100000000000001" hidden="1" customHeight="1" x14ac:dyDescent="0.25">
      <c r="A544" s="26" t="str">
        <f>CONCATENATE(RIGHT(LEFT(RecebimentoConcreto[[#This Row],[Obra]],5),4),"RCBC",TEXT(RecebimentoConcreto[[#This Row],[Ordem]],"0000"))</f>
        <v>0184RCBC0385</v>
      </c>
      <c r="B544" s="1">
        <v>385</v>
      </c>
      <c r="C544" s="1" t="s">
        <v>21</v>
      </c>
      <c r="D544" s="35">
        <v>44833</v>
      </c>
      <c r="E544" s="1" t="s">
        <v>1725</v>
      </c>
      <c r="F544" s="2" t="s">
        <v>1726</v>
      </c>
      <c r="G544" s="2">
        <v>5408</v>
      </c>
      <c r="H544" s="2" t="s">
        <v>1727</v>
      </c>
      <c r="I544" s="5" t="s">
        <v>1728</v>
      </c>
      <c r="J544" s="5">
        <v>0.76041666666666663</v>
      </c>
      <c r="K544" s="32">
        <f>_xlfn.MAXIFS(ConsumoConcreto[Fim do Bombeamento],ConsumoConcreto[RecebimentoID],RecebimentoConcreto[[#This Row],[RecebimentoID]])</f>
        <v>0.85</v>
      </c>
      <c r="L544" s="1" t="s">
        <v>1729</v>
      </c>
      <c r="M544" s="37">
        <v>36892</v>
      </c>
      <c r="N544" s="5" t="s">
        <v>25</v>
      </c>
      <c r="O544" s="9">
        <v>19.5</v>
      </c>
      <c r="P544" s="5" t="s">
        <v>26</v>
      </c>
      <c r="Q544" s="2">
        <v>5</v>
      </c>
      <c r="R544" s="5" t="s">
        <v>27</v>
      </c>
      <c r="S544" s="5" t="s">
        <v>32</v>
      </c>
      <c r="T544" s="39">
        <v>450</v>
      </c>
    </row>
    <row r="545" spans="1:20" ht="20.100000000000001" hidden="1" customHeight="1" x14ac:dyDescent="0.25">
      <c r="A545" s="26" t="str">
        <f>CONCATENATE(RIGHT(LEFT(RecebimentoConcreto[[#This Row],[Obra]],5),4),"RCBC",TEXT(RecebimentoConcreto[[#This Row],[Ordem]],"0000"))</f>
        <v>0184RCBC0386</v>
      </c>
      <c r="B545" s="1">
        <v>386</v>
      </c>
      <c r="C545" s="1" t="s">
        <v>21</v>
      </c>
      <c r="D545" s="35">
        <v>44833</v>
      </c>
      <c r="E545" s="1" t="s">
        <v>230</v>
      </c>
      <c r="F545" s="2" t="s">
        <v>1730</v>
      </c>
      <c r="G545" s="2">
        <v>5408</v>
      </c>
      <c r="H545" s="2" t="s">
        <v>1731</v>
      </c>
      <c r="I545" s="5" t="s">
        <v>1732</v>
      </c>
      <c r="J545" s="5">
        <v>0.88124999999999998</v>
      </c>
      <c r="K545" s="32">
        <f>_xlfn.MAXIFS(ConsumoConcreto[Fim do Bombeamento],ConsumoConcreto[RecebimentoID],RecebimentoConcreto[[#This Row],[RecebimentoID]])</f>
        <v>0.91319444444444453</v>
      </c>
      <c r="L545" s="1" t="s">
        <v>1115</v>
      </c>
      <c r="M545" s="37">
        <v>36892</v>
      </c>
      <c r="N545" s="5" t="s">
        <v>25</v>
      </c>
      <c r="O545" s="9">
        <v>13</v>
      </c>
      <c r="P545" s="5" t="s">
        <v>26</v>
      </c>
      <c r="Q545" s="2">
        <v>5</v>
      </c>
      <c r="R545" s="5" t="s">
        <v>27</v>
      </c>
      <c r="S545" s="5" t="s">
        <v>32</v>
      </c>
      <c r="T545" s="39">
        <v>450</v>
      </c>
    </row>
    <row r="546" spans="1:20" ht="20.100000000000001" hidden="1" customHeight="1" x14ac:dyDescent="0.25">
      <c r="A546" s="26" t="str">
        <f>CONCATENATE(RIGHT(LEFT(RecebimentoConcreto[[#This Row],[Obra]],5),4),"RCBC",TEXT(RecebimentoConcreto[[#This Row],[Ordem]],"0000"))</f>
        <v>0184RCBC0387</v>
      </c>
      <c r="B546" s="1">
        <v>387</v>
      </c>
      <c r="C546" s="1" t="s">
        <v>21</v>
      </c>
      <c r="D546" s="35">
        <v>44835</v>
      </c>
      <c r="E546" s="1" t="s">
        <v>1733</v>
      </c>
      <c r="F546" s="2" t="s">
        <v>1734</v>
      </c>
      <c r="G546" s="2">
        <v>5408</v>
      </c>
      <c r="H546" s="2" t="s">
        <v>1735</v>
      </c>
      <c r="I546" s="5" t="s">
        <v>1736</v>
      </c>
      <c r="J546" s="5">
        <v>0.34791666666666665</v>
      </c>
      <c r="K546" s="32">
        <f>_xlfn.MAXIFS(ConsumoConcreto[Fim do Bombeamento],ConsumoConcreto[RecebimentoID],RecebimentoConcreto[[#This Row],[RecebimentoID]])</f>
        <v>0.40902777777777777</v>
      </c>
      <c r="L546" s="1" t="s">
        <v>1111</v>
      </c>
      <c r="M546" s="37">
        <v>36892</v>
      </c>
      <c r="N546" s="5" t="s">
        <v>25</v>
      </c>
      <c r="O546" s="9">
        <v>18.5</v>
      </c>
      <c r="P546" s="5" t="s">
        <v>26</v>
      </c>
      <c r="Q546" s="2">
        <v>6</v>
      </c>
      <c r="R546" s="5" t="s">
        <v>27</v>
      </c>
      <c r="S546" s="5" t="s">
        <v>32</v>
      </c>
      <c r="T546" s="39">
        <v>450</v>
      </c>
    </row>
    <row r="547" spans="1:20" ht="20.100000000000001" hidden="1" customHeight="1" x14ac:dyDescent="0.25">
      <c r="A547" s="26" t="str">
        <f>CONCATENATE(RIGHT(LEFT(RecebimentoConcreto[[#This Row],[Obra]],5),4),"RCBC",TEXT(RecebimentoConcreto[[#This Row],[Ordem]],"0000"))</f>
        <v>0184RCBC0388</v>
      </c>
      <c r="B547" s="1">
        <v>388</v>
      </c>
      <c r="C547" s="1" t="s">
        <v>21</v>
      </c>
      <c r="D547" s="35">
        <v>44838</v>
      </c>
      <c r="E547" s="1" t="s">
        <v>1737</v>
      </c>
      <c r="F547" s="2" t="s">
        <v>1738</v>
      </c>
      <c r="G547" s="2">
        <v>5408</v>
      </c>
      <c r="H547" s="2" t="s">
        <v>1739</v>
      </c>
      <c r="I547" s="5" t="s">
        <v>1740</v>
      </c>
      <c r="J547" s="5">
        <v>0.83333333333333337</v>
      </c>
      <c r="K547" s="32">
        <f>_xlfn.MAXIFS(ConsumoConcreto[Fim do Bombeamento],ConsumoConcreto[RecebimentoID],RecebimentoConcreto[[#This Row],[RecebimentoID]])</f>
        <v>0.87708333333333333</v>
      </c>
      <c r="L547" s="1" t="s">
        <v>638</v>
      </c>
      <c r="M547" s="37">
        <v>36892</v>
      </c>
      <c r="N547" s="5" t="s">
        <v>25</v>
      </c>
      <c r="O547" s="9">
        <v>14</v>
      </c>
      <c r="P547" s="5" t="s">
        <v>26</v>
      </c>
      <c r="Q547" s="2">
        <v>6</v>
      </c>
      <c r="R547" s="5" t="s">
        <v>27</v>
      </c>
      <c r="S547" s="5" t="s">
        <v>32</v>
      </c>
      <c r="T547" s="39">
        <v>450</v>
      </c>
    </row>
    <row r="548" spans="1:20" ht="20.100000000000001" hidden="1" customHeight="1" x14ac:dyDescent="0.25">
      <c r="A548" s="26" t="str">
        <f>CONCATENATE(RIGHT(LEFT(RecebimentoConcreto[[#This Row],[Obra]],5),4),"RCBC",TEXT(RecebimentoConcreto[[#This Row],[Ordem]],"0000"))</f>
        <v>0184RCBC0389</v>
      </c>
      <c r="B548" s="1">
        <v>389</v>
      </c>
      <c r="C548" s="1" t="s">
        <v>21</v>
      </c>
      <c r="D548" s="35">
        <v>44838</v>
      </c>
      <c r="E548" s="1" t="s">
        <v>1741</v>
      </c>
      <c r="F548" s="2" t="s">
        <v>1742</v>
      </c>
      <c r="G548" s="2">
        <v>5408</v>
      </c>
      <c r="H548" s="2" t="s">
        <v>1743</v>
      </c>
      <c r="I548" s="5" t="s">
        <v>1744</v>
      </c>
      <c r="J548" s="5">
        <v>0.75069444444444444</v>
      </c>
      <c r="K548" s="32">
        <f>_xlfn.MAXIFS(ConsumoConcreto[Fim do Bombeamento],ConsumoConcreto[RecebimentoID],RecebimentoConcreto[[#This Row],[RecebimentoID]])</f>
        <v>0.8125</v>
      </c>
      <c r="L548" s="1" t="s">
        <v>1745</v>
      </c>
      <c r="M548" s="37">
        <v>36892</v>
      </c>
      <c r="N548" s="5" t="s">
        <v>25</v>
      </c>
      <c r="O548" s="9">
        <v>18.5</v>
      </c>
      <c r="P548" s="5" t="s">
        <v>26</v>
      </c>
      <c r="Q548" s="2">
        <v>6</v>
      </c>
      <c r="R548" s="5" t="s">
        <v>27</v>
      </c>
      <c r="S548" s="5" t="s">
        <v>32</v>
      </c>
      <c r="T548" s="39">
        <v>450</v>
      </c>
    </row>
    <row r="549" spans="1:20" ht="20.100000000000001" hidden="1" customHeight="1" x14ac:dyDescent="0.25">
      <c r="A549" s="26" t="str">
        <f>CONCATENATE(RIGHT(LEFT(RecebimentoConcreto[[#This Row],[Obra]],5),4),"RCBC",TEXT(RecebimentoConcreto[[#This Row],[Ordem]],"0000"))</f>
        <v>0184RCBC0390</v>
      </c>
      <c r="B549" s="1">
        <v>390</v>
      </c>
      <c r="C549" s="1" t="s">
        <v>21</v>
      </c>
      <c r="D549" s="35">
        <v>44840</v>
      </c>
      <c r="E549" s="1" t="s">
        <v>975</v>
      </c>
      <c r="F549" s="2" t="s">
        <v>1746</v>
      </c>
      <c r="G549" s="2">
        <v>5408</v>
      </c>
      <c r="H549" s="2" t="s">
        <v>1747</v>
      </c>
      <c r="I549" s="5" t="s">
        <v>1748</v>
      </c>
      <c r="J549" s="5">
        <v>0.73819444444444438</v>
      </c>
      <c r="K549" s="32">
        <f>_xlfn.MAXIFS(ConsumoConcreto[Fim do Bombeamento],ConsumoConcreto[RecebimentoID],RecebimentoConcreto[[#This Row],[RecebimentoID]])</f>
        <v>0.73402777777777783</v>
      </c>
      <c r="L549" s="1" t="s">
        <v>1749</v>
      </c>
      <c r="M549" s="37">
        <v>36892</v>
      </c>
      <c r="N549" s="5" t="s">
        <v>25</v>
      </c>
      <c r="O549" s="9">
        <v>14.5</v>
      </c>
      <c r="P549" s="5" t="s">
        <v>26</v>
      </c>
      <c r="Q549" s="2">
        <v>6</v>
      </c>
      <c r="R549" s="5" t="s">
        <v>27</v>
      </c>
      <c r="S549" s="5" t="s">
        <v>32</v>
      </c>
      <c r="T549" s="39">
        <v>450</v>
      </c>
    </row>
    <row r="550" spans="1:20" ht="20.100000000000001" hidden="1" customHeight="1" x14ac:dyDescent="0.25">
      <c r="A550" s="26" t="str">
        <f>CONCATENATE(RIGHT(LEFT(RecebimentoConcreto[[#This Row],[Obra]],5),4),"RCBC",TEXT(RecebimentoConcreto[[#This Row],[Ordem]],"0000"))</f>
        <v>0184RCBC0391</v>
      </c>
      <c r="B550" s="1">
        <v>391</v>
      </c>
      <c r="C550" s="1" t="s">
        <v>21</v>
      </c>
      <c r="D550" s="35">
        <v>44840</v>
      </c>
      <c r="E550" s="1" t="s">
        <v>1750</v>
      </c>
      <c r="F550" s="2" t="s">
        <v>1751</v>
      </c>
      <c r="G550" s="2">
        <v>5408</v>
      </c>
      <c r="H550" s="2" t="s">
        <v>1752</v>
      </c>
      <c r="I550" s="5" t="s">
        <v>1753</v>
      </c>
      <c r="J550" s="5">
        <v>0.76944444444444438</v>
      </c>
      <c r="K550" s="32">
        <f>_xlfn.MAXIFS(ConsumoConcreto[Fim do Bombeamento],ConsumoConcreto[RecebimentoID],RecebimentoConcreto[[#This Row],[RecebimentoID]])</f>
        <v>0.80347222222222225</v>
      </c>
      <c r="L550" s="1" t="s">
        <v>1754</v>
      </c>
      <c r="M550" s="37">
        <v>36892</v>
      </c>
      <c r="N550" s="5" t="s">
        <v>25</v>
      </c>
      <c r="O550" s="9">
        <v>18.5</v>
      </c>
      <c r="P550" s="5" t="s">
        <v>26</v>
      </c>
      <c r="Q550" s="2">
        <v>6</v>
      </c>
      <c r="R550" s="5" t="s">
        <v>27</v>
      </c>
      <c r="S550" s="5" t="s">
        <v>32</v>
      </c>
      <c r="T550" s="39">
        <v>450</v>
      </c>
    </row>
    <row r="551" spans="1:20" ht="20.100000000000001" hidden="1" customHeight="1" x14ac:dyDescent="0.25">
      <c r="A551" s="26" t="str">
        <f>CONCATENATE(RIGHT(LEFT(RecebimentoConcreto[[#This Row],[Obra]],5),4),"RCBC",TEXT(RecebimentoConcreto[[#This Row],[Ordem]],"0000"))</f>
        <v>0184RCBC0392</v>
      </c>
      <c r="B551" s="1">
        <v>392</v>
      </c>
      <c r="C551" s="1" t="s">
        <v>21</v>
      </c>
      <c r="D551" s="35">
        <v>44841</v>
      </c>
      <c r="E551" s="1" t="s">
        <v>293</v>
      </c>
      <c r="F551" s="2" t="s">
        <v>1755</v>
      </c>
      <c r="G551" s="2">
        <v>5408</v>
      </c>
      <c r="H551" s="2" t="s">
        <v>1756</v>
      </c>
      <c r="I551" s="5" t="s">
        <v>1757</v>
      </c>
      <c r="J551" s="5">
        <v>0.95000000000000007</v>
      </c>
      <c r="K551" s="32">
        <f>_xlfn.MAXIFS(ConsumoConcreto[Fim do Bombeamento],ConsumoConcreto[RecebimentoID],RecebimentoConcreto[[#This Row],[RecebimentoID]])</f>
        <v>0.98749999999999993</v>
      </c>
      <c r="L551" s="1" t="s">
        <v>355</v>
      </c>
      <c r="M551" s="37">
        <v>36892</v>
      </c>
      <c r="N551" s="5" t="s">
        <v>25</v>
      </c>
      <c r="O551" s="9">
        <v>14.5</v>
      </c>
      <c r="P551" s="5" t="s">
        <v>26</v>
      </c>
      <c r="Q551" s="2">
        <v>6</v>
      </c>
      <c r="R551" s="5" t="s">
        <v>27</v>
      </c>
      <c r="S551" s="5" t="s">
        <v>32</v>
      </c>
      <c r="T551" s="39">
        <v>450</v>
      </c>
    </row>
    <row r="552" spans="1:20" ht="20.100000000000001" hidden="1" customHeight="1" x14ac:dyDescent="0.25">
      <c r="A552" s="26" t="str">
        <f>CONCATENATE(RIGHT(LEFT(RecebimentoConcreto[[#This Row],[Obra]],5),4),"RCBC",TEXT(RecebimentoConcreto[[#This Row],[Ordem]],"0000"))</f>
        <v>0184RCBC0393</v>
      </c>
      <c r="B552" s="1">
        <v>393</v>
      </c>
      <c r="C552" s="1" t="s">
        <v>21</v>
      </c>
      <c r="D552" s="35">
        <v>44841</v>
      </c>
      <c r="E552" s="1" t="s">
        <v>1758</v>
      </c>
      <c r="F552" s="2" t="s">
        <v>1759</v>
      </c>
      <c r="G552" s="2">
        <v>5408</v>
      </c>
      <c r="H552" s="2" t="s">
        <v>1760</v>
      </c>
      <c r="I552" s="5" t="s">
        <v>1761</v>
      </c>
      <c r="J552" s="5">
        <v>0.88194444444444453</v>
      </c>
      <c r="K552" s="32">
        <f>_xlfn.MAXIFS(ConsumoConcreto[Fim do Bombeamento],ConsumoConcreto[RecebimentoID],RecebimentoConcreto[[#This Row],[RecebimentoID]])</f>
        <v>0.9277777777777777</v>
      </c>
      <c r="L552" s="1" t="s">
        <v>1762</v>
      </c>
      <c r="M552" s="37">
        <v>36892</v>
      </c>
      <c r="N552" s="5" t="s">
        <v>25</v>
      </c>
      <c r="O552" s="9">
        <v>18.5</v>
      </c>
      <c r="P552" s="5" t="s">
        <v>26</v>
      </c>
      <c r="Q552" s="2">
        <v>6</v>
      </c>
      <c r="R552" s="5" t="s">
        <v>27</v>
      </c>
      <c r="S552" s="5" t="s">
        <v>32</v>
      </c>
      <c r="T552" s="39">
        <v>450</v>
      </c>
    </row>
    <row r="553" spans="1:20" ht="20.100000000000001" hidden="1" customHeight="1" x14ac:dyDescent="0.25">
      <c r="A553" s="26" t="str">
        <f>CONCATENATE(RIGHT(LEFT(RecebimentoConcreto[[#This Row],[Obra]],5),4),"RCBC",TEXT(RecebimentoConcreto[[#This Row],[Ordem]],"0000"))</f>
        <v>0184RCBC0394</v>
      </c>
      <c r="B553" s="1">
        <v>394</v>
      </c>
      <c r="C553" s="1" t="s">
        <v>21</v>
      </c>
      <c r="D553" s="35">
        <v>44844</v>
      </c>
      <c r="E553" s="1" t="s">
        <v>1763</v>
      </c>
      <c r="F553" s="2" t="s">
        <v>1764</v>
      </c>
      <c r="G553" s="2">
        <v>5408</v>
      </c>
      <c r="H553" s="2" t="s">
        <v>1765</v>
      </c>
      <c r="I553" s="5" t="s">
        <v>1766</v>
      </c>
      <c r="J553" s="5">
        <v>0.75</v>
      </c>
      <c r="K553" s="32">
        <f>_xlfn.MAXIFS(ConsumoConcreto[Fim do Bombeamento],ConsumoConcreto[RecebimentoID],RecebimentoConcreto[[#This Row],[RecebimentoID]])</f>
        <v>0.87222222222222223</v>
      </c>
      <c r="L553" s="1" t="s">
        <v>1767</v>
      </c>
      <c r="M553" s="37">
        <v>36892</v>
      </c>
      <c r="N553" s="5" t="s">
        <v>25</v>
      </c>
      <c r="O553" s="9">
        <v>17.5</v>
      </c>
      <c r="P553" s="5" t="s">
        <v>26</v>
      </c>
      <c r="Q553" s="2">
        <v>6</v>
      </c>
      <c r="R553" s="5" t="s">
        <v>27</v>
      </c>
      <c r="S553" s="5" t="s">
        <v>32</v>
      </c>
      <c r="T553" s="39">
        <v>450</v>
      </c>
    </row>
    <row r="554" spans="1:20" ht="20.100000000000001" hidden="1" customHeight="1" x14ac:dyDescent="0.25">
      <c r="A554" s="26" t="str">
        <f>CONCATENATE(RIGHT(LEFT(RecebimentoConcreto[[#This Row],[Obra]],5),4),"RCBC",TEXT(RecebimentoConcreto[[#This Row],[Ordem]],"0000"))</f>
        <v>0184RCBC0395</v>
      </c>
      <c r="B554" s="1">
        <v>395</v>
      </c>
      <c r="C554" s="1" t="s">
        <v>21</v>
      </c>
      <c r="D554" s="35">
        <v>44845</v>
      </c>
      <c r="E554" s="1" t="s">
        <v>1768</v>
      </c>
      <c r="F554" s="2" t="s">
        <v>1769</v>
      </c>
      <c r="G554" s="2">
        <v>5408</v>
      </c>
      <c r="H554" s="2" t="s">
        <v>1770</v>
      </c>
      <c r="I554" s="5" t="s">
        <v>1771</v>
      </c>
      <c r="J554" s="5">
        <v>0.77222222222222225</v>
      </c>
      <c r="K554" s="32">
        <f>_xlfn.MAXIFS(ConsumoConcreto[Fim do Bombeamento],ConsumoConcreto[RecebimentoID],RecebimentoConcreto[[#This Row],[RecebimentoID]])</f>
        <v>0.84722222222222221</v>
      </c>
      <c r="L554" s="1" t="s">
        <v>1772</v>
      </c>
      <c r="M554" s="37">
        <v>36892</v>
      </c>
      <c r="N554" s="5" t="s">
        <v>25</v>
      </c>
      <c r="O554" s="9">
        <v>18.5</v>
      </c>
      <c r="P554" s="5" t="s">
        <v>26</v>
      </c>
      <c r="Q554" s="2">
        <v>6</v>
      </c>
      <c r="R554" s="5" t="s">
        <v>27</v>
      </c>
      <c r="S554" s="5" t="s">
        <v>32</v>
      </c>
      <c r="T554" s="39">
        <v>450</v>
      </c>
    </row>
    <row r="555" spans="1:20" ht="20.100000000000001" hidden="1" customHeight="1" x14ac:dyDescent="0.25">
      <c r="A555" s="26" t="str">
        <f>CONCATENATE(RIGHT(LEFT(RecebimentoConcreto[[#This Row],[Obra]],5),4),"RCBC",TEXT(RecebimentoConcreto[[#This Row],[Ordem]],"0000"))</f>
        <v>0184RCBC0396</v>
      </c>
      <c r="B555" s="1">
        <v>396</v>
      </c>
      <c r="C555" s="1" t="s">
        <v>21</v>
      </c>
      <c r="D555" s="35">
        <v>44845</v>
      </c>
      <c r="E555" s="1" t="s">
        <v>370</v>
      </c>
      <c r="F555" s="2" t="s">
        <v>1773</v>
      </c>
      <c r="G555" s="2">
        <v>5408</v>
      </c>
      <c r="H555" s="2" t="s">
        <v>1774</v>
      </c>
      <c r="I555" s="5" t="s">
        <v>1775</v>
      </c>
      <c r="J555" s="5">
        <v>0.85833333333333339</v>
      </c>
      <c r="K555" s="32">
        <f>_xlfn.MAXIFS(ConsumoConcreto[Fim do Bombeamento],ConsumoConcreto[RecebimentoID],RecebimentoConcreto[[#This Row],[RecebimentoID]])</f>
        <v>0.88888888888888884</v>
      </c>
      <c r="L555" s="1" t="s">
        <v>1084</v>
      </c>
      <c r="M555" s="37">
        <v>36892</v>
      </c>
      <c r="N555" s="5" t="s">
        <v>25</v>
      </c>
      <c r="O555" s="9">
        <v>14</v>
      </c>
      <c r="P555" s="5" t="s">
        <v>26</v>
      </c>
      <c r="Q555" s="2">
        <v>6</v>
      </c>
      <c r="R555" s="5" t="s">
        <v>27</v>
      </c>
      <c r="S555" s="5" t="s">
        <v>32</v>
      </c>
      <c r="T555" s="39">
        <v>450</v>
      </c>
    </row>
    <row r="556" spans="1:20" ht="20.100000000000001" hidden="1" customHeight="1" x14ac:dyDescent="0.25">
      <c r="A556" s="26" t="str">
        <f>CONCATENATE(RIGHT(LEFT(RecebimentoConcreto[[#This Row],[Obra]],5),4),"RCBC",TEXT(RecebimentoConcreto[[#This Row],[Ordem]],"0000"))</f>
        <v>0184RCBC0360</v>
      </c>
      <c r="B556" s="1">
        <v>360</v>
      </c>
      <c r="C556" s="1" t="s">
        <v>21</v>
      </c>
      <c r="D556" s="35">
        <v>44916</v>
      </c>
      <c r="E556" s="1" t="s">
        <v>1776</v>
      </c>
      <c r="F556" s="2" t="s">
        <v>1777</v>
      </c>
      <c r="G556" s="2">
        <v>58691</v>
      </c>
      <c r="H556" s="2" t="s">
        <v>1778</v>
      </c>
      <c r="I556" s="5" t="s">
        <v>1779</v>
      </c>
      <c r="J556" s="5">
        <v>0.7715277777777777</v>
      </c>
      <c r="K556" s="32">
        <f>_xlfn.MAXIFS(ConsumoConcreto[Fim do Bombeamento],ConsumoConcreto[RecebimentoID],RecebimentoConcreto[[#This Row],[RecebimentoID]])</f>
        <v>0.83819444444444446</v>
      </c>
      <c r="L556" s="1" t="s">
        <v>1262</v>
      </c>
      <c r="M556" s="37">
        <v>36892</v>
      </c>
      <c r="N556" s="5" t="s">
        <v>1780</v>
      </c>
      <c r="O556" s="9">
        <v>14.5</v>
      </c>
      <c r="P556" s="5" t="s">
        <v>26</v>
      </c>
      <c r="Q556" s="2"/>
      <c r="R556" s="5" t="s">
        <v>27</v>
      </c>
      <c r="S556" s="5" t="s">
        <v>500</v>
      </c>
      <c r="T556" s="39">
        <v>520</v>
      </c>
    </row>
    <row r="557" spans="1:20" ht="20.100000000000001" hidden="1" customHeight="1" x14ac:dyDescent="0.25">
      <c r="A557" s="26" t="str">
        <f>CONCATENATE(RIGHT(LEFT(RecebimentoConcreto[[#This Row],[Obra]],5),4),"RCBC",TEXT(RecebimentoConcreto[[#This Row],[Ordem]],"0000"))</f>
        <v>0184RCBC0009</v>
      </c>
      <c r="B557" s="1">
        <v>9</v>
      </c>
      <c r="C557" s="1" t="s">
        <v>21</v>
      </c>
      <c r="D557" s="35">
        <v>44567</v>
      </c>
      <c r="E557" s="1" t="s">
        <v>1781</v>
      </c>
      <c r="F557" s="2" t="s">
        <v>1782</v>
      </c>
      <c r="G557" s="2">
        <v>54856</v>
      </c>
      <c r="H557" s="2" t="s">
        <v>1783</v>
      </c>
      <c r="K557" s="32">
        <f>_xlfn.MAXIFS(ConsumoConcreto[Fim do Bombeamento],ConsumoConcreto[RecebimentoID],RecebimentoConcreto[[#This Row],[RecebimentoID]])</f>
        <v>0</v>
      </c>
      <c r="M557" s="37">
        <v>36892</v>
      </c>
      <c r="N557" s="5" t="s">
        <v>1780</v>
      </c>
      <c r="O557" s="9">
        <v>14</v>
      </c>
      <c r="P557" s="5" t="s">
        <v>26</v>
      </c>
      <c r="Q557" s="2"/>
      <c r="R557" s="5" t="s">
        <v>27</v>
      </c>
      <c r="S557" s="5" t="s">
        <v>28</v>
      </c>
      <c r="T557" s="39">
        <v>445</v>
      </c>
    </row>
    <row r="558" spans="1:20" ht="20.100000000000001" hidden="1" customHeight="1" x14ac:dyDescent="0.25">
      <c r="A558" s="26" t="str">
        <f>CONCATENATE(RIGHT(LEFT(RecebimentoConcreto[[#This Row],[Obra]],5),4),"RCBC",TEXT(RecebimentoConcreto[[#This Row],[Ordem]],"0000"))</f>
        <v>0184RCBC0010</v>
      </c>
      <c r="B558" s="1">
        <v>10</v>
      </c>
      <c r="C558" s="1" t="s">
        <v>21</v>
      </c>
      <c r="D558" s="35">
        <v>44572</v>
      </c>
      <c r="E558" s="1" t="s">
        <v>1784</v>
      </c>
      <c r="F558" s="2" t="s">
        <v>1785</v>
      </c>
      <c r="G558" s="2">
        <v>54856</v>
      </c>
      <c r="H558" s="2" t="s">
        <v>1786</v>
      </c>
      <c r="K558" s="32">
        <f>_xlfn.MAXIFS(ConsumoConcreto[Fim do Bombeamento],ConsumoConcreto[RecebimentoID],RecebimentoConcreto[[#This Row],[RecebimentoID]])</f>
        <v>0</v>
      </c>
      <c r="M558" s="37">
        <v>36892</v>
      </c>
      <c r="N558" s="5" t="s">
        <v>1780</v>
      </c>
      <c r="O558" s="9">
        <v>14</v>
      </c>
      <c r="P558" s="5" t="s">
        <v>26</v>
      </c>
      <c r="Q558" s="2"/>
      <c r="R558" s="5" t="s">
        <v>27</v>
      </c>
      <c r="S558" s="5" t="s">
        <v>28</v>
      </c>
      <c r="T558" s="39">
        <v>445</v>
      </c>
    </row>
    <row r="559" spans="1:20" ht="20.100000000000001" hidden="1" customHeight="1" x14ac:dyDescent="0.25">
      <c r="A559" s="26" t="str">
        <f>CONCATENATE(RIGHT(LEFT(RecebimentoConcreto[[#This Row],[Obra]],5),4),"RCBC",TEXT(RecebimentoConcreto[[#This Row],[Ordem]],"0000"))</f>
        <v>0184RCBC0011</v>
      </c>
      <c r="B559" s="1">
        <v>11</v>
      </c>
      <c r="C559" s="1" t="s">
        <v>21</v>
      </c>
      <c r="D559" s="35">
        <v>44579</v>
      </c>
      <c r="E559" s="1" t="s">
        <v>1787</v>
      </c>
      <c r="F559" s="2" t="s">
        <v>1788</v>
      </c>
      <c r="G559" s="2">
        <v>54856</v>
      </c>
      <c r="H559" s="2" t="s">
        <v>1789</v>
      </c>
      <c r="K559" s="32">
        <f>_xlfn.MAXIFS(ConsumoConcreto[Fim do Bombeamento],ConsumoConcreto[RecebimentoID],RecebimentoConcreto[[#This Row],[RecebimentoID]])</f>
        <v>0</v>
      </c>
      <c r="M559" s="37">
        <v>36892</v>
      </c>
      <c r="N559" s="5" t="s">
        <v>1780</v>
      </c>
      <c r="O559" s="9">
        <v>14</v>
      </c>
      <c r="P559" s="5" t="s">
        <v>26</v>
      </c>
      <c r="Q559" s="2"/>
      <c r="R559" s="5" t="s">
        <v>27</v>
      </c>
      <c r="S559" s="5" t="s">
        <v>28</v>
      </c>
      <c r="T559" s="39">
        <v>445</v>
      </c>
    </row>
    <row r="560" spans="1:20" ht="20.100000000000001" hidden="1" customHeight="1" x14ac:dyDescent="0.25">
      <c r="A560" s="26" t="str">
        <f>CONCATENATE(RIGHT(LEFT(RecebimentoConcreto[[#This Row],[Obra]],5),4),"RCBC",TEXT(RecebimentoConcreto[[#This Row],[Ordem]],"0000"))</f>
        <v>0184RCBC0012</v>
      </c>
      <c r="B560" s="1">
        <v>12</v>
      </c>
      <c r="C560" s="1" t="s">
        <v>21</v>
      </c>
      <c r="D560" s="35">
        <v>44582</v>
      </c>
      <c r="E560" s="1" t="s">
        <v>1790</v>
      </c>
      <c r="F560" s="2" t="s">
        <v>1791</v>
      </c>
      <c r="G560" s="2">
        <v>54856</v>
      </c>
      <c r="H560" s="2" t="s">
        <v>1792</v>
      </c>
      <c r="K560" s="32">
        <f>_xlfn.MAXIFS(ConsumoConcreto[Fim do Bombeamento],ConsumoConcreto[RecebimentoID],RecebimentoConcreto[[#This Row],[RecebimentoID]])</f>
        <v>0</v>
      </c>
      <c r="M560" s="37">
        <v>36892</v>
      </c>
      <c r="N560" s="5" t="s">
        <v>1780</v>
      </c>
      <c r="O560" s="9">
        <v>14</v>
      </c>
      <c r="P560" s="5" t="s">
        <v>26</v>
      </c>
      <c r="Q560" s="2"/>
      <c r="R560" s="5" t="s">
        <v>27</v>
      </c>
      <c r="S560" s="5" t="s">
        <v>28</v>
      </c>
      <c r="T560" s="39">
        <v>445</v>
      </c>
    </row>
    <row r="561" spans="1:20" ht="20.100000000000001" hidden="1" customHeight="1" x14ac:dyDescent="0.25">
      <c r="A561" s="26" t="str">
        <f>CONCATENATE(RIGHT(LEFT(RecebimentoConcreto[[#This Row],[Obra]],5),4),"RCBC",TEXT(RecebimentoConcreto[[#This Row],[Ordem]],"0000"))</f>
        <v>0184RCBC0013</v>
      </c>
      <c r="B561" s="1">
        <v>13</v>
      </c>
      <c r="C561" s="1" t="s">
        <v>21</v>
      </c>
      <c r="D561" s="35">
        <v>44587</v>
      </c>
      <c r="E561" s="1" t="s">
        <v>1793</v>
      </c>
      <c r="F561" s="2" t="s">
        <v>1794</v>
      </c>
      <c r="G561" s="2">
        <v>54856</v>
      </c>
      <c r="H561" s="2" t="s">
        <v>1795</v>
      </c>
      <c r="K561" s="32">
        <f>_xlfn.MAXIFS(ConsumoConcreto[Fim do Bombeamento],ConsumoConcreto[RecebimentoID],RecebimentoConcreto[[#This Row],[RecebimentoID]])</f>
        <v>0</v>
      </c>
      <c r="M561" s="37">
        <v>36892</v>
      </c>
      <c r="N561" s="5" t="s">
        <v>1780</v>
      </c>
      <c r="O561" s="9">
        <v>14</v>
      </c>
      <c r="P561" s="5" t="s">
        <v>26</v>
      </c>
      <c r="Q561" s="2"/>
      <c r="R561" s="5" t="s">
        <v>27</v>
      </c>
      <c r="S561" s="5" t="s">
        <v>28</v>
      </c>
      <c r="T561" s="39">
        <v>445</v>
      </c>
    </row>
    <row r="562" spans="1:20" ht="20.100000000000001" hidden="1" customHeight="1" x14ac:dyDescent="0.25">
      <c r="A562" s="26" t="str">
        <f>CONCATENATE(RIGHT(LEFT(RecebimentoConcreto[[#This Row],[Obra]],5),4),"RCBC",TEXT(RecebimentoConcreto[[#This Row],[Ordem]],"0000"))</f>
        <v>0184RCBC0918</v>
      </c>
      <c r="B562" s="1">
        <v>918</v>
      </c>
      <c r="C562" s="1" t="s">
        <v>21</v>
      </c>
      <c r="D562" s="35">
        <v>44734</v>
      </c>
      <c r="E562" s="1" t="s">
        <v>1796</v>
      </c>
      <c r="F562" s="2" t="s">
        <v>1797</v>
      </c>
      <c r="G562" s="2">
        <v>56799</v>
      </c>
      <c r="H562" s="2" t="s">
        <v>1798</v>
      </c>
      <c r="J562" s="5">
        <v>0.70833333333333337</v>
      </c>
      <c r="K562" s="32">
        <f>_xlfn.MAXIFS(ConsumoConcreto[Fim do Bombeamento],ConsumoConcreto[RecebimentoID],RecebimentoConcreto[[#This Row],[RecebimentoID]])</f>
        <v>0.73472222222222217</v>
      </c>
      <c r="M562" s="37">
        <v>36892</v>
      </c>
      <c r="N562" s="5" t="s">
        <v>1780</v>
      </c>
      <c r="O562" s="9">
        <v>14.5</v>
      </c>
      <c r="P562" s="5" t="s">
        <v>26</v>
      </c>
      <c r="Q562" s="2"/>
      <c r="R562" s="5" t="s">
        <v>27</v>
      </c>
      <c r="S562" s="5" t="s">
        <v>28</v>
      </c>
      <c r="T562" s="39">
        <v>490</v>
      </c>
    </row>
    <row r="563" spans="1:20" ht="20.100000000000001" hidden="1" customHeight="1" x14ac:dyDescent="0.25">
      <c r="A563" s="26" t="str">
        <f>CONCATENATE(RIGHT(LEFT(RecebimentoConcreto[[#This Row],[Obra]],5),4),"RCBC",TEXT(RecebimentoConcreto[[#This Row],[Ordem]],"0000"))</f>
        <v>0184RCBC0919</v>
      </c>
      <c r="B563" s="1">
        <v>919</v>
      </c>
      <c r="C563" s="1" t="s">
        <v>21</v>
      </c>
      <c r="D563" s="35">
        <v>44734</v>
      </c>
      <c r="E563" s="1" t="s">
        <v>1796</v>
      </c>
      <c r="F563" s="2" t="s">
        <v>1799</v>
      </c>
      <c r="G563" s="2">
        <v>56799</v>
      </c>
      <c r="H563" s="2" t="s">
        <v>1800</v>
      </c>
      <c r="J563" s="5">
        <v>0.63750000000000007</v>
      </c>
      <c r="K563" s="32">
        <f>_xlfn.MAXIFS(ConsumoConcreto[Fim do Bombeamento],ConsumoConcreto[RecebimentoID],RecebimentoConcreto[[#This Row],[RecebimentoID]])</f>
        <v>0.68055555555555547</v>
      </c>
      <c r="M563" s="37">
        <v>36892</v>
      </c>
      <c r="N563" s="5" t="s">
        <v>1780</v>
      </c>
      <c r="O563" s="9">
        <v>15</v>
      </c>
      <c r="P563" s="5" t="s">
        <v>26</v>
      </c>
      <c r="Q563" s="2"/>
      <c r="R563" s="5" t="s">
        <v>27</v>
      </c>
      <c r="S563" s="5" t="s">
        <v>28</v>
      </c>
      <c r="T563" s="39">
        <v>490</v>
      </c>
    </row>
    <row r="564" spans="1:20" ht="20.100000000000001" hidden="1" customHeight="1" x14ac:dyDescent="0.25">
      <c r="A564" s="26" t="str">
        <f>CONCATENATE(RIGHT(LEFT(RecebimentoConcreto[[#This Row],[Obra]],5),4),"RCBC",TEXT(RecebimentoConcreto[[#This Row],[Ordem]],"0000"))</f>
        <v>0184RCBC0001</v>
      </c>
      <c r="B564" s="1">
        <v>1</v>
      </c>
      <c r="C564" s="1" t="s">
        <v>21</v>
      </c>
      <c r="D564" s="35">
        <v>44532</v>
      </c>
      <c r="G564" s="2">
        <v>54855</v>
      </c>
      <c r="K564" s="32">
        <f>_xlfn.MAXIFS(ConsumoConcreto[Fim do Bombeamento],ConsumoConcreto[RecebimentoID],RecebimentoConcreto[[#This Row],[RecebimentoID]])</f>
        <v>0</v>
      </c>
      <c r="M564" s="37">
        <v>36892</v>
      </c>
      <c r="N564" s="5" t="s">
        <v>1801</v>
      </c>
      <c r="O564" s="9">
        <v>5.5</v>
      </c>
      <c r="P564" s="5" t="s">
        <v>26</v>
      </c>
      <c r="Q564" s="2"/>
      <c r="R564" s="5" t="s">
        <v>27</v>
      </c>
      <c r="S564" s="5" t="s">
        <v>28</v>
      </c>
      <c r="T564" s="39">
        <v>390</v>
      </c>
    </row>
    <row r="565" spans="1:20" ht="20.100000000000001" hidden="1" customHeight="1" x14ac:dyDescent="0.25">
      <c r="A565" s="26" t="str">
        <f>CONCATENATE(RIGHT(LEFT(RecebimentoConcreto[[#This Row],[Obra]],5),4),"RCBC",TEXT(RecebimentoConcreto[[#This Row],[Ordem]],"0000"))</f>
        <v>0184RCBC0002</v>
      </c>
      <c r="B565" s="1">
        <v>2</v>
      </c>
      <c r="C565" s="1" t="s">
        <v>21</v>
      </c>
      <c r="D565" s="35">
        <v>44532</v>
      </c>
      <c r="G565" s="2">
        <v>54855</v>
      </c>
      <c r="K565" s="32">
        <f>_xlfn.MAXIFS(ConsumoConcreto[Fim do Bombeamento],ConsumoConcreto[RecebimentoID],RecebimentoConcreto[[#This Row],[RecebimentoID]])</f>
        <v>0</v>
      </c>
      <c r="M565" s="37">
        <v>36892</v>
      </c>
      <c r="N565" s="5" t="s">
        <v>1801</v>
      </c>
      <c r="O565" s="9">
        <v>5.5</v>
      </c>
      <c r="P565" s="5" t="s">
        <v>26</v>
      </c>
      <c r="Q565" s="2"/>
      <c r="R565" s="5" t="s">
        <v>27</v>
      </c>
      <c r="S565" s="5" t="s">
        <v>28</v>
      </c>
      <c r="T565" s="39">
        <v>390</v>
      </c>
    </row>
    <row r="566" spans="1:20" ht="20.100000000000001" hidden="1" customHeight="1" x14ac:dyDescent="0.25">
      <c r="A566" s="26" t="str">
        <f>CONCATENATE(RIGHT(LEFT(RecebimentoConcreto[[#This Row],[Obra]],5),4),"RCBC",TEXT(RecebimentoConcreto[[#This Row],[Ordem]],"0000"))</f>
        <v>0184RCBC0003</v>
      </c>
      <c r="B566" s="1">
        <v>3</v>
      </c>
      <c r="C566" s="1" t="s">
        <v>21</v>
      </c>
      <c r="D566" s="35">
        <v>44532</v>
      </c>
      <c r="G566" s="2">
        <v>54855</v>
      </c>
      <c r="K566" s="32">
        <f>_xlfn.MAXIFS(ConsumoConcreto[Fim do Bombeamento],ConsumoConcreto[RecebimentoID],RecebimentoConcreto[[#This Row],[RecebimentoID]])</f>
        <v>0</v>
      </c>
      <c r="M566" s="37">
        <v>36892</v>
      </c>
      <c r="N566" s="5" t="s">
        <v>1801</v>
      </c>
      <c r="O566" s="9">
        <v>5.5</v>
      </c>
      <c r="P566" s="5" t="s">
        <v>26</v>
      </c>
      <c r="Q566" s="2"/>
      <c r="R566" s="5" t="s">
        <v>27</v>
      </c>
      <c r="S566" s="5" t="s">
        <v>28</v>
      </c>
      <c r="T566" s="39">
        <v>390</v>
      </c>
    </row>
    <row r="567" spans="1:20" ht="20.100000000000001" hidden="1" customHeight="1" x14ac:dyDescent="0.25">
      <c r="A567" s="26" t="str">
        <f>CONCATENATE(RIGHT(LEFT(RecebimentoConcreto[[#This Row],[Obra]],5),4),"RCBC",TEXT(RecebimentoConcreto[[#This Row],[Ordem]],"0000"))</f>
        <v>0184RCBC0004</v>
      </c>
      <c r="B567" s="1">
        <v>4</v>
      </c>
      <c r="C567" s="1" t="s">
        <v>21</v>
      </c>
      <c r="D567" s="35">
        <v>44533</v>
      </c>
      <c r="G567" s="2">
        <v>54855</v>
      </c>
      <c r="K567" s="32">
        <f>_xlfn.MAXIFS(ConsumoConcreto[Fim do Bombeamento],ConsumoConcreto[RecebimentoID],RecebimentoConcreto[[#This Row],[RecebimentoID]])</f>
        <v>0</v>
      </c>
      <c r="M567" s="37">
        <v>36892</v>
      </c>
      <c r="N567" s="5" t="s">
        <v>1801</v>
      </c>
      <c r="O567" s="9">
        <v>5.5</v>
      </c>
      <c r="P567" s="5" t="s">
        <v>26</v>
      </c>
      <c r="Q567" s="2"/>
      <c r="R567" s="5" t="s">
        <v>27</v>
      </c>
      <c r="S567" s="5" t="s">
        <v>28</v>
      </c>
      <c r="T567" s="39">
        <v>390</v>
      </c>
    </row>
    <row r="568" spans="1:20" ht="20.100000000000001" hidden="1" customHeight="1" x14ac:dyDescent="0.25">
      <c r="A568" s="26" t="str">
        <f>CONCATENATE(RIGHT(LEFT(RecebimentoConcreto[[#This Row],[Obra]],5),4),"RCBC",TEXT(RecebimentoConcreto[[#This Row],[Ordem]],"0000"))</f>
        <v>0184RCBC0005</v>
      </c>
      <c r="B568" s="1">
        <v>5</v>
      </c>
      <c r="C568" s="1" t="s">
        <v>21</v>
      </c>
      <c r="D568" s="35">
        <v>44533</v>
      </c>
      <c r="G568" s="2">
        <v>54855</v>
      </c>
      <c r="K568" s="32">
        <f>_xlfn.MAXIFS(ConsumoConcreto[Fim do Bombeamento],ConsumoConcreto[RecebimentoID],RecebimentoConcreto[[#This Row],[RecebimentoID]])</f>
        <v>0</v>
      </c>
      <c r="M568" s="37">
        <v>36892</v>
      </c>
      <c r="N568" s="5" t="s">
        <v>1801</v>
      </c>
      <c r="O568" s="9">
        <v>5.5</v>
      </c>
      <c r="P568" s="5" t="s">
        <v>26</v>
      </c>
      <c r="Q568" s="2"/>
      <c r="R568" s="5" t="s">
        <v>27</v>
      </c>
      <c r="S568" s="5" t="s">
        <v>28</v>
      </c>
      <c r="T568" s="39">
        <v>390</v>
      </c>
    </row>
    <row r="569" spans="1:20" ht="20.100000000000001" hidden="1" customHeight="1" x14ac:dyDescent="0.25">
      <c r="A569" s="26" t="str">
        <f>CONCATENATE(RIGHT(LEFT(RecebimentoConcreto[[#This Row],[Obra]],5),4),"RCBC",TEXT(RecebimentoConcreto[[#This Row],[Ordem]],"0000"))</f>
        <v>0184RCBC0006</v>
      </c>
      <c r="B569" s="1">
        <v>6</v>
      </c>
      <c r="C569" s="1" t="s">
        <v>21</v>
      </c>
      <c r="D569" s="35">
        <v>44533</v>
      </c>
      <c r="G569" s="2">
        <v>54855</v>
      </c>
      <c r="K569" s="32">
        <f>_xlfn.MAXIFS(ConsumoConcreto[Fim do Bombeamento],ConsumoConcreto[RecebimentoID],RecebimentoConcreto[[#This Row],[RecebimentoID]])</f>
        <v>0</v>
      </c>
      <c r="M569" s="37">
        <v>36892</v>
      </c>
      <c r="N569" s="5" t="s">
        <v>1801</v>
      </c>
      <c r="O569" s="9">
        <v>5.5</v>
      </c>
      <c r="P569" s="5" t="s">
        <v>26</v>
      </c>
      <c r="Q569" s="2"/>
      <c r="R569" s="5" t="s">
        <v>27</v>
      </c>
      <c r="S569" s="5" t="s">
        <v>28</v>
      </c>
      <c r="T569" s="39">
        <v>390</v>
      </c>
    </row>
    <row r="570" spans="1:20" ht="20.100000000000001" hidden="1" customHeight="1" x14ac:dyDescent="0.25">
      <c r="A570" s="26" t="str">
        <f>CONCATENATE(RIGHT(LEFT(RecebimentoConcreto[[#This Row],[Obra]],5),4),"RCBC",TEXT(RecebimentoConcreto[[#This Row],[Ordem]],"0000"))</f>
        <v>0184RCBC0007</v>
      </c>
      <c r="B570" s="1">
        <v>7</v>
      </c>
      <c r="C570" s="1" t="s">
        <v>21</v>
      </c>
      <c r="D570" s="35">
        <v>44533</v>
      </c>
      <c r="G570" s="2">
        <v>54855</v>
      </c>
      <c r="K570" s="32">
        <f>_xlfn.MAXIFS(ConsumoConcreto[Fim do Bombeamento],ConsumoConcreto[RecebimentoID],RecebimentoConcreto[[#This Row],[RecebimentoID]])</f>
        <v>0</v>
      </c>
      <c r="M570" s="37">
        <v>36892</v>
      </c>
      <c r="N570" s="5" t="s">
        <v>1801</v>
      </c>
      <c r="O570" s="9">
        <v>6.5</v>
      </c>
      <c r="P570" s="5" t="s">
        <v>26</v>
      </c>
      <c r="Q570" s="2"/>
      <c r="R570" s="5" t="s">
        <v>27</v>
      </c>
      <c r="S570" s="5" t="s">
        <v>28</v>
      </c>
      <c r="T570" s="39">
        <v>390</v>
      </c>
    </row>
    <row r="571" spans="1:20" ht="20.100000000000001" hidden="1" customHeight="1" x14ac:dyDescent="0.25">
      <c r="A571" s="26" t="str">
        <f>CONCATENATE(RIGHT(LEFT(RecebimentoConcreto[[#This Row],[Obra]],5),4),"RCBC",TEXT(RecebimentoConcreto[[#This Row],[Ordem]],"0000"))</f>
        <v>0184RCBC0008</v>
      </c>
      <c r="B571" s="1">
        <v>8</v>
      </c>
      <c r="C571" s="1" t="s">
        <v>21</v>
      </c>
      <c r="D571" s="35">
        <v>44533</v>
      </c>
      <c r="G571" s="2">
        <v>54855</v>
      </c>
      <c r="K571" s="32">
        <f>_xlfn.MAXIFS(ConsumoConcreto[Fim do Bombeamento],ConsumoConcreto[RecebimentoID],RecebimentoConcreto[[#This Row],[RecebimentoID]])</f>
        <v>0</v>
      </c>
      <c r="M571" s="37">
        <v>36892</v>
      </c>
      <c r="N571" s="5" t="s">
        <v>1801</v>
      </c>
      <c r="O571" s="9">
        <v>6.5</v>
      </c>
      <c r="P571" s="5" t="s">
        <v>26</v>
      </c>
      <c r="Q571" s="2"/>
      <c r="R571" s="5" t="s">
        <v>27</v>
      </c>
      <c r="S571" s="5" t="s">
        <v>28</v>
      </c>
      <c r="T571" s="39">
        <v>390</v>
      </c>
    </row>
    <row r="572" spans="1:20" ht="20.100000000000001" hidden="1" customHeight="1" x14ac:dyDescent="0.25">
      <c r="A572" s="26" t="str">
        <f>CONCATENATE(RIGHT(LEFT(RecebimentoConcreto[[#This Row],[Obra]],5),4),"RCBC",TEXT(RecebimentoConcreto[[#This Row],[Ordem]],"0000"))</f>
        <v>0184RCBC0025</v>
      </c>
      <c r="B572" s="1">
        <v>25</v>
      </c>
      <c r="C572" s="1" t="s">
        <v>21</v>
      </c>
      <c r="D572" s="35">
        <v>44534</v>
      </c>
      <c r="G572" s="2">
        <v>54855</v>
      </c>
      <c r="K572" s="32">
        <f>_xlfn.MAXIFS(ConsumoConcreto[Fim do Bombeamento],ConsumoConcreto[RecebimentoID],RecebimentoConcreto[[#This Row],[RecebimentoID]])</f>
        <v>0</v>
      </c>
      <c r="M572" s="37">
        <v>36892</v>
      </c>
      <c r="N572" s="5" t="s">
        <v>1801</v>
      </c>
      <c r="O572" s="9">
        <v>5.5</v>
      </c>
      <c r="P572" s="5" t="s">
        <v>26</v>
      </c>
      <c r="Q572" s="2"/>
      <c r="R572" s="5" t="s">
        <v>27</v>
      </c>
      <c r="S572" s="5" t="s">
        <v>28</v>
      </c>
      <c r="T572" s="39">
        <v>390</v>
      </c>
    </row>
    <row r="573" spans="1:20" ht="20.100000000000001" hidden="1" customHeight="1" x14ac:dyDescent="0.25">
      <c r="A573" s="26" t="str">
        <f>CONCATENATE(RIGHT(LEFT(RecebimentoConcreto[[#This Row],[Obra]],5),4),"RCBC",TEXT(RecebimentoConcreto[[#This Row],[Ordem]],"0000"))</f>
        <v>0184RCBC0026</v>
      </c>
      <c r="B573" s="1">
        <v>26</v>
      </c>
      <c r="C573" s="1" t="s">
        <v>21</v>
      </c>
      <c r="D573" s="35">
        <v>44534</v>
      </c>
      <c r="G573" s="2">
        <v>54855</v>
      </c>
      <c r="K573" s="32">
        <f>_xlfn.MAXIFS(ConsumoConcreto[Fim do Bombeamento],ConsumoConcreto[RecebimentoID],RecebimentoConcreto[[#This Row],[RecebimentoID]])</f>
        <v>0</v>
      </c>
      <c r="M573" s="37">
        <v>36892</v>
      </c>
      <c r="N573" s="5" t="s">
        <v>1801</v>
      </c>
      <c r="O573" s="9">
        <v>5.5</v>
      </c>
      <c r="P573" s="5" t="s">
        <v>26</v>
      </c>
      <c r="Q573" s="2"/>
      <c r="R573" s="5" t="s">
        <v>27</v>
      </c>
      <c r="S573" s="5" t="s">
        <v>28</v>
      </c>
      <c r="T573" s="39">
        <v>390</v>
      </c>
    </row>
    <row r="574" spans="1:20" ht="20.100000000000001" hidden="1" customHeight="1" x14ac:dyDescent="0.25">
      <c r="A574" s="26" t="str">
        <f>CONCATENATE(RIGHT(LEFT(RecebimentoConcreto[[#This Row],[Obra]],5),4),"RCBC",TEXT(RecebimentoConcreto[[#This Row],[Ordem]],"0000"))</f>
        <v>0184RCBC0027</v>
      </c>
      <c r="B574" s="1">
        <v>27</v>
      </c>
      <c r="C574" s="1" t="s">
        <v>21</v>
      </c>
      <c r="D574" s="35">
        <v>44534</v>
      </c>
      <c r="G574" s="2">
        <v>54855</v>
      </c>
      <c r="K574" s="32">
        <f>_xlfn.MAXIFS(ConsumoConcreto[Fim do Bombeamento],ConsumoConcreto[RecebimentoID],RecebimentoConcreto[[#This Row],[RecebimentoID]])</f>
        <v>0</v>
      </c>
      <c r="M574" s="37">
        <v>36892</v>
      </c>
      <c r="N574" s="5" t="s">
        <v>1801</v>
      </c>
      <c r="O574" s="9">
        <v>5.5</v>
      </c>
      <c r="P574" s="5" t="s">
        <v>26</v>
      </c>
      <c r="Q574" s="2"/>
      <c r="R574" s="5" t="s">
        <v>27</v>
      </c>
      <c r="S574" s="5" t="s">
        <v>28</v>
      </c>
      <c r="T574" s="39">
        <v>390</v>
      </c>
    </row>
    <row r="575" spans="1:20" ht="20.100000000000001" hidden="1" customHeight="1" x14ac:dyDescent="0.25">
      <c r="A575" s="26" t="str">
        <f>CONCATENATE(RIGHT(LEFT(RecebimentoConcreto[[#This Row],[Obra]],5),4),"RCBC",TEXT(RecebimentoConcreto[[#This Row],[Ordem]],"0000"))</f>
        <v>0184RCBC0028</v>
      </c>
      <c r="B575" s="1">
        <v>28</v>
      </c>
      <c r="C575" s="1" t="s">
        <v>21</v>
      </c>
      <c r="D575" s="35">
        <v>44534</v>
      </c>
      <c r="G575" s="2">
        <v>54855</v>
      </c>
      <c r="K575" s="32">
        <f>_xlfn.MAXIFS(ConsumoConcreto[Fim do Bombeamento],ConsumoConcreto[RecebimentoID],RecebimentoConcreto[[#This Row],[RecebimentoID]])</f>
        <v>0</v>
      </c>
      <c r="M575" s="37">
        <v>36892</v>
      </c>
      <c r="N575" s="5" t="s">
        <v>1801</v>
      </c>
      <c r="O575" s="9">
        <v>7</v>
      </c>
      <c r="P575" s="5" t="s">
        <v>26</v>
      </c>
      <c r="Q575" s="2"/>
      <c r="R575" s="5" t="s">
        <v>27</v>
      </c>
      <c r="S575" s="5" t="s">
        <v>28</v>
      </c>
      <c r="T575" s="39">
        <v>390</v>
      </c>
    </row>
    <row r="576" spans="1:20" ht="20.100000000000001" hidden="1" customHeight="1" x14ac:dyDescent="0.25">
      <c r="A576" s="26" t="str">
        <f>CONCATENATE(RIGHT(LEFT(RecebimentoConcreto[[#This Row],[Obra]],5),4),"RCBC",TEXT(RecebimentoConcreto[[#This Row],[Ordem]],"0000"))</f>
        <v>0184RCBC0029</v>
      </c>
      <c r="B576" s="1">
        <v>29</v>
      </c>
      <c r="C576" s="1" t="s">
        <v>21</v>
      </c>
      <c r="D576" s="35">
        <v>44536</v>
      </c>
      <c r="G576" s="2">
        <v>54855</v>
      </c>
      <c r="K576" s="32">
        <f>_xlfn.MAXIFS(ConsumoConcreto[Fim do Bombeamento],ConsumoConcreto[RecebimentoID],RecebimentoConcreto[[#This Row],[RecebimentoID]])</f>
        <v>0</v>
      </c>
      <c r="M576" s="37">
        <v>36892</v>
      </c>
      <c r="N576" s="5" t="s">
        <v>1801</v>
      </c>
      <c r="O576" s="9">
        <v>5.5</v>
      </c>
      <c r="P576" s="5" t="s">
        <v>26</v>
      </c>
      <c r="Q576" s="2"/>
      <c r="R576" s="5" t="s">
        <v>27</v>
      </c>
      <c r="S576" s="5" t="s">
        <v>28</v>
      </c>
      <c r="T576" s="39">
        <v>390</v>
      </c>
    </row>
    <row r="577" spans="1:20" ht="20.100000000000001" hidden="1" customHeight="1" x14ac:dyDescent="0.25">
      <c r="A577" s="26" t="str">
        <f>CONCATENATE(RIGHT(LEFT(RecebimentoConcreto[[#This Row],[Obra]],5),4),"RCBC",TEXT(RecebimentoConcreto[[#This Row],[Ordem]],"0000"))</f>
        <v>0184RCBC0030</v>
      </c>
      <c r="B577" s="1">
        <v>30</v>
      </c>
      <c r="C577" s="1" t="s">
        <v>21</v>
      </c>
      <c r="D577" s="35">
        <v>44536</v>
      </c>
      <c r="G577" s="2">
        <v>54855</v>
      </c>
      <c r="K577" s="32">
        <f>_xlfn.MAXIFS(ConsumoConcreto[Fim do Bombeamento],ConsumoConcreto[RecebimentoID],RecebimentoConcreto[[#This Row],[RecebimentoID]])</f>
        <v>0</v>
      </c>
      <c r="M577" s="37">
        <v>36892</v>
      </c>
      <c r="N577" s="5" t="s">
        <v>1801</v>
      </c>
      <c r="O577" s="9">
        <v>5.5</v>
      </c>
      <c r="P577" s="5" t="s">
        <v>26</v>
      </c>
      <c r="Q577" s="2"/>
      <c r="R577" s="5" t="s">
        <v>27</v>
      </c>
      <c r="S577" s="5" t="s">
        <v>28</v>
      </c>
      <c r="T577" s="39">
        <v>390</v>
      </c>
    </row>
    <row r="578" spans="1:20" ht="20.100000000000001" hidden="1" customHeight="1" x14ac:dyDescent="0.25">
      <c r="A578" s="26" t="str">
        <f>CONCATENATE(RIGHT(LEFT(RecebimentoConcreto[[#This Row],[Obra]],5),4),"RCBC",TEXT(RecebimentoConcreto[[#This Row],[Ordem]],"0000"))</f>
        <v>0184RCBC0031</v>
      </c>
      <c r="B578" s="1">
        <v>31</v>
      </c>
      <c r="C578" s="1" t="s">
        <v>21</v>
      </c>
      <c r="D578" s="35">
        <v>44536</v>
      </c>
      <c r="G578" s="2">
        <v>54855</v>
      </c>
      <c r="K578" s="32">
        <f>_xlfn.MAXIFS(ConsumoConcreto[Fim do Bombeamento],ConsumoConcreto[RecebimentoID],RecebimentoConcreto[[#This Row],[RecebimentoID]])</f>
        <v>0</v>
      </c>
      <c r="M578" s="37">
        <v>36892</v>
      </c>
      <c r="N578" s="5" t="s">
        <v>1801</v>
      </c>
      <c r="O578" s="9">
        <v>5.5</v>
      </c>
      <c r="P578" s="5" t="s">
        <v>26</v>
      </c>
      <c r="Q578" s="2"/>
      <c r="R578" s="5" t="s">
        <v>27</v>
      </c>
      <c r="S578" s="5" t="s">
        <v>28</v>
      </c>
      <c r="T578" s="39">
        <v>390</v>
      </c>
    </row>
    <row r="579" spans="1:20" ht="20.100000000000001" hidden="1" customHeight="1" x14ac:dyDescent="0.25">
      <c r="A579" s="26" t="str">
        <f>CONCATENATE(RIGHT(LEFT(RecebimentoConcreto[[#This Row],[Obra]],5),4),"RCBC",TEXT(RecebimentoConcreto[[#This Row],[Ordem]],"0000"))</f>
        <v>0184RCBC0032</v>
      </c>
      <c r="B579" s="1">
        <v>32</v>
      </c>
      <c r="C579" s="1" t="s">
        <v>21</v>
      </c>
      <c r="D579" s="35">
        <v>44536</v>
      </c>
      <c r="G579" s="2">
        <v>54855</v>
      </c>
      <c r="K579" s="32">
        <f>_xlfn.MAXIFS(ConsumoConcreto[Fim do Bombeamento],ConsumoConcreto[RecebimentoID],RecebimentoConcreto[[#This Row],[RecebimentoID]])</f>
        <v>0</v>
      </c>
      <c r="M579" s="37">
        <v>36892</v>
      </c>
      <c r="N579" s="5" t="s">
        <v>1801</v>
      </c>
      <c r="O579" s="9">
        <v>5.5</v>
      </c>
      <c r="P579" s="5" t="s">
        <v>26</v>
      </c>
      <c r="Q579" s="2"/>
      <c r="R579" s="5" t="s">
        <v>27</v>
      </c>
      <c r="S579" s="5" t="s">
        <v>28</v>
      </c>
      <c r="T579" s="39">
        <v>390</v>
      </c>
    </row>
    <row r="580" spans="1:20" ht="20.100000000000001" hidden="1" customHeight="1" x14ac:dyDescent="0.25">
      <c r="A580" s="26" t="str">
        <f>CONCATENATE(RIGHT(LEFT(RecebimentoConcreto[[#This Row],[Obra]],5),4),"RCBC",TEXT(RecebimentoConcreto[[#This Row],[Ordem]],"0000"))</f>
        <v>0184RCBC0033</v>
      </c>
      <c r="B580" s="1">
        <v>33</v>
      </c>
      <c r="C580" s="1" t="s">
        <v>21</v>
      </c>
      <c r="D580" s="35">
        <v>44536</v>
      </c>
      <c r="G580" s="2">
        <v>54855</v>
      </c>
      <c r="K580" s="32">
        <f>_xlfn.MAXIFS(ConsumoConcreto[Fim do Bombeamento],ConsumoConcreto[RecebimentoID],RecebimentoConcreto[[#This Row],[RecebimentoID]])</f>
        <v>0</v>
      </c>
      <c r="M580" s="37">
        <v>36892</v>
      </c>
      <c r="N580" s="5" t="s">
        <v>1801</v>
      </c>
      <c r="O580" s="9">
        <v>7</v>
      </c>
      <c r="P580" s="5" t="s">
        <v>26</v>
      </c>
      <c r="Q580" s="2"/>
      <c r="R580" s="5" t="s">
        <v>27</v>
      </c>
      <c r="S580" s="5" t="s">
        <v>28</v>
      </c>
      <c r="T580" s="39">
        <v>390</v>
      </c>
    </row>
    <row r="581" spans="1:20" ht="20.100000000000001" hidden="1" customHeight="1" x14ac:dyDescent="0.25">
      <c r="A581" s="26" t="str">
        <f>CONCATENATE(RIGHT(LEFT(RecebimentoConcreto[[#This Row],[Obra]],5),4),"RCBC",TEXT(RecebimentoConcreto[[#This Row],[Ordem]],"0000"))</f>
        <v>0184RCBC0034</v>
      </c>
      <c r="B581" s="1">
        <v>34</v>
      </c>
      <c r="C581" s="1" t="s">
        <v>21</v>
      </c>
      <c r="D581" s="35">
        <v>44536</v>
      </c>
      <c r="G581" s="2">
        <v>54855</v>
      </c>
      <c r="K581" s="32">
        <f>_xlfn.MAXIFS(ConsumoConcreto[Fim do Bombeamento],ConsumoConcreto[RecebimentoID],RecebimentoConcreto[[#This Row],[RecebimentoID]])</f>
        <v>0</v>
      </c>
      <c r="M581" s="37">
        <v>36892</v>
      </c>
      <c r="N581" s="5" t="s">
        <v>1801</v>
      </c>
      <c r="O581" s="9">
        <v>5.5</v>
      </c>
      <c r="P581" s="5" t="s">
        <v>26</v>
      </c>
      <c r="Q581" s="2"/>
      <c r="R581" s="5" t="s">
        <v>27</v>
      </c>
      <c r="S581" s="5" t="s">
        <v>28</v>
      </c>
      <c r="T581" s="39">
        <v>390</v>
      </c>
    </row>
    <row r="582" spans="1:20" ht="20.100000000000001" hidden="1" customHeight="1" x14ac:dyDescent="0.25">
      <c r="A582" s="26" t="str">
        <f>CONCATENATE(RIGHT(LEFT(RecebimentoConcreto[[#This Row],[Obra]],5),4),"RCBC",TEXT(RecebimentoConcreto[[#This Row],[Ordem]],"0000"))</f>
        <v>0184RCBC0035</v>
      </c>
      <c r="B582" s="1">
        <v>35</v>
      </c>
      <c r="C582" s="1" t="s">
        <v>21</v>
      </c>
      <c r="D582" s="35">
        <v>44537</v>
      </c>
      <c r="G582" s="2">
        <v>54855</v>
      </c>
      <c r="K582" s="32">
        <f>_xlfn.MAXIFS(ConsumoConcreto[Fim do Bombeamento],ConsumoConcreto[RecebimentoID],RecebimentoConcreto[[#This Row],[RecebimentoID]])</f>
        <v>0</v>
      </c>
      <c r="M582" s="37">
        <v>36892</v>
      </c>
      <c r="N582" s="5" t="s">
        <v>1801</v>
      </c>
      <c r="O582" s="9">
        <v>5.5</v>
      </c>
      <c r="P582" s="5" t="s">
        <v>26</v>
      </c>
      <c r="Q582" s="2"/>
      <c r="R582" s="5" t="s">
        <v>27</v>
      </c>
      <c r="S582" s="5" t="s">
        <v>28</v>
      </c>
      <c r="T582" s="39">
        <v>390</v>
      </c>
    </row>
    <row r="583" spans="1:20" ht="20.100000000000001" hidden="1" customHeight="1" x14ac:dyDescent="0.25">
      <c r="A583" s="26" t="str">
        <f>CONCATENATE(RIGHT(LEFT(RecebimentoConcreto[[#This Row],[Obra]],5),4),"RCBC",TEXT(RecebimentoConcreto[[#This Row],[Ordem]],"0000"))</f>
        <v>0184RCBC0036</v>
      </c>
      <c r="B583" s="1">
        <v>36</v>
      </c>
      <c r="C583" s="1" t="s">
        <v>21</v>
      </c>
      <c r="D583" s="35">
        <v>44537</v>
      </c>
      <c r="G583" s="2">
        <v>54855</v>
      </c>
      <c r="K583" s="32">
        <f>_xlfn.MAXIFS(ConsumoConcreto[Fim do Bombeamento],ConsumoConcreto[RecebimentoID],RecebimentoConcreto[[#This Row],[RecebimentoID]])</f>
        <v>0</v>
      </c>
      <c r="M583" s="37">
        <v>36892</v>
      </c>
      <c r="N583" s="5" t="s">
        <v>1801</v>
      </c>
      <c r="O583" s="9">
        <v>5.5</v>
      </c>
      <c r="P583" s="5" t="s">
        <v>26</v>
      </c>
      <c r="Q583" s="2"/>
      <c r="R583" s="5" t="s">
        <v>27</v>
      </c>
      <c r="S583" s="5" t="s">
        <v>28</v>
      </c>
      <c r="T583" s="39">
        <v>390</v>
      </c>
    </row>
    <row r="584" spans="1:20" ht="20.100000000000001" hidden="1" customHeight="1" x14ac:dyDescent="0.25">
      <c r="A584" s="26" t="str">
        <f>CONCATENATE(RIGHT(LEFT(RecebimentoConcreto[[#This Row],[Obra]],5),4),"RCBC",TEXT(RecebimentoConcreto[[#This Row],[Ordem]],"0000"))</f>
        <v>0184RCBC0037</v>
      </c>
      <c r="B584" s="1">
        <v>37</v>
      </c>
      <c r="C584" s="1" t="s">
        <v>21</v>
      </c>
      <c r="D584" s="35">
        <v>44537</v>
      </c>
      <c r="G584" s="2">
        <v>54855</v>
      </c>
      <c r="K584" s="32">
        <f>_xlfn.MAXIFS(ConsumoConcreto[Fim do Bombeamento],ConsumoConcreto[RecebimentoID],RecebimentoConcreto[[#This Row],[RecebimentoID]])</f>
        <v>0</v>
      </c>
      <c r="M584" s="37">
        <v>36892</v>
      </c>
      <c r="N584" s="5" t="s">
        <v>1801</v>
      </c>
      <c r="O584" s="9">
        <v>5.5</v>
      </c>
      <c r="P584" s="5" t="s">
        <v>26</v>
      </c>
      <c r="Q584" s="2"/>
      <c r="R584" s="5" t="s">
        <v>27</v>
      </c>
      <c r="S584" s="5" t="s">
        <v>28</v>
      </c>
      <c r="T584" s="39">
        <v>390</v>
      </c>
    </row>
    <row r="585" spans="1:20" ht="20.100000000000001" hidden="1" customHeight="1" x14ac:dyDescent="0.25">
      <c r="A585" s="26" t="str">
        <f>CONCATENATE(RIGHT(LEFT(RecebimentoConcreto[[#This Row],[Obra]],5),4),"RCBC",TEXT(RecebimentoConcreto[[#This Row],[Ordem]],"0000"))</f>
        <v>0184RCBC0038</v>
      </c>
      <c r="B585" s="1">
        <v>38</v>
      </c>
      <c r="C585" s="1" t="s">
        <v>21</v>
      </c>
      <c r="D585" s="35">
        <v>44537</v>
      </c>
      <c r="G585" s="2">
        <v>54855</v>
      </c>
      <c r="K585" s="32">
        <f>_xlfn.MAXIFS(ConsumoConcreto[Fim do Bombeamento],ConsumoConcreto[RecebimentoID],RecebimentoConcreto[[#This Row],[RecebimentoID]])</f>
        <v>0</v>
      </c>
      <c r="M585" s="37">
        <v>36892</v>
      </c>
      <c r="N585" s="5" t="s">
        <v>1801</v>
      </c>
      <c r="O585" s="9">
        <v>5.5</v>
      </c>
      <c r="P585" s="5" t="s">
        <v>26</v>
      </c>
      <c r="Q585" s="2"/>
      <c r="R585" s="5" t="s">
        <v>27</v>
      </c>
      <c r="S585" s="5" t="s">
        <v>28</v>
      </c>
      <c r="T585" s="39">
        <v>390</v>
      </c>
    </row>
    <row r="586" spans="1:20" ht="20.100000000000001" hidden="1" customHeight="1" x14ac:dyDescent="0.25">
      <c r="A586" s="26" t="str">
        <f>CONCATENATE(RIGHT(LEFT(RecebimentoConcreto[[#This Row],[Obra]],5),4),"RCBC",TEXT(RecebimentoConcreto[[#This Row],[Ordem]],"0000"))</f>
        <v>0184RCBC0039</v>
      </c>
      <c r="B586" s="1">
        <v>39</v>
      </c>
      <c r="C586" s="1" t="s">
        <v>21</v>
      </c>
      <c r="D586" s="35">
        <v>44537</v>
      </c>
      <c r="G586" s="2">
        <v>54855</v>
      </c>
      <c r="K586" s="32">
        <f>_xlfn.MAXIFS(ConsumoConcreto[Fim do Bombeamento],ConsumoConcreto[RecebimentoID],RecebimentoConcreto[[#This Row],[RecebimentoID]])</f>
        <v>0</v>
      </c>
      <c r="M586" s="37">
        <v>36892</v>
      </c>
      <c r="N586" s="5" t="s">
        <v>1801</v>
      </c>
      <c r="O586" s="9">
        <v>5.5</v>
      </c>
      <c r="P586" s="5" t="s">
        <v>26</v>
      </c>
      <c r="Q586" s="2"/>
      <c r="R586" s="5" t="s">
        <v>27</v>
      </c>
      <c r="S586" s="5" t="s">
        <v>28</v>
      </c>
      <c r="T586" s="39">
        <v>390</v>
      </c>
    </row>
    <row r="587" spans="1:20" ht="20.100000000000001" hidden="1" customHeight="1" x14ac:dyDescent="0.25">
      <c r="A587" s="26" t="str">
        <f>CONCATENATE(RIGHT(LEFT(RecebimentoConcreto[[#This Row],[Obra]],5),4),"RCBC",TEXT(RecebimentoConcreto[[#This Row],[Ordem]],"0000"))</f>
        <v>0184RCBC0040</v>
      </c>
      <c r="B587" s="1">
        <v>40</v>
      </c>
      <c r="C587" s="1" t="s">
        <v>21</v>
      </c>
      <c r="D587" s="35">
        <v>44537</v>
      </c>
      <c r="G587" s="2">
        <v>54855</v>
      </c>
      <c r="K587" s="32">
        <f>_xlfn.MAXIFS(ConsumoConcreto[Fim do Bombeamento],ConsumoConcreto[RecebimentoID],RecebimentoConcreto[[#This Row],[RecebimentoID]])</f>
        <v>0</v>
      </c>
      <c r="M587" s="37">
        <v>36892</v>
      </c>
      <c r="N587" s="5" t="s">
        <v>1801</v>
      </c>
      <c r="O587" s="9">
        <v>5.5</v>
      </c>
      <c r="P587" s="5" t="s">
        <v>26</v>
      </c>
      <c r="Q587" s="2"/>
      <c r="R587" s="5" t="s">
        <v>27</v>
      </c>
      <c r="S587" s="5" t="s">
        <v>28</v>
      </c>
      <c r="T587" s="39">
        <v>390</v>
      </c>
    </row>
    <row r="588" spans="1:20" ht="20.100000000000001" hidden="1" customHeight="1" x14ac:dyDescent="0.25">
      <c r="A588" s="26" t="str">
        <f>CONCATENATE(RIGHT(LEFT(RecebimentoConcreto[[#This Row],[Obra]],5),4),"RCBC",TEXT(RecebimentoConcreto[[#This Row],[Ordem]],"0000"))</f>
        <v>0184RCBC0041</v>
      </c>
      <c r="B588" s="1">
        <v>41</v>
      </c>
      <c r="C588" s="1" t="s">
        <v>21</v>
      </c>
      <c r="D588" s="35">
        <v>44537</v>
      </c>
      <c r="G588" s="2">
        <v>54855</v>
      </c>
      <c r="K588" s="32">
        <f>_xlfn.MAXIFS(ConsumoConcreto[Fim do Bombeamento],ConsumoConcreto[RecebimentoID],RecebimentoConcreto[[#This Row],[RecebimentoID]])</f>
        <v>0</v>
      </c>
      <c r="M588" s="37">
        <v>36892</v>
      </c>
      <c r="N588" s="5" t="s">
        <v>1801</v>
      </c>
      <c r="O588" s="9">
        <v>5.5</v>
      </c>
      <c r="P588" s="5" t="s">
        <v>26</v>
      </c>
      <c r="Q588" s="2"/>
      <c r="R588" s="5" t="s">
        <v>27</v>
      </c>
      <c r="S588" s="5" t="s">
        <v>28</v>
      </c>
      <c r="T588" s="39">
        <v>390</v>
      </c>
    </row>
    <row r="589" spans="1:20" ht="20.100000000000001" hidden="1" customHeight="1" x14ac:dyDescent="0.25">
      <c r="A589" s="26" t="str">
        <f>CONCATENATE(RIGHT(LEFT(RecebimentoConcreto[[#This Row],[Obra]],5),4),"RCBC",TEXT(RecebimentoConcreto[[#This Row],[Ordem]],"0000"))</f>
        <v>0184RCBC0042</v>
      </c>
      <c r="B589" s="1">
        <v>42</v>
      </c>
      <c r="C589" s="1" t="s">
        <v>21</v>
      </c>
      <c r="D589" s="35">
        <v>44537</v>
      </c>
      <c r="G589" s="2">
        <v>54855</v>
      </c>
      <c r="K589" s="32">
        <f>_xlfn.MAXIFS(ConsumoConcreto[Fim do Bombeamento],ConsumoConcreto[RecebimentoID],RecebimentoConcreto[[#This Row],[RecebimentoID]])</f>
        <v>0</v>
      </c>
      <c r="M589" s="37">
        <v>36892</v>
      </c>
      <c r="N589" s="5" t="s">
        <v>1801</v>
      </c>
      <c r="O589" s="9">
        <v>5.5</v>
      </c>
      <c r="P589" s="5" t="s">
        <v>26</v>
      </c>
      <c r="Q589" s="2"/>
      <c r="R589" s="5" t="s">
        <v>27</v>
      </c>
      <c r="S589" s="5" t="s">
        <v>28</v>
      </c>
      <c r="T589" s="39">
        <v>390</v>
      </c>
    </row>
    <row r="590" spans="1:20" ht="20.100000000000001" hidden="1" customHeight="1" x14ac:dyDescent="0.25">
      <c r="A590" s="26" t="str">
        <f>CONCATENATE(RIGHT(LEFT(RecebimentoConcreto[[#This Row],[Obra]],5),4),"RCBC",TEXT(RecebimentoConcreto[[#This Row],[Ordem]],"0000"))</f>
        <v>0184RCBC0043</v>
      </c>
      <c r="B590" s="1">
        <v>43</v>
      </c>
      <c r="C590" s="1" t="s">
        <v>21</v>
      </c>
      <c r="D590" s="35">
        <v>44537</v>
      </c>
      <c r="G590" s="2">
        <v>54855</v>
      </c>
      <c r="K590" s="32">
        <f>_xlfn.MAXIFS(ConsumoConcreto[Fim do Bombeamento],ConsumoConcreto[RecebimentoID],RecebimentoConcreto[[#This Row],[RecebimentoID]])</f>
        <v>0</v>
      </c>
      <c r="M590" s="37">
        <v>36892</v>
      </c>
      <c r="N590" s="5" t="s">
        <v>1801</v>
      </c>
      <c r="O590" s="9">
        <v>7.5</v>
      </c>
      <c r="P590" s="5" t="s">
        <v>26</v>
      </c>
      <c r="Q590" s="2"/>
      <c r="R590" s="5" t="s">
        <v>27</v>
      </c>
      <c r="S590" s="5" t="s">
        <v>28</v>
      </c>
      <c r="T590" s="39">
        <v>390</v>
      </c>
    </row>
    <row r="591" spans="1:20" ht="20.100000000000001" hidden="1" customHeight="1" x14ac:dyDescent="0.25">
      <c r="A591" s="26" t="str">
        <f>CONCATENATE(RIGHT(LEFT(RecebimentoConcreto[[#This Row],[Obra]],5),4),"RCBC",TEXT(RecebimentoConcreto[[#This Row],[Ordem]],"0000"))</f>
        <v>0184RCBC0044</v>
      </c>
      <c r="B591" s="1">
        <v>44</v>
      </c>
      <c r="C591" s="1" t="s">
        <v>21</v>
      </c>
      <c r="D591" s="35">
        <v>44538</v>
      </c>
      <c r="G591" s="2">
        <v>54855</v>
      </c>
      <c r="K591" s="32">
        <f>_xlfn.MAXIFS(ConsumoConcreto[Fim do Bombeamento],ConsumoConcreto[RecebimentoID],RecebimentoConcreto[[#This Row],[RecebimentoID]])</f>
        <v>0</v>
      </c>
      <c r="M591" s="37">
        <v>36892</v>
      </c>
      <c r="N591" s="5" t="s">
        <v>1801</v>
      </c>
      <c r="O591" s="9">
        <v>5.5</v>
      </c>
      <c r="P591" s="5" t="s">
        <v>26</v>
      </c>
      <c r="Q591" s="2"/>
      <c r="R591" s="5" t="s">
        <v>27</v>
      </c>
      <c r="S591" s="5" t="s">
        <v>28</v>
      </c>
      <c r="T591" s="39">
        <v>390</v>
      </c>
    </row>
    <row r="592" spans="1:20" ht="20.100000000000001" hidden="1" customHeight="1" x14ac:dyDescent="0.25">
      <c r="A592" s="26" t="str">
        <f>CONCATENATE(RIGHT(LEFT(RecebimentoConcreto[[#This Row],[Obra]],5),4),"RCBC",TEXT(RecebimentoConcreto[[#This Row],[Ordem]],"0000"))</f>
        <v>0184RCBC0045</v>
      </c>
      <c r="B592" s="1">
        <v>45</v>
      </c>
      <c r="C592" s="1" t="s">
        <v>21</v>
      </c>
      <c r="D592" s="35">
        <v>44538</v>
      </c>
      <c r="G592" s="2">
        <v>54855</v>
      </c>
      <c r="K592" s="32">
        <f>_xlfn.MAXIFS(ConsumoConcreto[Fim do Bombeamento],ConsumoConcreto[RecebimentoID],RecebimentoConcreto[[#This Row],[RecebimentoID]])</f>
        <v>0</v>
      </c>
      <c r="M592" s="37">
        <v>36892</v>
      </c>
      <c r="N592" s="5" t="s">
        <v>1801</v>
      </c>
      <c r="O592" s="9">
        <v>5.5</v>
      </c>
      <c r="P592" s="5" t="s">
        <v>26</v>
      </c>
      <c r="Q592" s="2"/>
      <c r="R592" s="5" t="s">
        <v>27</v>
      </c>
      <c r="S592" s="5" t="s">
        <v>28</v>
      </c>
      <c r="T592" s="39">
        <v>390</v>
      </c>
    </row>
    <row r="593" spans="1:20" ht="20.100000000000001" hidden="1" customHeight="1" x14ac:dyDescent="0.25">
      <c r="A593" s="26" t="str">
        <f>CONCATENATE(RIGHT(LEFT(RecebimentoConcreto[[#This Row],[Obra]],5),4),"RCBC",TEXT(RecebimentoConcreto[[#This Row],[Ordem]],"0000"))</f>
        <v>0184RCBC0046</v>
      </c>
      <c r="B593" s="1">
        <v>46</v>
      </c>
      <c r="C593" s="1" t="s">
        <v>21</v>
      </c>
      <c r="D593" s="35">
        <v>44538</v>
      </c>
      <c r="G593" s="2">
        <v>54855</v>
      </c>
      <c r="K593" s="32">
        <f>_xlfn.MAXIFS(ConsumoConcreto[Fim do Bombeamento],ConsumoConcreto[RecebimentoID],RecebimentoConcreto[[#This Row],[RecebimentoID]])</f>
        <v>0</v>
      </c>
      <c r="M593" s="37">
        <v>36892</v>
      </c>
      <c r="N593" s="5" t="s">
        <v>1801</v>
      </c>
      <c r="O593" s="9">
        <v>5.5</v>
      </c>
      <c r="P593" s="5" t="s">
        <v>26</v>
      </c>
      <c r="Q593" s="2"/>
      <c r="R593" s="5" t="s">
        <v>27</v>
      </c>
      <c r="S593" s="5" t="s">
        <v>28</v>
      </c>
      <c r="T593" s="39">
        <v>390</v>
      </c>
    </row>
    <row r="594" spans="1:20" ht="20.100000000000001" hidden="1" customHeight="1" x14ac:dyDescent="0.25">
      <c r="A594" s="26" t="str">
        <f>CONCATENATE(RIGHT(LEFT(RecebimentoConcreto[[#This Row],[Obra]],5),4),"RCBC",TEXT(RecebimentoConcreto[[#This Row],[Ordem]],"0000"))</f>
        <v>0184RCBC0047</v>
      </c>
      <c r="B594" s="1">
        <v>47</v>
      </c>
      <c r="C594" s="1" t="s">
        <v>21</v>
      </c>
      <c r="D594" s="35">
        <v>44538</v>
      </c>
      <c r="G594" s="2">
        <v>54855</v>
      </c>
      <c r="K594" s="32">
        <f>_xlfn.MAXIFS(ConsumoConcreto[Fim do Bombeamento],ConsumoConcreto[RecebimentoID],RecebimentoConcreto[[#This Row],[RecebimentoID]])</f>
        <v>0</v>
      </c>
      <c r="M594" s="37">
        <v>36892</v>
      </c>
      <c r="N594" s="5" t="s">
        <v>1801</v>
      </c>
      <c r="O594" s="9">
        <v>5.5</v>
      </c>
      <c r="P594" s="5" t="s">
        <v>26</v>
      </c>
      <c r="Q594" s="2"/>
      <c r="R594" s="5" t="s">
        <v>27</v>
      </c>
      <c r="S594" s="5" t="s">
        <v>28</v>
      </c>
      <c r="T594" s="39">
        <v>390</v>
      </c>
    </row>
    <row r="595" spans="1:20" ht="20.100000000000001" hidden="1" customHeight="1" x14ac:dyDescent="0.25">
      <c r="A595" s="26" t="str">
        <f>CONCATENATE(RIGHT(LEFT(RecebimentoConcreto[[#This Row],[Obra]],5),4),"RCBC",TEXT(RecebimentoConcreto[[#This Row],[Ordem]],"0000"))</f>
        <v>0184RCBC0048</v>
      </c>
      <c r="B595" s="1">
        <v>48</v>
      </c>
      <c r="C595" s="1" t="s">
        <v>21</v>
      </c>
      <c r="D595" s="35">
        <v>44538</v>
      </c>
      <c r="G595" s="2">
        <v>54855</v>
      </c>
      <c r="K595" s="32">
        <f>_xlfn.MAXIFS(ConsumoConcreto[Fim do Bombeamento],ConsumoConcreto[RecebimentoID],RecebimentoConcreto[[#This Row],[RecebimentoID]])</f>
        <v>0</v>
      </c>
      <c r="M595" s="37">
        <v>36892</v>
      </c>
      <c r="N595" s="5" t="s">
        <v>1801</v>
      </c>
      <c r="O595" s="9">
        <v>5.5</v>
      </c>
      <c r="P595" s="5" t="s">
        <v>26</v>
      </c>
      <c r="Q595" s="2"/>
      <c r="R595" s="5" t="s">
        <v>27</v>
      </c>
      <c r="S595" s="5" t="s">
        <v>28</v>
      </c>
      <c r="T595" s="39">
        <v>390</v>
      </c>
    </row>
    <row r="596" spans="1:20" ht="20.100000000000001" hidden="1" customHeight="1" x14ac:dyDescent="0.25">
      <c r="A596" s="26" t="str">
        <f>CONCATENATE(RIGHT(LEFT(RecebimentoConcreto[[#This Row],[Obra]],5),4),"RCBC",TEXT(RecebimentoConcreto[[#This Row],[Ordem]],"0000"))</f>
        <v>0184RCBC0080</v>
      </c>
      <c r="B596" s="1">
        <v>80</v>
      </c>
      <c r="C596" s="1" t="s">
        <v>21</v>
      </c>
      <c r="D596" s="35">
        <v>44740</v>
      </c>
      <c r="E596" s="1" t="s">
        <v>38</v>
      </c>
      <c r="F596" s="2">
        <v>15558</v>
      </c>
      <c r="G596" s="2">
        <v>5408</v>
      </c>
      <c r="H596" s="2">
        <v>15260</v>
      </c>
      <c r="K596" s="32">
        <f>_xlfn.MAXIFS(ConsumoConcreto[Fim do Bombeamento],ConsumoConcreto[RecebimentoID],RecebimentoConcreto[[#This Row],[RecebimentoID]])</f>
        <v>0</v>
      </c>
      <c r="M596" s="37">
        <v>36892</v>
      </c>
      <c r="N596" s="5" t="s">
        <v>1801</v>
      </c>
      <c r="O596" s="9">
        <v>0.25</v>
      </c>
      <c r="P596" s="5" t="s">
        <v>26</v>
      </c>
      <c r="Q596" s="2">
        <v>3</v>
      </c>
      <c r="R596" s="5" t="s">
        <v>27</v>
      </c>
      <c r="S596" s="5" t="s">
        <v>32</v>
      </c>
      <c r="T596" s="39">
        <v>460</v>
      </c>
    </row>
    <row r="597" spans="1:20" ht="20.100000000000001" hidden="1" customHeight="1" x14ac:dyDescent="0.25">
      <c r="A597" s="26" t="str">
        <f>CONCATENATE(RIGHT(LEFT(RecebimentoConcreto[[#This Row],[Obra]],5),4),"RCBC",TEXT(RecebimentoConcreto[[#This Row],[Ordem]],"0000"))</f>
        <v>0184RCBC0081</v>
      </c>
      <c r="B597" s="1">
        <v>81</v>
      </c>
      <c r="C597" s="1" t="s">
        <v>21</v>
      </c>
      <c r="D597" s="35">
        <v>44740</v>
      </c>
      <c r="E597" s="1" t="s">
        <v>38</v>
      </c>
      <c r="F597" s="2">
        <v>15558</v>
      </c>
      <c r="G597" s="2">
        <v>5408</v>
      </c>
      <c r="H597" s="2">
        <v>15260</v>
      </c>
      <c r="K597" s="32">
        <f>_xlfn.MAXIFS(ConsumoConcreto[Fim do Bombeamento],ConsumoConcreto[RecebimentoID],RecebimentoConcreto[[#This Row],[RecebimentoID]])</f>
        <v>0</v>
      </c>
      <c r="M597" s="37">
        <v>36892</v>
      </c>
      <c r="N597" s="5" t="s">
        <v>1801</v>
      </c>
      <c r="O597" s="9">
        <v>0.25</v>
      </c>
      <c r="P597" s="5" t="s">
        <v>26</v>
      </c>
      <c r="Q597" s="2">
        <v>3</v>
      </c>
      <c r="R597" s="5" t="s">
        <v>27</v>
      </c>
      <c r="S597" s="5" t="s">
        <v>32</v>
      </c>
      <c r="T597" s="39">
        <v>460</v>
      </c>
    </row>
    <row r="598" spans="1:20" ht="20.100000000000001" hidden="1" customHeight="1" x14ac:dyDescent="0.25">
      <c r="A598" s="26" t="str">
        <f>CONCATENATE(RIGHT(LEFT(RecebimentoConcreto[[#This Row],[Obra]],5),4),"RCBC",TEXT(RecebimentoConcreto[[#This Row],[Ordem]],"0000"))</f>
        <v>0184RCBC0096</v>
      </c>
      <c r="B598" s="1">
        <v>96</v>
      </c>
      <c r="C598" s="1" t="s">
        <v>21</v>
      </c>
      <c r="D598" s="35">
        <v>44538</v>
      </c>
      <c r="K598" s="32">
        <f>_xlfn.MAXIFS(ConsumoConcreto[Fim do Bombeamento],ConsumoConcreto[RecebimentoID],RecebimentoConcreto[[#This Row],[RecebimentoID]])</f>
        <v>0</v>
      </c>
      <c r="M598" s="37">
        <v>36892</v>
      </c>
      <c r="N598" s="5" t="s">
        <v>1801</v>
      </c>
      <c r="O598" s="9">
        <v>5.5</v>
      </c>
      <c r="P598" s="5" t="s">
        <v>26</v>
      </c>
      <c r="Q598" s="2"/>
      <c r="R598" s="5" t="s">
        <v>27</v>
      </c>
      <c r="S598" s="5" t="s">
        <v>28</v>
      </c>
      <c r="T598" s="39">
        <v>390</v>
      </c>
    </row>
    <row r="599" spans="1:20" ht="20.100000000000001" hidden="1" customHeight="1" x14ac:dyDescent="0.25">
      <c r="A599" s="26" t="str">
        <f>CONCATENATE(RIGHT(LEFT(RecebimentoConcreto[[#This Row],[Obra]],5),4),"RCBC",TEXT(RecebimentoConcreto[[#This Row],[Ordem]],"0000"))</f>
        <v>0184RCBC0097</v>
      </c>
      <c r="B599" s="1">
        <v>97</v>
      </c>
      <c r="C599" s="1" t="s">
        <v>21</v>
      </c>
      <c r="D599" s="35">
        <v>44538</v>
      </c>
      <c r="K599" s="32">
        <f>_xlfn.MAXIFS(ConsumoConcreto[Fim do Bombeamento],ConsumoConcreto[RecebimentoID],RecebimentoConcreto[[#This Row],[RecebimentoID]])</f>
        <v>0</v>
      </c>
      <c r="M599" s="37">
        <v>36892</v>
      </c>
      <c r="N599" s="5" t="s">
        <v>1801</v>
      </c>
      <c r="O599" s="9">
        <v>7</v>
      </c>
      <c r="P599" s="5" t="s">
        <v>26</v>
      </c>
      <c r="Q599" s="2"/>
      <c r="R599" s="5" t="s">
        <v>27</v>
      </c>
      <c r="S599" s="5" t="s">
        <v>28</v>
      </c>
      <c r="T599" s="39">
        <v>390</v>
      </c>
    </row>
    <row r="600" spans="1:20" ht="20.100000000000001" hidden="1" customHeight="1" x14ac:dyDescent="0.25">
      <c r="A600" s="26" t="str">
        <f>CONCATENATE(RIGHT(LEFT(RecebimentoConcreto[[#This Row],[Obra]],5),4),"RCBC",TEXT(RecebimentoConcreto[[#This Row],[Ordem]],"0000"))</f>
        <v>0184RCBC0098</v>
      </c>
      <c r="B600" s="1">
        <v>98</v>
      </c>
      <c r="C600" s="1" t="s">
        <v>21</v>
      </c>
      <c r="D600" s="35">
        <v>44539</v>
      </c>
      <c r="E600" s="1" t="s">
        <v>1802</v>
      </c>
      <c r="F600" s="2">
        <v>15755</v>
      </c>
      <c r="G600" s="2">
        <v>55162</v>
      </c>
      <c r="H600" s="2">
        <v>8500</v>
      </c>
      <c r="K600" s="32">
        <f>_xlfn.MAXIFS(ConsumoConcreto[Fim do Bombeamento],ConsumoConcreto[RecebimentoID],RecebimentoConcreto[[#This Row],[RecebimentoID]])</f>
        <v>0</v>
      </c>
      <c r="M600" s="37">
        <v>36892</v>
      </c>
      <c r="N600" s="5" t="s">
        <v>1801</v>
      </c>
      <c r="O600" s="9">
        <v>5.5</v>
      </c>
      <c r="P600" s="5" t="s">
        <v>26</v>
      </c>
      <c r="Q600" s="2"/>
      <c r="R600" s="5" t="s">
        <v>27</v>
      </c>
      <c r="S600" s="5" t="s">
        <v>32</v>
      </c>
      <c r="T600" s="39">
        <v>390</v>
      </c>
    </row>
    <row r="601" spans="1:20" ht="20.100000000000001" hidden="1" customHeight="1" x14ac:dyDescent="0.25">
      <c r="A601" s="26" t="str">
        <f>CONCATENATE(RIGHT(LEFT(RecebimentoConcreto[[#This Row],[Obra]],5),4),"RCBC",TEXT(RecebimentoConcreto[[#This Row],[Ordem]],"0000"))</f>
        <v>0184RCBC0099</v>
      </c>
      <c r="B601" s="1">
        <v>99</v>
      </c>
      <c r="C601" s="1" t="s">
        <v>21</v>
      </c>
      <c r="D601" s="35">
        <v>44539</v>
      </c>
      <c r="E601" s="1" t="s">
        <v>1803</v>
      </c>
      <c r="F601" s="2" t="s">
        <v>1804</v>
      </c>
      <c r="G601" s="2">
        <v>55162</v>
      </c>
      <c r="H601" s="2" t="s">
        <v>1805</v>
      </c>
      <c r="K601" s="32">
        <f>_xlfn.MAXIFS(ConsumoConcreto[Fim do Bombeamento],ConsumoConcreto[RecebimentoID],RecebimentoConcreto[[#This Row],[RecebimentoID]])</f>
        <v>0</v>
      </c>
      <c r="M601" s="37">
        <v>36892</v>
      </c>
      <c r="N601" s="5" t="s">
        <v>1801</v>
      </c>
      <c r="O601" s="9">
        <v>5.5</v>
      </c>
      <c r="P601" s="5" t="s">
        <v>26</v>
      </c>
      <c r="Q601" s="2"/>
      <c r="R601" s="5" t="s">
        <v>27</v>
      </c>
      <c r="S601" s="5" t="s">
        <v>32</v>
      </c>
      <c r="T601" s="39">
        <v>390</v>
      </c>
    </row>
    <row r="602" spans="1:20" ht="20.100000000000001" hidden="1" customHeight="1" x14ac:dyDescent="0.25">
      <c r="A602" s="26" t="str">
        <f>CONCATENATE(RIGHT(LEFT(RecebimentoConcreto[[#This Row],[Obra]],5),4),"RCBC",TEXT(RecebimentoConcreto[[#This Row],[Ordem]],"0000"))</f>
        <v>0184RCBC0100</v>
      </c>
      <c r="B602" s="1">
        <v>100</v>
      </c>
      <c r="C602" s="1" t="s">
        <v>21</v>
      </c>
      <c r="D602" s="35">
        <v>44539</v>
      </c>
      <c r="E602" s="1" t="s">
        <v>106</v>
      </c>
      <c r="F602" s="2">
        <v>15764</v>
      </c>
      <c r="G602" s="2">
        <v>55162</v>
      </c>
      <c r="H602" s="2">
        <v>8508</v>
      </c>
      <c r="K602" s="32">
        <f>_xlfn.MAXIFS(ConsumoConcreto[Fim do Bombeamento],ConsumoConcreto[RecebimentoID],RecebimentoConcreto[[#This Row],[RecebimentoID]])</f>
        <v>0</v>
      </c>
      <c r="M602" s="37">
        <v>36892</v>
      </c>
      <c r="N602" s="5" t="s">
        <v>1801</v>
      </c>
      <c r="O602" s="9">
        <v>5.5</v>
      </c>
      <c r="P602" s="5" t="s">
        <v>26</v>
      </c>
      <c r="Q602" s="2"/>
      <c r="R602" s="5" t="s">
        <v>27</v>
      </c>
      <c r="S602" s="5" t="s">
        <v>32</v>
      </c>
      <c r="T602" s="39">
        <v>390</v>
      </c>
    </row>
    <row r="603" spans="1:20" ht="20.100000000000001" hidden="1" customHeight="1" x14ac:dyDescent="0.25">
      <c r="A603" s="26" t="str">
        <f>CONCATENATE(RIGHT(LEFT(RecebimentoConcreto[[#This Row],[Obra]],5),4),"RCBC",TEXT(RecebimentoConcreto[[#This Row],[Ordem]],"0000"))</f>
        <v>0184RCBC0101</v>
      </c>
      <c r="B603" s="1">
        <v>101</v>
      </c>
      <c r="C603" s="1" t="s">
        <v>21</v>
      </c>
      <c r="D603" s="35">
        <v>44539</v>
      </c>
      <c r="E603" s="1" t="s">
        <v>1803</v>
      </c>
      <c r="F603" s="2" t="s">
        <v>1806</v>
      </c>
      <c r="G603" s="2">
        <v>55162</v>
      </c>
      <c r="H603" s="2" t="s">
        <v>1807</v>
      </c>
      <c r="K603" s="32">
        <f>_xlfn.MAXIFS(ConsumoConcreto[Fim do Bombeamento],ConsumoConcreto[RecebimentoID],RecebimentoConcreto[[#This Row],[RecebimentoID]])</f>
        <v>0</v>
      </c>
      <c r="M603" s="37">
        <v>36892</v>
      </c>
      <c r="N603" s="5" t="s">
        <v>1801</v>
      </c>
      <c r="O603" s="9">
        <v>5.5</v>
      </c>
      <c r="P603" s="5" t="s">
        <v>26</v>
      </c>
      <c r="Q603" s="2"/>
      <c r="R603" s="5" t="s">
        <v>27</v>
      </c>
      <c r="S603" s="5" t="s">
        <v>32</v>
      </c>
      <c r="T603" s="39">
        <v>390</v>
      </c>
    </row>
    <row r="604" spans="1:20" ht="20.100000000000001" hidden="1" customHeight="1" x14ac:dyDescent="0.25">
      <c r="A604" s="26" t="str">
        <f>CONCATENATE(RIGHT(LEFT(RecebimentoConcreto[[#This Row],[Obra]],5),4),"RCBC",TEXT(RecebimentoConcreto[[#This Row],[Ordem]],"0000"))</f>
        <v>0184RCBC0102</v>
      </c>
      <c r="B604" s="1">
        <v>102</v>
      </c>
      <c r="C604" s="1" t="s">
        <v>21</v>
      </c>
      <c r="D604" s="35">
        <v>44539</v>
      </c>
      <c r="E604" s="1" t="s">
        <v>106</v>
      </c>
      <c r="F604" s="2">
        <v>15769</v>
      </c>
      <c r="G604" s="2">
        <v>55162</v>
      </c>
      <c r="H604" s="2">
        <v>8514</v>
      </c>
      <c r="K604" s="32">
        <f>_xlfn.MAXIFS(ConsumoConcreto[Fim do Bombeamento],ConsumoConcreto[RecebimentoID],RecebimentoConcreto[[#This Row],[RecebimentoID]])</f>
        <v>0</v>
      </c>
      <c r="M604" s="37">
        <v>36892</v>
      </c>
      <c r="N604" s="5" t="s">
        <v>1801</v>
      </c>
      <c r="O604" s="9">
        <v>5.5</v>
      </c>
      <c r="P604" s="5" t="s">
        <v>26</v>
      </c>
      <c r="Q604" s="2"/>
      <c r="R604" s="5" t="s">
        <v>27</v>
      </c>
      <c r="S604" s="5" t="s">
        <v>32</v>
      </c>
      <c r="T604" s="39">
        <v>390</v>
      </c>
    </row>
    <row r="605" spans="1:20" ht="20.100000000000001" hidden="1" customHeight="1" x14ac:dyDescent="0.25">
      <c r="A605" s="26" t="str">
        <f>CONCATENATE(RIGHT(LEFT(RecebimentoConcreto[[#This Row],[Obra]],5),4),"RCBC",TEXT(RecebimentoConcreto[[#This Row],[Ordem]],"0000"))</f>
        <v>0184RCBC0103</v>
      </c>
      <c r="B605" s="1">
        <v>103</v>
      </c>
      <c r="C605" s="1" t="s">
        <v>21</v>
      </c>
      <c r="D605" s="35">
        <v>44539</v>
      </c>
      <c r="E605" s="1" t="s">
        <v>106</v>
      </c>
      <c r="F605" s="2">
        <v>15773</v>
      </c>
      <c r="G605" s="2">
        <v>55162</v>
      </c>
      <c r="H605" s="2">
        <v>8517</v>
      </c>
      <c r="K605" s="32">
        <f>_xlfn.MAXIFS(ConsumoConcreto[Fim do Bombeamento],ConsumoConcreto[RecebimentoID],RecebimentoConcreto[[#This Row],[RecebimentoID]])</f>
        <v>0</v>
      </c>
      <c r="M605" s="37">
        <v>36892</v>
      </c>
      <c r="N605" s="5" t="s">
        <v>1801</v>
      </c>
      <c r="O605" s="9">
        <v>5.5</v>
      </c>
      <c r="P605" s="5" t="s">
        <v>26</v>
      </c>
      <c r="Q605" s="2"/>
      <c r="R605" s="5" t="s">
        <v>27</v>
      </c>
      <c r="S605" s="5" t="s">
        <v>32</v>
      </c>
      <c r="T605" s="39">
        <v>390</v>
      </c>
    </row>
    <row r="606" spans="1:20" ht="20.100000000000001" hidden="1" customHeight="1" x14ac:dyDescent="0.25">
      <c r="A606" s="26" t="str">
        <f>CONCATENATE(RIGHT(LEFT(RecebimentoConcreto[[#This Row],[Obra]],5),4),"RCBC",TEXT(RecebimentoConcreto[[#This Row],[Ordem]],"0000"))</f>
        <v>0184RCBC0104</v>
      </c>
      <c r="B606" s="1">
        <v>104</v>
      </c>
      <c r="C606" s="1" t="s">
        <v>21</v>
      </c>
      <c r="D606" s="35">
        <v>44539</v>
      </c>
      <c r="E606" s="1" t="s">
        <v>1803</v>
      </c>
      <c r="F606" s="2" t="s">
        <v>1808</v>
      </c>
      <c r="G606" s="2">
        <v>55162</v>
      </c>
      <c r="H606" s="2" t="s">
        <v>1809</v>
      </c>
      <c r="K606" s="32">
        <f>_xlfn.MAXIFS(ConsumoConcreto[Fim do Bombeamento],ConsumoConcreto[RecebimentoID],RecebimentoConcreto[[#This Row],[RecebimentoID]])</f>
        <v>0</v>
      </c>
      <c r="M606" s="37">
        <v>36892</v>
      </c>
      <c r="N606" s="5" t="s">
        <v>1801</v>
      </c>
      <c r="O606" s="9">
        <v>5.5</v>
      </c>
      <c r="P606" s="5" t="s">
        <v>26</v>
      </c>
      <c r="Q606" s="2"/>
      <c r="R606" s="5" t="s">
        <v>27</v>
      </c>
      <c r="S606" s="5" t="s">
        <v>32</v>
      </c>
      <c r="T606" s="39">
        <v>390</v>
      </c>
    </row>
    <row r="607" spans="1:20" ht="20.100000000000001" hidden="1" customHeight="1" x14ac:dyDescent="0.25">
      <c r="A607" s="26" t="str">
        <f>CONCATENATE(RIGHT(LEFT(RecebimentoConcreto[[#This Row],[Obra]],5),4),"RCBC",TEXT(RecebimentoConcreto[[#This Row],[Ordem]],"0000"))</f>
        <v>0184RCBC0105</v>
      </c>
      <c r="B607" s="1">
        <v>105</v>
      </c>
      <c r="C607" s="1" t="s">
        <v>21</v>
      </c>
      <c r="D607" s="35">
        <v>44539</v>
      </c>
      <c r="E607" s="1" t="s">
        <v>946</v>
      </c>
      <c r="F607" s="2" t="s">
        <v>1810</v>
      </c>
      <c r="G607" s="2">
        <v>55162</v>
      </c>
      <c r="H607" s="2" t="s">
        <v>1811</v>
      </c>
      <c r="K607" s="32">
        <f>_xlfn.MAXIFS(ConsumoConcreto[Fim do Bombeamento],ConsumoConcreto[RecebimentoID],RecebimentoConcreto[[#This Row],[RecebimentoID]])</f>
        <v>0</v>
      </c>
      <c r="M607" s="37">
        <v>36892</v>
      </c>
      <c r="N607" s="5" t="s">
        <v>1801</v>
      </c>
      <c r="O607" s="9">
        <v>5.5</v>
      </c>
      <c r="P607" s="5" t="s">
        <v>26</v>
      </c>
      <c r="Q607" s="2"/>
      <c r="R607" s="5" t="s">
        <v>27</v>
      </c>
      <c r="S607" s="5" t="s">
        <v>32</v>
      </c>
      <c r="T607" s="39">
        <v>390</v>
      </c>
    </row>
    <row r="608" spans="1:20" ht="20.100000000000001" hidden="1" customHeight="1" x14ac:dyDescent="0.25">
      <c r="A608" s="26" t="str">
        <f>CONCATENATE(RIGHT(LEFT(RecebimentoConcreto[[#This Row],[Obra]],5),4),"RCBC",TEXT(RecebimentoConcreto[[#This Row],[Ordem]],"0000"))</f>
        <v>0184RCBC0106</v>
      </c>
      <c r="B608" s="1">
        <v>106</v>
      </c>
      <c r="C608" s="1" t="s">
        <v>21</v>
      </c>
      <c r="D608" s="35">
        <v>44539</v>
      </c>
      <c r="E608" s="1" t="s">
        <v>38</v>
      </c>
      <c r="F608" s="2">
        <v>15778</v>
      </c>
      <c r="G608" s="2">
        <v>55162</v>
      </c>
      <c r="H608" s="2">
        <v>8522</v>
      </c>
      <c r="K608" s="32">
        <f>_xlfn.MAXIFS(ConsumoConcreto[Fim do Bombeamento],ConsumoConcreto[RecebimentoID],RecebimentoConcreto[[#This Row],[RecebimentoID]])</f>
        <v>0</v>
      </c>
      <c r="M608" s="37">
        <v>36892</v>
      </c>
      <c r="N608" s="5" t="s">
        <v>1801</v>
      </c>
      <c r="O608" s="9">
        <v>5.5</v>
      </c>
      <c r="P608" s="5" t="s">
        <v>26</v>
      </c>
      <c r="Q608" s="2"/>
      <c r="R608" s="5" t="s">
        <v>27</v>
      </c>
      <c r="S608" s="5" t="s">
        <v>32</v>
      </c>
      <c r="T608" s="39">
        <v>390</v>
      </c>
    </row>
    <row r="609" spans="1:20" ht="20.100000000000001" hidden="1" customHeight="1" x14ac:dyDescent="0.25">
      <c r="A609" s="26" t="str">
        <f>CONCATENATE(RIGHT(LEFT(RecebimentoConcreto[[#This Row],[Obra]],5),4),"RCBC",TEXT(RecebimentoConcreto[[#This Row],[Ordem]],"0000"))</f>
        <v>0184RCBC0107</v>
      </c>
      <c r="B609" s="1">
        <v>107</v>
      </c>
      <c r="C609" s="1" t="s">
        <v>21</v>
      </c>
      <c r="D609" s="35">
        <v>44539</v>
      </c>
      <c r="E609" s="1" t="s">
        <v>1812</v>
      </c>
      <c r="F609" s="2" t="s">
        <v>1813</v>
      </c>
      <c r="H609" s="2" t="s">
        <v>1814</v>
      </c>
      <c r="K609" s="32">
        <f>_xlfn.MAXIFS(ConsumoConcreto[Fim do Bombeamento],ConsumoConcreto[RecebimentoID],RecebimentoConcreto[[#This Row],[RecebimentoID]])</f>
        <v>0</v>
      </c>
      <c r="M609" s="37">
        <v>36892</v>
      </c>
      <c r="N609" s="5" t="s">
        <v>1801</v>
      </c>
      <c r="O609" s="9">
        <v>5.5</v>
      </c>
      <c r="P609" s="5" t="s">
        <v>26</v>
      </c>
      <c r="Q609" s="2"/>
      <c r="R609" s="5" t="s">
        <v>27</v>
      </c>
      <c r="S609" s="5" t="s">
        <v>28</v>
      </c>
      <c r="T609" s="39">
        <v>390</v>
      </c>
    </row>
    <row r="610" spans="1:20" ht="20.100000000000001" hidden="1" customHeight="1" x14ac:dyDescent="0.25">
      <c r="A610" s="26" t="str">
        <f>CONCATENATE(RIGHT(LEFT(RecebimentoConcreto[[#This Row],[Obra]],5),4),"RCBC",TEXT(RecebimentoConcreto[[#This Row],[Ordem]],"0000"))</f>
        <v>0184RCBC0108</v>
      </c>
      <c r="B610" s="1">
        <v>108</v>
      </c>
      <c r="C610" s="1" t="s">
        <v>21</v>
      </c>
      <c r="D610" s="35">
        <v>44539</v>
      </c>
      <c r="K610" s="32">
        <f>_xlfn.MAXIFS(ConsumoConcreto[Fim do Bombeamento],ConsumoConcreto[RecebimentoID],RecebimentoConcreto[[#This Row],[RecebimentoID]])</f>
        <v>0</v>
      </c>
      <c r="M610" s="37">
        <v>36892</v>
      </c>
      <c r="N610" s="5" t="s">
        <v>1801</v>
      </c>
      <c r="O610" s="9">
        <v>5.5</v>
      </c>
      <c r="P610" s="5" t="s">
        <v>26</v>
      </c>
      <c r="Q610" s="2"/>
      <c r="R610" s="5" t="s">
        <v>27</v>
      </c>
      <c r="S610" s="5" t="s">
        <v>28</v>
      </c>
      <c r="T610" s="39">
        <v>390</v>
      </c>
    </row>
    <row r="611" spans="1:20" ht="20.100000000000001" hidden="1" customHeight="1" x14ac:dyDescent="0.25">
      <c r="A611" s="26" t="str">
        <f>CONCATENATE(RIGHT(LEFT(RecebimentoConcreto[[#This Row],[Obra]],5),4),"RCBC",TEXT(RecebimentoConcreto[[#This Row],[Ordem]],"0000"))</f>
        <v>0184RCBC0109</v>
      </c>
      <c r="B611" s="1">
        <v>109</v>
      </c>
      <c r="C611" s="1" t="s">
        <v>21</v>
      </c>
      <c r="D611" s="35">
        <v>44541</v>
      </c>
      <c r="E611" s="1" t="s">
        <v>1815</v>
      </c>
      <c r="F611" s="2">
        <v>17025</v>
      </c>
      <c r="G611" s="2">
        <v>55162</v>
      </c>
      <c r="H611" s="2">
        <v>8570</v>
      </c>
      <c r="K611" s="32">
        <f>_xlfn.MAXIFS(ConsumoConcreto[Fim do Bombeamento],ConsumoConcreto[RecebimentoID],RecebimentoConcreto[[#This Row],[RecebimentoID]])</f>
        <v>0</v>
      </c>
      <c r="M611" s="37">
        <v>36892</v>
      </c>
      <c r="N611" s="5" t="s">
        <v>1801</v>
      </c>
      <c r="O611" s="9">
        <v>5.5</v>
      </c>
      <c r="P611" s="5" t="s">
        <v>26</v>
      </c>
      <c r="Q611" s="2"/>
      <c r="R611" s="5" t="s">
        <v>27</v>
      </c>
      <c r="S611" s="5" t="s">
        <v>32</v>
      </c>
      <c r="T611" s="39">
        <v>390</v>
      </c>
    </row>
    <row r="612" spans="1:20" ht="20.100000000000001" hidden="1" customHeight="1" x14ac:dyDescent="0.25">
      <c r="A612" s="26" t="str">
        <f>CONCATENATE(RIGHT(LEFT(RecebimentoConcreto[[#This Row],[Obra]],5),4),"RCBC",TEXT(RecebimentoConcreto[[#This Row],[Ordem]],"0000"))</f>
        <v>0184RCBC0110</v>
      </c>
      <c r="B612" s="1">
        <v>110</v>
      </c>
      <c r="C612" s="1" t="s">
        <v>21</v>
      </c>
      <c r="D612" s="35">
        <v>44541</v>
      </c>
      <c r="E612" s="1" t="s">
        <v>1816</v>
      </c>
      <c r="F612" s="2" t="s">
        <v>1817</v>
      </c>
      <c r="G612" s="2">
        <v>55162</v>
      </c>
      <c r="H612" s="2" t="s">
        <v>1818</v>
      </c>
      <c r="K612" s="32">
        <f>_xlfn.MAXIFS(ConsumoConcreto[Fim do Bombeamento],ConsumoConcreto[RecebimentoID],RecebimentoConcreto[[#This Row],[RecebimentoID]])</f>
        <v>0</v>
      </c>
      <c r="M612" s="37">
        <v>36892</v>
      </c>
      <c r="N612" s="5" t="s">
        <v>1801</v>
      </c>
      <c r="O612" s="9">
        <v>5.5</v>
      </c>
      <c r="P612" s="5" t="s">
        <v>26</v>
      </c>
      <c r="Q612" s="2"/>
      <c r="R612" s="5" t="s">
        <v>27</v>
      </c>
      <c r="S612" s="5" t="s">
        <v>32</v>
      </c>
      <c r="T612" s="39">
        <v>390</v>
      </c>
    </row>
    <row r="613" spans="1:20" ht="20.100000000000001" hidden="1" customHeight="1" x14ac:dyDescent="0.25">
      <c r="A613" s="26" t="str">
        <f>CONCATENATE(RIGHT(LEFT(RecebimentoConcreto[[#This Row],[Obra]],5),4),"RCBC",TEXT(RecebimentoConcreto[[#This Row],[Ordem]],"0000"))</f>
        <v>0184RCBC0111</v>
      </c>
      <c r="B613" s="1">
        <v>111</v>
      </c>
      <c r="C613" s="1" t="s">
        <v>21</v>
      </c>
      <c r="D613" s="35">
        <v>44541</v>
      </c>
      <c r="E613" s="1" t="s">
        <v>1816</v>
      </c>
      <c r="F613" s="2" t="s">
        <v>1819</v>
      </c>
      <c r="G613" s="2">
        <v>55162</v>
      </c>
      <c r="H613" s="2" t="s">
        <v>1820</v>
      </c>
      <c r="K613" s="32">
        <f>_xlfn.MAXIFS(ConsumoConcreto[Fim do Bombeamento],ConsumoConcreto[RecebimentoID],RecebimentoConcreto[[#This Row],[RecebimentoID]])</f>
        <v>0</v>
      </c>
      <c r="M613" s="37">
        <v>36892</v>
      </c>
      <c r="N613" s="5" t="s">
        <v>1801</v>
      </c>
      <c r="O613" s="9">
        <v>5.5</v>
      </c>
      <c r="P613" s="5" t="s">
        <v>26</v>
      </c>
      <c r="Q613" s="2"/>
      <c r="R613" s="5" t="s">
        <v>27</v>
      </c>
      <c r="S613" s="5" t="s">
        <v>32</v>
      </c>
      <c r="T613" s="39">
        <v>390</v>
      </c>
    </row>
    <row r="614" spans="1:20" ht="20.100000000000001" hidden="1" customHeight="1" x14ac:dyDescent="0.25">
      <c r="A614" s="26" t="str">
        <f>CONCATENATE(RIGHT(LEFT(RecebimentoConcreto[[#This Row],[Obra]],5),4),"RCBC",TEXT(RecebimentoConcreto[[#This Row],[Ordem]],"0000"))</f>
        <v>0184RCBC0112</v>
      </c>
      <c r="B614" s="1">
        <v>112</v>
      </c>
      <c r="C614" s="1" t="s">
        <v>21</v>
      </c>
      <c r="D614" s="35">
        <v>44541</v>
      </c>
      <c r="E614" s="1" t="s">
        <v>1815</v>
      </c>
      <c r="F614" s="2">
        <v>17036</v>
      </c>
      <c r="G614" s="2">
        <v>55162</v>
      </c>
      <c r="H614" s="2">
        <v>8583</v>
      </c>
      <c r="K614" s="32">
        <f>_xlfn.MAXIFS(ConsumoConcreto[Fim do Bombeamento],ConsumoConcreto[RecebimentoID],RecebimentoConcreto[[#This Row],[RecebimentoID]])</f>
        <v>0</v>
      </c>
      <c r="M614" s="37">
        <v>36892</v>
      </c>
      <c r="N614" s="5" t="s">
        <v>1801</v>
      </c>
      <c r="O614" s="9">
        <v>5.5</v>
      </c>
      <c r="P614" s="5" t="s">
        <v>26</v>
      </c>
      <c r="Q614" s="2"/>
      <c r="R614" s="5" t="s">
        <v>27</v>
      </c>
      <c r="S614" s="5" t="s">
        <v>32</v>
      </c>
      <c r="T614" s="39">
        <v>390</v>
      </c>
    </row>
    <row r="615" spans="1:20" ht="20.100000000000001" hidden="1" customHeight="1" x14ac:dyDescent="0.25">
      <c r="A615" s="26" t="str">
        <f>CONCATENATE(RIGHT(LEFT(RecebimentoConcreto[[#This Row],[Obra]],5),4),"RCBC",TEXT(RecebimentoConcreto[[#This Row],[Ordem]],"0000"))</f>
        <v>0184RCBC0113</v>
      </c>
      <c r="B615" s="1">
        <v>113</v>
      </c>
      <c r="C615" s="1" t="s">
        <v>21</v>
      </c>
      <c r="D615" s="35">
        <v>44541</v>
      </c>
      <c r="E615" s="1" t="s">
        <v>1821</v>
      </c>
      <c r="F615" s="2">
        <v>17026</v>
      </c>
      <c r="G615" s="2">
        <v>55162</v>
      </c>
      <c r="H615" s="2">
        <v>8574</v>
      </c>
      <c r="K615" s="32">
        <f>_xlfn.MAXIFS(ConsumoConcreto[Fim do Bombeamento],ConsumoConcreto[RecebimentoID],RecebimentoConcreto[[#This Row],[RecebimentoID]])</f>
        <v>0</v>
      </c>
      <c r="M615" s="37">
        <v>36892</v>
      </c>
      <c r="N615" s="5" t="s">
        <v>1801</v>
      </c>
      <c r="O615" s="9">
        <v>5.5</v>
      </c>
      <c r="P615" s="5" t="s">
        <v>26</v>
      </c>
      <c r="Q615" s="2"/>
      <c r="R615" s="5" t="s">
        <v>27</v>
      </c>
      <c r="S615" s="5" t="s">
        <v>32</v>
      </c>
      <c r="T615" s="39">
        <v>390</v>
      </c>
    </row>
    <row r="616" spans="1:20" ht="20.100000000000001" hidden="1" customHeight="1" x14ac:dyDescent="0.25">
      <c r="A616" s="26" t="str">
        <f>CONCATENATE(RIGHT(LEFT(RecebimentoConcreto[[#This Row],[Obra]],5),4),"RCBC",TEXT(RecebimentoConcreto[[#This Row],[Ordem]],"0000"))</f>
        <v>0184RCBC0114</v>
      </c>
      <c r="B616" s="1">
        <v>114</v>
      </c>
      <c r="C616" s="1" t="s">
        <v>21</v>
      </c>
      <c r="D616" s="35">
        <v>44541</v>
      </c>
      <c r="E616" s="1" t="s">
        <v>1821</v>
      </c>
      <c r="F616" s="2">
        <v>17032</v>
      </c>
      <c r="G616" s="2">
        <v>55162</v>
      </c>
      <c r="H616" s="2">
        <v>8579</v>
      </c>
      <c r="K616" s="32">
        <f>_xlfn.MAXIFS(ConsumoConcreto[Fim do Bombeamento],ConsumoConcreto[RecebimentoID],RecebimentoConcreto[[#This Row],[RecebimentoID]])</f>
        <v>0</v>
      </c>
      <c r="M616" s="37">
        <v>36892</v>
      </c>
      <c r="N616" s="5" t="s">
        <v>1801</v>
      </c>
      <c r="O616" s="9">
        <v>5.5</v>
      </c>
      <c r="P616" s="5" t="s">
        <v>26</v>
      </c>
      <c r="Q616" s="2"/>
      <c r="R616" s="5" t="s">
        <v>27</v>
      </c>
      <c r="S616" s="5" t="s">
        <v>32</v>
      </c>
      <c r="T616" s="39">
        <v>390</v>
      </c>
    </row>
    <row r="617" spans="1:20" ht="20.100000000000001" hidden="1" customHeight="1" x14ac:dyDescent="0.25">
      <c r="A617" s="26" t="str">
        <f>CONCATENATE(RIGHT(LEFT(RecebimentoConcreto[[#This Row],[Obra]],5),4),"RCBC",TEXT(RecebimentoConcreto[[#This Row],[Ordem]],"0000"))</f>
        <v>0184RCBC0115</v>
      </c>
      <c r="B617" s="1">
        <v>115</v>
      </c>
      <c r="C617" s="1" t="s">
        <v>21</v>
      </c>
      <c r="D617" s="35">
        <v>44541</v>
      </c>
      <c r="E617" s="1" t="s">
        <v>1822</v>
      </c>
      <c r="F617" s="2" t="s">
        <v>1823</v>
      </c>
      <c r="G617" s="2">
        <v>55162</v>
      </c>
      <c r="H617" s="2" t="s">
        <v>1824</v>
      </c>
      <c r="K617" s="32">
        <f>_xlfn.MAXIFS(ConsumoConcreto[Fim do Bombeamento],ConsumoConcreto[RecebimentoID],RecebimentoConcreto[[#This Row],[RecebimentoID]])</f>
        <v>0</v>
      </c>
      <c r="M617" s="37">
        <v>36892</v>
      </c>
      <c r="N617" s="5" t="s">
        <v>1801</v>
      </c>
      <c r="O617" s="9">
        <v>5.5</v>
      </c>
      <c r="P617" s="5" t="s">
        <v>26</v>
      </c>
      <c r="Q617" s="2"/>
      <c r="R617" s="5" t="s">
        <v>27</v>
      </c>
      <c r="S617" s="5" t="s">
        <v>32</v>
      </c>
      <c r="T617" s="39">
        <v>390</v>
      </c>
    </row>
    <row r="618" spans="1:20" ht="20.100000000000001" hidden="1" customHeight="1" x14ac:dyDescent="0.25">
      <c r="A618" s="26" t="str">
        <f>CONCATENATE(RIGHT(LEFT(RecebimentoConcreto[[#This Row],[Obra]],5),4),"RCBC",TEXT(RecebimentoConcreto[[#This Row],[Ordem]],"0000"))</f>
        <v>0184RCBC0116</v>
      </c>
      <c r="B618" s="1">
        <v>116</v>
      </c>
      <c r="C618" s="1" t="s">
        <v>21</v>
      </c>
      <c r="D618" s="35">
        <v>44541</v>
      </c>
      <c r="E618" s="1" t="s">
        <v>1821</v>
      </c>
      <c r="F618" s="2">
        <v>17037</v>
      </c>
      <c r="G618" s="2">
        <v>55162</v>
      </c>
      <c r="H618" s="2">
        <v>8584</v>
      </c>
      <c r="K618" s="32">
        <f>_xlfn.MAXIFS(ConsumoConcreto[Fim do Bombeamento],ConsumoConcreto[RecebimentoID],RecebimentoConcreto[[#This Row],[RecebimentoID]])</f>
        <v>0</v>
      </c>
      <c r="M618" s="37">
        <v>36892</v>
      </c>
      <c r="N618" s="5" t="s">
        <v>1801</v>
      </c>
      <c r="O618" s="9">
        <v>5.5</v>
      </c>
      <c r="P618" s="5" t="s">
        <v>26</v>
      </c>
      <c r="Q618" s="2"/>
      <c r="R618" s="5" t="s">
        <v>27</v>
      </c>
      <c r="S618" s="5" t="s">
        <v>32</v>
      </c>
      <c r="T618" s="39">
        <v>390</v>
      </c>
    </row>
    <row r="619" spans="1:20" ht="20.100000000000001" hidden="1" customHeight="1" x14ac:dyDescent="0.25">
      <c r="A619" s="26" t="str">
        <f>CONCATENATE(RIGHT(LEFT(RecebimentoConcreto[[#This Row],[Obra]],5),4),"RCBC",TEXT(RecebimentoConcreto[[#This Row],[Ordem]],"0000"))</f>
        <v>0184RCBC0117</v>
      </c>
      <c r="B619" s="1">
        <v>117</v>
      </c>
      <c r="C619" s="1" t="s">
        <v>21</v>
      </c>
      <c r="D619" s="35">
        <v>44541</v>
      </c>
      <c r="K619" s="32">
        <f>_xlfn.MAXIFS(ConsumoConcreto[Fim do Bombeamento],ConsumoConcreto[RecebimentoID],RecebimentoConcreto[[#This Row],[RecebimentoID]])</f>
        <v>0</v>
      </c>
      <c r="M619" s="37">
        <v>36892</v>
      </c>
      <c r="N619" s="5" t="s">
        <v>1801</v>
      </c>
      <c r="O619" s="9">
        <v>5.33</v>
      </c>
      <c r="P619" s="5" t="s">
        <v>26</v>
      </c>
      <c r="Q619" s="2"/>
      <c r="R619" s="5" t="s">
        <v>27</v>
      </c>
      <c r="S619" s="5" t="s">
        <v>28</v>
      </c>
      <c r="T619" s="39">
        <v>390</v>
      </c>
    </row>
    <row r="620" spans="1:20" ht="20.100000000000001" hidden="1" customHeight="1" x14ac:dyDescent="0.25">
      <c r="A620" s="26" t="str">
        <f>CONCATENATE(RIGHT(LEFT(RecebimentoConcreto[[#This Row],[Obra]],5),4),"RCBC",TEXT(RecebimentoConcreto[[#This Row],[Ordem]],"0000"))</f>
        <v>0184RCBC0118</v>
      </c>
      <c r="B620" s="1">
        <v>118</v>
      </c>
      <c r="C620" s="1" t="s">
        <v>21</v>
      </c>
      <c r="D620" s="35">
        <v>44541</v>
      </c>
      <c r="K620" s="32">
        <f>_xlfn.MAXIFS(ConsumoConcreto[Fim do Bombeamento],ConsumoConcreto[RecebimentoID],RecebimentoConcreto[[#This Row],[RecebimentoID]])</f>
        <v>0</v>
      </c>
      <c r="M620" s="37">
        <v>36892</v>
      </c>
      <c r="N620" s="5" t="s">
        <v>1801</v>
      </c>
      <c r="O620" s="9">
        <v>5.5</v>
      </c>
      <c r="P620" s="5" t="s">
        <v>26</v>
      </c>
      <c r="Q620" s="2"/>
      <c r="R620" s="5" t="s">
        <v>27</v>
      </c>
      <c r="S620" s="5" t="s">
        <v>28</v>
      </c>
      <c r="T620" s="39">
        <v>390</v>
      </c>
    </row>
    <row r="621" spans="1:20" ht="20.100000000000001" hidden="1" customHeight="1" x14ac:dyDescent="0.25">
      <c r="A621" s="26" t="str">
        <f>CONCATENATE(RIGHT(LEFT(RecebimentoConcreto[[#This Row],[Obra]],5),4),"RCBC",TEXT(RecebimentoConcreto[[#This Row],[Ordem]],"0000"))</f>
        <v>0184RCBC0119</v>
      </c>
      <c r="B621" s="1">
        <v>119</v>
      </c>
      <c r="C621" s="1" t="s">
        <v>21</v>
      </c>
      <c r="D621" s="35">
        <v>44543</v>
      </c>
      <c r="E621" s="1" t="s">
        <v>1825</v>
      </c>
      <c r="F621" s="2" t="s">
        <v>1826</v>
      </c>
      <c r="G621" s="2">
        <v>55162</v>
      </c>
      <c r="H621" s="2" t="s">
        <v>1827</v>
      </c>
      <c r="K621" s="32">
        <f>_xlfn.MAXIFS(ConsumoConcreto[Fim do Bombeamento],ConsumoConcreto[RecebimentoID],RecebimentoConcreto[[#This Row],[RecebimentoID]])</f>
        <v>0</v>
      </c>
      <c r="M621" s="37">
        <v>36892</v>
      </c>
      <c r="N621" s="5" t="s">
        <v>1801</v>
      </c>
      <c r="O621" s="9">
        <v>7</v>
      </c>
      <c r="P621" s="5" t="s">
        <v>26</v>
      </c>
      <c r="Q621" s="2"/>
      <c r="R621" s="5" t="s">
        <v>27</v>
      </c>
      <c r="S621" s="5" t="s">
        <v>32</v>
      </c>
      <c r="T621" s="39">
        <v>390</v>
      </c>
    </row>
    <row r="622" spans="1:20" ht="20.100000000000001" hidden="1" customHeight="1" x14ac:dyDescent="0.25">
      <c r="A622" s="26" t="str">
        <f>CONCATENATE(RIGHT(LEFT(RecebimentoConcreto[[#This Row],[Obra]],5),4),"RCBC",TEXT(RecebimentoConcreto[[#This Row],[Ordem]],"0000"))</f>
        <v>0184RCBC0120</v>
      </c>
      <c r="B622" s="1">
        <v>120</v>
      </c>
      <c r="C622" s="1" t="s">
        <v>21</v>
      </c>
      <c r="D622" s="35">
        <v>44543</v>
      </c>
      <c r="E622" s="1" t="s">
        <v>1803</v>
      </c>
      <c r="F622" s="2" t="s">
        <v>1828</v>
      </c>
      <c r="G622" s="2">
        <v>55162</v>
      </c>
      <c r="H622" s="2" t="s">
        <v>1829</v>
      </c>
      <c r="K622" s="32">
        <f>_xlfn.MAXIFS(ConsumoConcreto[Fim do Bombeamento],ConsumoConcreto[RecebimentoID],RecebimentoConcreto[[#This Row],[RecebimentoID]])</f>
        <v>0</v>
      </c>
      <c r="M622" s="37">
        <v>36892</v>
      </c>
      <c r="N622" s="5" t="s">
        <v>1801</v>
      </c>
      <c r="O622" s="9">
        <v>7</v>
      </c>
      <c r="P622" s="5" t="s">
        <v>26</v>
      </c>
      <c r="Q622" s="2"/>
      <c r="R622" s="5" t="s">
        <v>27</v>
      </c>
      <c r="S622" s="5" t="s">
        <v>32</v>
      </c>
      <c r="T622" s="39">
        <v>390</v>
      </c>
    </row>
    <row r="623" spans="1:20" ht="20.100000000000001" hidden="1" customHeight="1" x14ac:dyDescent="0.25">
      <c r="A623" s="26" t="str">
        <f>CONCATENATE(RIGHT(LEFT(RecebimentoConcreto[[#This Row],[Obra]],5),4),"RCBC",TEXT(RecebimentoConcreto[[#This Row],[Ordem]],"0000"))</f>
        <v>0184RCBC0121</v>
      </c>
      <c r="B623" s="1">
        <v>121</v>
      </c>
      <c r="C623" s="1" t="s">
        <v>21</v>
      </c>
      <c r="D623" s="35">
        <v>44543</v>
      </c>
      <c r="E623" s="1" t="s">
        <v>946</v>
      </c>
      <c r="F623" s="2" t="s">
        <v>1830</v>
      </c>
      <c r="G623" s="2">
        <v>55162</v>
      </c>
      <c r="H623" s="2" t="s">
        <v>1831</v>
      </c>
      <c r="K623" s="32">
        <f>_xlfn.MAXIFS(ConsumoConcreto[Fim do Bombeamento],ConsumoConcreto[RecebimentoID],RecebimentoConcreto[[#This Row],[RecebimentoID]])</f>
        <v>0</v>
      </c>
      <c r="M623" s="37">
        <v>36892</v>
      </c>
      <c r="N623" s="5" t="s">
        <v>1801</v>
      </c>
      <c r="O623" s="9">
        <v>7</v>
      </c>
      <c r="P623" s="5" t="s">
        <v>26</v>
      </c>
      <c r="Q623" s="2"/>
      <c r="R623" s="5" t="s">
        <v>27</v>
      </c>
      <c r="S623" s="5" t="s">
        <v>32</v>
      </c>
      <c r="T623" s="39">
        <v>390</v>
      </c>
    </row>
    <row r="624" spans="1:20" ht="20.100000000000001" hidden="1" customHeight="1" x14ac:dyDescent="0.25">
      <c r="A624" s="26" t="str">
        <f>CONCATENATE(RIGHT(LEFT(RecebimentoConcreto[[#This Row],[Obra]],5),4),"RCBC",TEXT(RecebimentoConcreto[[#This Row],[Ordem]],"0000"))</f>
        <v>0184RCBC0122</v>
      </c>
      <c r="B624" s="1">
        <v>122</v>
      </c>
      <c r="C624" s="1" t="s">
        <v>21</v>
      </c>
      <c r="D624" s="35">
        <v>44543</v>
      </c>
      <c r="E624" s="1" t="s">
        <v>1018</v>
      </c>
      <c r="F624" s="2" t="s">
        <v>1832</v>
      </c>
      <c r="G624" s="2">
        <v>55162</v>
      </c>
      <c r="H624" s="2" t="s">
        <v>1833</v>
      </c>
      <c r="K624" s="32">
        <f>_xlfn.MAXIFS(ConsumoConcreto[Fim do Bombeamento],ConsumoConcreto[RecebimentoID],RecebimentoConcreto[[#This Row],[RecebimentoID]])</f>
        <v>0</v>
      </c>
      <c r="M624" s="37">
        <v>36892</v>
      </c>
      <c r="N624" s="5" t="s">
        <v>1801</v>
      </c>
      <c r="O624" s="9">
        <v>7</v>
      </c>
      <c r="P624" s="5" t="s">
        <v>26</v>
      </c>
      <c r="Q624" s="2"/>
      <c r="R624" s="5" t="s">
        <v>27</v>
      </c>
      <c r="S624" s="5" t="s">
        <v>32</v>
      </c>
      <c r="T624" s="39">
        <v>390</v>
      </c>
    </row>
    <row r="625" spans="1:20" ht="20.100000000000001" hidden="1" customHeight="1" x14ac:dyDescent="0.25">
      <c r="A625" s="26" t="str">
        <f>CONCATENATE(RIGHT(LEFT(RecebimentoConcreto[[#This Row],[Obra]],5),4),"RCBC",TEXT(RecebimentoConcreto[[#This Row],[Ordem]],"0000"))</f>
        <v>0184RCBC0123</v>
      </c>
      <c r="B625" s="1">
        <v>123</v>
      </c>
      <c r="C625" s="1" t="s">
        <v>21</v>
      </c>
      <c r="D625" s="35">
        <v>44543</v>
      </c>
      <c r="E625" s="1" t="s">
        <v>1821</v>
      </c>
      <c r="F625" s="2">
        <v>17069</v>
      </c>
      <c r="G625" s="2">
        <v>55162</v>
      </c>
      <c r="H625" s="2">
        <v>8617</v>
      </c>
      <c r="K625" s="32">
        <f>_xlfn.MAXIFS(ConsumoConcreto[Fim do Bombeamento],ConsumoConcreto[RecebimentoID],RecebimentoConcreto[[#This Row],[RecebimentoID]])</f>
        <v>0</v>
      </c>
      <c r="M625" s="37">
        <v>36892</v>
      </c>
      <c r="N625" s="5" t="s">
        <v>1801</v>
      </c>
      <c r="O625" s="9">
        <v>8</v>
      </c>
      <c r="P625" s="5" t="s">
        <v>26</v>
      </c>
      <c r="Q625" s="2"/>
      <c r="R625" s="5" t="s">
        <v>27</v>
      </c>
      <c r="S625" s="5" t="s">
        <v>32</v>
      </c>
      <c r="T625" s="39">
        <v>390</v>
      </c>
    </row>
    <row r="626" spans="1:20" ht="20.100000000000001" hidden="1" customHeight="1" x14ac:dyDescent="0.25">
      <c r="A626" s="26" t="str">
        <f>CONCATENATE(RIGHT(LEFT(RecebimentoConcreto[[#This Row],[Obra]],5),4),"RCBC",TEXT(RecebimentoConcreto[[#This Row],[Ordem]],"0000"))</f>
        <v>0184RCBC0124</v>
      </c>
      <c r="B626" s="1">
        <v>124</v>
      </c>
      <c r="C626" s="1" t="s">
        <v>21</v>
      </c>
      <c r="D626" s="35">
        <v>44543</v>
      </c>
      <c r="E626" s="1" t="s">
        <v>1834</v>
      </c>
      <c r="F626" s="2" t="s">
        <v>1835</v>
      </c>
      <c r="G626" s="2">
        <v>55162</v>
      </c>
      <c r="H626" s="2" t="s">
        <v>1836</v>
      </c>
      <c r="K626" s="32">
        <f>_xlfn.MAXIFS(ConsumoConcreto[Fim do Bombeamento],ConsumoConcreto[RecebimentoID],RecebimentoConcreto[[#This Row],[RecebimentoID]])</f>
        <v>0</v>
      </c>
      <c r="M626" s="37">
        <v>36892</v>
      </c>
      <c r="N626" s="5" t="s">
        <v>1801</v>
      </c>
      <c r="O626" s="9">
        <v>8</v>
      </c>
      <c r="P626" s="5" t="s">
        <v>26</v>
      </c>
      <c r="Q626" s="2"/>
      <c r="R626" s="5" t="s">
        <v>27</v>
      </c>
      <c r="S626" s="5" t="s">
        <v>32</v>
      </c>
      <c r="T626" s="39">
        <v>390</v>
      </c>
    </row>
    <row r="627" spans="1:20" ht="20.100000000000001" hidden="1" customHeight="1" x14ac:dyDescent="0.25">
      <c r="A627" s="26" t="str">
        <f>CONCATENATE(RIGHT(LEFT(RecebimentoConcreto[[#This Row],[Obra]],5),4),"RCBC",TEXT(RecebimentoConcreto[[#This Row],[Ordem]],"0000"))</f>
        <v>0184RCBC0125</v>
      </c>
      <c r="B627" s="1">
        <v>125</v>
      </c>
      <c r="C627" s="1" t="s">
        <v>21</v>
      </c>
      <c r="D627" s="35">
        <v>44543</v>
      </c>
      <c r="E627" s="1" t="s">
        <v>106</v>
      </c>
      <c r="F627" s="2">
        <v>17041</v>
      </c>
      <c r="G627" s="2">
        <v>55162</v>
      </c>
      <c r="H627" s="2">
        <v>8588</v>
      </c>
      <c r="K627" s="32">
        <f>_xlfn.MAXIFS(ConsumoConcreto[Fim do Bombeamento],ConsumoConcreto[RecebimentoID],RecebimentoConcreto[[#This Row],[RecebimentoID]])</f>
        <v>0</v>
      </c>
      <c r="M627" s="37">
        <v>36892</v>
      </c>
      <c r="N627" s="5" t="s">
        <v>1801</v>
      </c>
      <c r="O627" s="9">
        <v>8</v>
      </c>
      <c r="P627" s="5" t="s">
        <v>26</v>
      </c>
      <c r="Q627" s="2"/>
      <c r="R627" s="5" t="s">
        <v>27</v>
      </c>
      <c r="S627" s="5" t="s">
        <v>32</v>
      </c>
      <c r="T627" s="39">
        <v>390</v>
      </c>
    </row>
    <row r="628" spans="1:20" ht="20.100000000000001" hidden="1" customHeight="1" x14ac:dyDescent="0.25">
      <c r="A628" s="26" t="str">
        <f>CONCATENATE(RIGHT(LEFT(RecebimentoConcreto[[#This Row],[Obra]],5),4),"RCBC",TEXT(RecebimentoConcreto[[#This Row],[Ordem]],"0000"))</f>
        <v>0184RCBC0157</v>
      </c>
      <c r="B628" s="1">
        <v>157</v>
      </c>
      <c r="C628" s="1" t="s">
        <v>21</v>
      </c>
      <c r="D628" s="35">
        <v>44740</v>
      </c>
      <c r="E628" s="1" t="s">
        <v>37</v>
      </c>
      <c r="F628" s="2">
        <v>15552</v>
      </c>
      <c r="G628" s="2">
        <v>5408</v>
      </c>
      <c r="H628" s="2">
        <v>15254</v>
      </c>
      <c r="K628" s="32">
        <f>_xlfn.MAXIFS(ConsumoConcreto[Fim do Bombeamento],ConsumoConcreto[RecebimentoID],RecebimentoConcreto[[#This Row],[RecebimentoID]])</f>
        <v>0</v>
      </c>
      <c r="M628" s="37">
        <v>36892</v>
      </c>
      <c r="N628" s="5" t="s">
        <v>1801</v>
      </c>
      <c r="O628" s="9">
        <v>0.17</v>
      </c>
      <c r="P628" s="5" t="s">
        <v>26</v>
      </c>
      <c r="Q628" s="2">
        <v>3</v>
      </c>
      <c r="R628" s="5" t="s">
        <v>27</v>
      </c>
      <c r="S628" s="5" t="s">
        <v>32</v>
      </c>
      <c r="T628" s="39">
        <v>460</v>
      </c>
    </row>
    <row r="629" spans="1:20" ht="20.100000000000001" hidden="1" customHeight="1" x14ac:dyDescent="0.25">
      <c r="A629" s="26" t="str">
        <f>CONCATENATE(RIGHT(LEFT(RecebimentoConcreto[[#This Row],[Obra]],5),4),"RCBC",TEXT(RecebimentoConcreto[[#This Row],[Ordem]],"0000"))</f>
        <v>0184RCBC0158</v>
      </c>
      <c r="B629" s="1">
        <v>158</v>
      </c>
      <c r="C629" s="1" t="s">
        <v>21</v>
      </c>
      <c r="D629" s="35">
        <v>44740</v>
      </c>
      <c r="E629" s="1" t="s">
        <v>37</v>
      </c>
      <c r="F629" s="2">
        <v>15552</v>
      </c>
      <c r="G629" s="2">
        <v>5408</v>
      </c>
      <c r="H629" s="2">
        <v>15254</v>
      </c>
      <c r="K629" s="32">
        <f>_xlfn.MAXIFS(ConsumoConcreto[Fim do Bombeamento],ConsumoConcreto[RecebimentoID],RecebimentoConcreto[[#This Row],[RecebimentoID]])</f>
        <v>0</v>
      </c>
      <c r="M629" s="37">
        <v>36892</v>
      </c>
      <c r="N629" s="5" t="s">
        <v>1801</v>
      </c>
      <c r="O629" s="9">
        <v>0.17</v>
      </c>
      <c r="P629" s="5" t="s">
        <v>26</v>
      </c>
      <c r="Q629" s="2">
        <v>3</v>
      </c>
      <c r="R629" s="5" t="s">
        <v>27</v>
      </c>
      <c r="S629" s="5" t="s">
        <v>32</v>
      </c>
      <c r="T629" s="39">
        <v>460</v>
      </c>
    </row>
    <row r="630" spans="1:20" ht="20.100000000000001" hidden="1" customHeight="1" x14ac:dyDescent="0.25">
      <c r="A630" s="26" t="str">
        <f>CONCATENATE(RIGHT(LEFT(RecebimentoConcreto[[#This Row],[Obra]],5),4),"RCBC",TEXT(RecebimentoConcreto[[#This Row],[Ordem]],"0000"))</f>
        <v>0184RCBC0159</v>
      </c>
      <c r="B630" s="1">
        <v>159</v>
      </c>
      <c r="C630" s="1" t="s">
        <v>21</v>
      </c>
      <c r="D630" s="35">
        <v>44740</v>
      </c>
      <c r="E630" s="1" t="s">
        <v>37</v>
      </c>
      <c r="F630" s="2">
        <v>15552</v>
      </c>
      <c r="G630" s="2">
        <v>5408</v>
      </c>
      <c r="H630" s="2">
        <v>15254</v>
      </c>
      <c r="K630" s="32">
        <f>_xlfn.MAXIFS(ConsumoConcreto[Fim do Bombeamento],ConsumoConcreto[RecebimentoID],RecebimentoConcreto[[#This Row],[RecebimentoID]])</f>
        <v>0</v>
      </c>
      <c r="M630" s="37">
        <v>36892</v>
      </c>
      <c r="N630" s="5" t="s">
        <v>1801</v>
      </c>
      <c r="O630" s="9">
        <v>0.17</v>
      </c>
      <c r="P630" s="5" t="s">
        <v>26</v>
      </c>
      <c r="Q630" s="2">
        <v>3</v>
      </c>
      <c r="R630" s="5" t="s">
        <v>27</v>
      </c>
      <c r="S630" s="5" t="s">
        <v>32</v>
      </c>
      <c r="T630" s="39">
        <v>460</v>
      </c>
    </row>
    <row r="631" spans="1:20" ht="20.100000000000001" hidden="1" customHeight="1" x14ac:dyDescent="0.25">
      <c r="A631" s="26" t="str">
        <f>CONCATENATE(RIGHT(LEFT(RecebimentoConcreto[[#This Row],[Obra]],5),4),"RCBC",TEXT(RecebimentoConcreto[[#This Row],[Ordem]],"0000"))</f>
        <v>0184RCBC0160</v>
      </c>
      <c r="B631" s="1">
        <v>160</v>
      </c>
      <c r="C631" s="1" t="s">
        <v>21</v>
      </c>
      <c r="D631" s="35">
        <v>44741</v>
      </c>
      <c r="E631" s="1" t="s">
        <v>36</v>
      </c>
      <c r="F631" s="2">
        <v>15595</v>
      </c>
      <c r="G631" s="2">
        <v>5408</v>
      </c>
      <c r="H631" s="2">
        <v>15274</v>
      </c>
      <c r="K631" s="32">
        <f>_xlfn.MAXIFS(ConsumoConcreto[Fim do Bombeamento],ConsumoConcreto[RecebimentoID],RecebimentoConcreto[[#This Row],[RecebimentoID]])</f>
        <v>0</v>
      </c>
      <c r="M631" s="37">
        <v>36892</v>
      </c>
      <c r="N631" s="5" t="s">
        <v>1801</v>
      </c>
      <c r="O631" s="9">
        <v>0.2</v>
      </c>
      <c r="P631" s="5" t="s">
        <v>26</v>
      </c>
      <c r="Q631" s="2">
        <v>3</v>
      </c>
      <c r="R631" s="5" t="s">
        <v>27</v>
      </c>
      <c r="S631" s="5" t="s">
        <v>32</v>
      </c>
      <c r="T631" s="39">
        <v>460</v>
      </c>
    </row>
    <row r="632" spans="1:20" ht="20.100000000000001" hidden="1" customHeight="1" x14ac:dyDescent="0.25">
      <c r="A632" s="26" t="str">
        <f>CONCATENATE(RIGHT(LEFT(RecebimentoConcreto[[#This Row],[Obra]],5),4),"RCBC",TEXT(RecebimentoConcreto[[#This Row],[Ordem]],"0000"))</f>
        <v>0184RCBC0161</v>
      </c>
      <c r="B632" s="1">
        <v>161</v>
      </c>
      <c r="C632" s="1" t="s">
        <v>21</v>
      </c>
      <c r="D632" s="35">
        <v>44741</v>
      </c>
      <c r="E632" s="1" t="s">
        <v>36</v>
      </c>
      <c r="F632" s="2">
        <v>15595</v>
      </c>
      <c r="G632" s="2">
        <v>5408</v>
      </c>
      <c r="H632" s="2">
        <v>15274</v>
      </c>
      <c r="K632" s="32">
        <f>_xlfn.MAXIFS(ConsumoConcreto[Fim do Bombeamento],ConsumoConcreto[RecebimentoID],RecebimentoConcreto[[#This Row],[RecebimentoID]])</f>
        <v>0</v>
      </c>
      <c r="M632" s="37">
        <v>36892</v>
      </c>
      <c r="N632" s="5" t="s">
        <v>1801</v>
      </c>
      <c r="O632" s="9">
        <v>0.2</v>
      </c>
      <c r="P632" s="5" t="s">
        <v>26</v>
      </c>
      <c r="Q632" s="2">
        <v>3</v>
      </c>
      <c r="R632" s="5" t="s">
        <v>27</v>
      </c>
      <c r="S632" s="5" t="s">
        <v>32</v>
      </c>
      <c r="T632" s="39">
        <v>460</v>
      </c>
    </row>
    <row r="633" spans="1:20" ht="20.100000000000001" hidden="1" customHeight="1" x14ac:dyDescent="0.25">
      <c r="A633" s="26" t="str">
        <f>CONCATENATE(RIGHT(LEFT(RecebimentoConcreto[[#This Row],[Obra]],5),4),"RCBC",TEXT(RecebimentoConcreto[[#This Row],[Ordem]],"0000"))</f>
        <v>0184RCBC0162</v>
      </c>
      <c r="B633" s="1">
        <v>162</v>
      </c>
      <c r="C633" s="1" t="s">
        <v>21</v>
      </c>
      <c r="D633" s="35">
        <v>44741</v>
      </c>
      <c r="E633" s="1" t="s">
        <v>36</v>
      </c>
      <c r="F633" s="2">
        <v>15595</v>
      </c>
      <c r="G633" s="2">
        <v>5408</v>
      </c>
      <c r="H633" s="2">
        <v>15274</v>
      </c>
      <c r="K633" s="32">
        <f>_xlfn.MAXIFS(ConsumoConcreto[Fim do Bombeamento],ConsumoConcreto[RecebimentoID],RecebimentoConcreto[[#This Row],[RecebimentoID]])</f>
        <v>0</v>
      </c>
      <c r="M633" s="37">
        <v>36892</v>
      </c>
      <c r="N633" s="5" t="s">
        <v>1801</v>
      </c>
      <c r="O633" s="9">
        <v>0.2</v>
      </c>
      <c r="P633" s="5" t="s">
        <v>26</v>
      </c>
      <c r="Q633" s="2">
        <v>3</v>
      </c>
      <c r="R633" s="5" t="s">
        <v>27</v>
      </c>
      <c r="S633" s="5" t="s">
        <v>32</v>
      </c>
      <c r="T633" s="39">
        <v>460</v>
      </c>
    </row>
    <row r="634" spans="1:20" ht="20.100000000000001" hidden="1" customHeight="1" x14ac:dyDescent="0.25">
      <c r="A634" s="26" t="str">
        <f>CONCATENATE(RIGHT(LEFT(RecebimentoConcreto[[#This Row],[Obra]],5),4),"RCBC",TEXT(RecebimentoConcreto[[#This Row],[Ordem]],"0000"))</f>
        <v>0184RCBC0163</v>
      </c>
      <c r="B634" s="1">
        <v>163</v>
      </c>
      <c r="C634" s="1" t="s">
        <v>21</v>
      </c>
      <c r="D634" s="35">
        <v>44741</v>
      </c>
      <c r="E634" s="1" t="s">
        <v>36</v>
      </c>
      <c r="F634" s="2">
        <v>15595</v>
      </c>
      <c r="G634" s="2">
        <v>5408</v>
      </c>
      <c r="H634" s="2">
        <v>15274</v>
      </c>
      <c r="K634" s="32">
        <f>_xlfn.MAXIFS(ConsumoConcreto[Fim do Bombeamento],ConsumoConcreto[RecebimentoID],RecebimentoConcreto[[#This Row],[RecebimentoID]])</f>
        <v>0</v>
      </c>
      <c r="M634" s="37">
        <v>36892</v>
      </c>
      <c r="N634" s="5" t="s">
        <v>1801</v>
      </c>
      <c r="O634" s="9">
        <v>0.2</v>
      </c>
      <c r="P634" s="5" t="s">
        <v>26</v>
      </c>
      <c r="Q634" s="2">
        <v>3</v>
      </c>
      <c r="R634" s="5" t="s">
        <v>27</v>
      </c>
      <c r="S634" s="5" t="s">
        <v>32</v>
      </c>
      <c r="T634" s="39">
        <v>460</v>
      </c>
    </row>
    <row r="635" spans="1:20" ht="20.100000000000001" hidden="1" customHeight="1" x14ac:dyDescent="0.25">
      <c r="A635" s="26" t="str">
        <f>CONCATENATE(RIGHT(LEFT(RecebimentoConcreto[[#This Row],[Obra]],5),4),"RCBC",TEXT(RecebimentoConcreto[[#This Row],[Ordem]],"0000"))</f>
        <v>0184RCBC0164</v>
      </c>
      <c r="B635" s="1">
        <v>164</v>
      </c>
      <c r="C635" s="1" t="s">
        <v>21</v>
      </c>
      <c r="D635" s="35">
        <v>44741</v>
      </c>
      <c r="E635" s="1" t="s">
        <v>36</v>
      </c>
      <c r="F635" s="2">
        <v>15595</v>
      </c>
      <c r="G635" s="2">
        <v>5408</v>
      </c>
      <c r="H635" s="2">
        <v>15274</v>
      </c>
      <c r="K635" s="32">
        <f>_xlfn.MAXIFS(ConsumoConcreto[Fim do Bombeamento],ConsumoConcreto[RecebimentoID],RecebimentoConcreto[[#This Row],[RecebimentoID]])</f>
        <v>0</v>
      </c>
      <c r="M635" s="37">
        <v>36892</v>
      </c>
      <c r="N635" s="5" t="s">
        <v>1801</v>
      </c>
      <c r="O635" s="9">
        <v>0.2</v>
      </c>
      <c r="P635" s="5" t="s">
        <v>26</v>
      </c>
      <c r="Q635" s="2">
        <v>3</v>
      </c>
      <c r="R635" s="5" t="s">
        <v>27</v>
      </c>
      <c r="S635" s="5" t="s">
        <v>32</v>
      </c>
      <c r="T635" s="39">
        <v>460</v>
      </c>
    </row>
    <row r="636" spans="1:20" ht="20.100000000000001" hidden="1" customHeight="1" x14ac:dyDescent="0.25">
      <c r="A636" s="26" t="str">
        <f>CONCATENATE(RIGHT(LEFT(RecebimentoConcreto[[#This Row],[Obra]],5),4),"RCBC",TEXT(RecebimentoConcreto[[#This Row],[Ordem]],"0000"))</f>
        <v>0184RCBC0179</v>
      </c>
      <c r="B636" s="1">
        <v>179</v>
      </c>
      <c r="C636" s="1" t="s">
        <v>21</v>
      </c>
      <c r="D636" s="35">
        <v>44543</v>
      </c>
      <c r="E636" s="1" t="s">
        <v>38</v>
      </c>
      <c r="F636" s="2">
        <v>17057</v>
      </c>
      <c r="G636" s="2">
        <v>55162</v>
      </c>
      <c r="H636" s="2">
        <v>8605</v>
      </c>
      <c r="K636" s="32">
        <f>_xlfn.MAXIFS(ConsumoConcreto[Fim do Bombeamento],ConsumoConcreto[RecebimentoID],RecebimentoConcreto[[#This Row],[RecebimentoID]])</f>
        <v>0</v>
      </c>
      <c r="M636" s="37">
        <v>36892</v>
      </c>
      <c r="N636" s="5" t="s">
        <v>1801</v>
      </c>
      <c r="O636" s="9">
        <v>7</v>
      </c>
      <c r="P636" s="5" t="s">
        <v>26</v>
      </c>
      <c r="Q636" s="2"/>
      <c r="R636" s="5" t="s">
        <v>27</v>
      </c>
      <c r="S636" s="5" t="s">
        <v>32</v>
      </c>
      <c r="T636" s="39">
        <v>390</v>
      </c>
    </row>
    <row r="637" spans="1:20" ht="20.100000000000001" hidden="1" customHeight="1" x14ac:dyDescent="0.25">
      <c r="A637" s="26" t="str">
        <f>CONCATENATE(RIGHT(LEFT(RecebimentoConcreto[[#This Row],[Obra]],5),4),"RCBC",TEXT(RecebimentoConcreto[[#This Row],[Ordem]],"0000"))</f>
        <v>0184RCBC0180</v>
      </c>
      <c r="B637" s="1">
        <v>180</v>
      </c>
      <c r="C637" s="1" t="s">
        <v>21</v>
      </c>
      <c r="D637" s="35">
        <v>44543</v>
      </c>
      <c r="E637" s="1" t="s">
        <v>38</v>
      </c>
      <c r="F637" s="2">
        <v>17063</v>
      </c>
      <c r="G637" s="2">
        <v>55162</v>
      </c>
      <c r="H637" s="2">
        <v>8611</v>
      </c>
      <c r="K637" s="32">
        <f>_xlfn.MAXIFS(ConsumoConcreto[Fim do Bombeamento],ConsumoConcreto[RecebimentoID],RecebimentoConcreto[[#This Row],[RecebimentoID]])</f>
        <v>0</v>
      </c>
      <c r="M637" s="37">
        <v>36892</v>
      </c>
      <c r="N637" s="5" t="s">
        <v>1801</v>
      </c>
      <c r="O637" s="9">
        <v>7</v>
      </c>
      <c r="P637" s="5" t="s">
        <v>26</v>
      </c>
      <c r="Q637" s="2"/>
      <c r="R637" s="5" t="s">
        <v>27</v>
      </c>
      <c r="S637" s="5" t="s">
        <v>32</v>
      </c>
      <c r="T637" s="39">
        <v>390</v>
      </c>
    </row>
    <row r="638" spans="1:20" ht="20.100000000000001" hidden="1" customHeight="1" x14ac:dyDescent="0.25">
      <c r="A638" s="26" t="str">
        <f>CONCATENATE(RIGHT(LEFT(RecebimentoConcreto[[#This Row],[Obra]],5),4),"RCBC",TEXT(RecebimentoConcreto[[#This Row],[Ordem]],"0000"))</f>
        <v>0184RCBC0181</v>
      </c>
      <c r="B638" s="1">
        <v>181</v>
      </c>
      <c r="C638" s="1" t="s">
        <v>21</v>
      </c>
      <c r="D638" s="35">
        <v>44543</v>
      </c>
      <c r="E638" s="1" t="s">
        <v>1837</v>
      </c>
      <c r="F638" s="2" t="s">
        <v>1838</v>
      </c>
      <c r="G638" s="2">
        <v>55162</v>
      </c>
      <c r="H638" s="2" t="s">
        <v>1839</v>
      </c>
      <c r="K638" s="32">
        <f>_xlfn.MAXIFS(ConsumoConcreto[Fim do Bombeamento],ConsumoConcreto[RecebimentoID],RecebimentoConcreto[[#This Row],[RecebimentoID]])</f>
        <v>0</v>
      </c>
      <c r="M638" s="37">
        <v>36892</v>
      </c>
      <c r="N638" s="5" t="s">
        <v>1801</v>
      </c>
      <c r="O638" s="9">
        <v>7</v>
      </c>
      <c r="P638" s="5" t="s">
        <v>26</v>
      </c>
      <c r="Q638" s="2"/>
      <c r="R638" s="5" t="s">
        <v>27</v>
      </c>
      <c r="S638" s="5" t="s">
        <v>32</v>
      </c>
      <c r="T638" s="39">
        <v>390</v>
      </c>
    </row>
    <row r="639" spans="1:20" ht="20.100000000000001" hidden="1" customHeight="1" x14ac:dyDescent="0.25">
      <c r="A639" s="26" t="str">
        <f>CONCATENATE(RIGHT(LEFT(RecebimentoConcreto[[#This Row],[Obra]],5),4),"RCBC",TEXT(RecebimentoConcreto[[#This Row],[Ordem]],"0000"))</f>
        <v>0184RCBC0182</v>
      </c>
      <c r="B639" s="1">
        <v>182</v>
      </c>
      <c r="C639" s="1" t="s">
        <v>21</v>
      </c>
      <c r="D639" s="35">
        <v>44543</v>
      </c>
      <c r="E639" s="1" t="s">
        <v>1837</v>
      </c>
      <c r="F639" s="2" t="s">
        <v>1840</v>
      </c>
      <c r="G639" s="2">
        <v>55162</v>
      </c>
      <c r="H639" s="2" t="s">
        <v>1841</v>
      </c>
      <c r="K639" s="32">
        <f>_xlfn.MAXIFS(ConsumoConcreto[Fim do Bombeamento],ConsumoConcreto[RecebimentoID],RecebimentoConcreto[[#This Row],[RecebimentoID]])</f>
        <v>0</v>
      </c>
      <c r="M639" s="37">
        <v>36892</v>
      </c>
      <c r="N639" s="5" t="s">
        <v>1801</v>
      </c>
      <c r="O639" s="9">
        <v>7</v>
      </c>
      <c r="P639" s="5" t="s">
        <v>26</v>
      </c>
      <c r="Q639" s="2"/>
      <c r="R639" s="5" t="s">
        <v>27</v>
      </c>
      <c r="S639" s="5" t="s">
        <v>32</v>
      </c>
      <c r="T639" s="39">
        <v>390</v>
      </c>
    </row>
    <row r="640" spans="1:20" ht="20.100000000000001" hidden="1" customHeight="1" x14ac:dyDescent="0.25">
      <c r="A640" s="26" t="str">
        <f>CONCATENATE(RIGHT(LEFT(RecebimentoConcreto[[#This Row],[Obra]],5),4),"RCBC",TEXT(RecebimentoConcreto[[#This Row],[Ordem]],"0000"))</f>
        <v>0184RCBC0183</v>
      </c>
      <c r="B640" s="1">
        <v>183</v>
      </c>
      <c r="C640" s="1" t="s">
        <v>21</v>
      </c>
      <c r="D640" s="35">
        <v>44543</v>
      </c>
      <c r="E640" s="1" t="s">
        <v>38</v>
      </c>
      <c r="F640" s="2">
        <v>17068</v>
      </c>
      <c r="G640" s="2">
        <v>55162</v>
      </c>
      <c r="H640" s="2">
        <v>8616</v>
      </c>
      <c r="K640" s="32">
        <f>_xlfn.MAXIFS(ConsumoConcreto[Fim do Bombeamento],ConsumoConcreto[RecebimentoID],RecebimentoConcreto[[#This Row],[RecebimentoID]])</f>
        <v>0</v>
      </c>
      <c r="M640" s="37">
        <v>36892</v>
      </c>
      <c r="N640" s="5" t="s">
        <v>1801</v>
      </c>
      <c r="O640" s="9">
        <v>7</v>
      </c>
      <c r="P640" s="5" t="s">
        <v>26</v>
      </c>
      <c r="Q640" s="2"/>
      <c r="R640" s="5" t="s">
        <v>27</v>
      </c>
      <c r="S640" s="5" t="s">
        <v>32</v>
      </c>
      <c r="T640" s="39">
        <v>390</v>
      </c>
    </row>
    <row r="641" spans="1:20" ht="20.100000000000001" hidden="1" customHeight="1" x14ac:dyDescent="0.25">
      <c r="A641" s="26" t="str">
        <f>CONCATENATE(RIGHT(LEFT(RecebimentoConcreto[[#This Row],[Obra]],5),4),"RCBC",TEXT(RecebimentoConcreto[[#This Row],[Ordem]],"0000"))</f>
        <v>0184RCBC0184</v>
      </c>
      <c r="B641" s="1">
        <v>184</v>
      </c>
      <c r="C641" s="1" t="s">
        <v>21</v>
      </c>
      <c r="D641" s="35">
        <v>44547</v>
      </c>
      <c r="E641" s="1" t="s">
        <v>106</v>
      </c>
      <c r="F641" s="2">
        <v>16070</v>
      </c>
      <c r="G641" s="2">
        <v>55162</v>
      </c>
      <c r="H641" s="2">
        <v>8724</v>
      </c>
      <c r="K641" s="32">
        <f>_xlfn.MAXIFS(ConsumoConcreto[Fim do Bombeamento],ConsumoConcreto[RecebimentoID],RecebimentoConcreto[[#This Row],[RecebimentoID]])</f>
        <v>0</v>
      </c>
      <c r="M641" s="37">
        <v>36892</v>
      </c>
      <c r="N641" s="5" t="s">
        <v>1801</v>
      </c>
      <c r="O641" s="9">
        <v>6.5</v>
      </c>
      <c r="P641" s="5" t="s">
        <v>26</v>
      </c>
      <c r="Q641" s="2"/>
      <c r="R641" s="5" t="s">
        <v>27</v>
      </c>
      <c r="S641" s="5" t="s">
        <v>32</v>
      </c>
      <c r="T641" s="39">
        <v>390</v>
      </c>
    </row>
    <row r="642" spans="1:20" ht="20.100000000000001" hidden="1" customHeight="1" x14ac:dyDescent="0.25">
      <c r="A642" s="26" t="str">
        <f>CONCATENATE(RIGHT(LEFT(RecebimentoConcreto[[#This Row],[Obra]],5),4),"RCBC",TEXT(RecebimentoConcreto[[#This Row],[Ordem]],"0000"))</f>
        <v>0184RCBC0185</v>
      </c>
      <c r="B642" s="1">
        <v>185</v>
      </c>
      <c r="C642" s="1" t="s">
        <v>21</v>
      </c>
      <c r="D642" s="35">
        <v>44547</v>
      </c>
      <c r="E642" s="1" t="s">
        <v>1803</v>
      </c>
      <c r="F642" s="2" t="s">
        <v>1842</v>
      </c>
      <c r="G642" s="2">
        <v>55162</v>
      </c>
      <c r="H642" s="2" t="s">
        <v>1843</v>
      </c>
      <c r="K642" s="32">
        <f>_xlfn.MAXIFS(ConsumoConcreto[Fim do Bombeamento],ConsumoConcreto[RecebimentoID],RecebimentoConcreto[[#This Row],[RecebimentoID]])</f>
        <v>0</v>
      </c>
      <c r="M642" s="37">
        <v>36892</v>
      </c>
      <c r="N642" s="5" t="s">
        <v>1801</v>
      </c>
      <c r="O642" s="9">
        <v>6.5</v>
      </c>
      <c r="P642" s="5" t="s">
        <v>26</v>
      </c>
      <c r="Q642" s="2"/>
      <c r="R642" s="5" t="s">
        <v>27</v>
      </c>
      <c r="S642" s="5" t="s">
        <v>32</v>
      </c>
      <c r="T642" s="39">
        <v>390</v>
      </c>
    </row>
    <row r="643" spans="1:20" ht="20.100000000000001" hidden="1" customHeight="1" x14ac:dyDescent="0.25">
      <c r="A643" s="26" t="str">
        <f>CONCATENATE(RIGHT(LEFT(RecebimentoConcreto[[#This Row],[Obra]],5),4),"RCBC",TEXT(RecebimentoConcreto[[#This Row],[Ordem]],"0000"))</f>
        <v>0184RCBC0186</v>
      </c>
      <c r="B643" s="1">
        <v>186</v>
      </c>
      <c r="C643" s="1" t="s">
        <v>21</v>
      </c>
      <c r="D643" s="35">
        <v>44547</v>
      </c>
      <c r="E643" s="1" t="s">
        <v>1803</v>
      </c>
      <c r="F643" s="2" t="s">
        <v>1844</v>
      </c>
      <c r="G643" s="2">
        <v>55162</v>
      </c>
      <c r="H643" s="2" t="s">
        <v>1845</v>
      </c>
      <c r="K643" s="32">
        <f>_xlfn.MAXIFS(ConsumoConcreto[Fim do Bombeamento],ConsumoConcreto[RecebimentoID],RecebimentoConcreto[[#This Row],[RecebimentoID]])</f>
        <v>0</v>
      </c>
      <c r="M643" s="37">
        <v>36892</v>
      </c>
      <c r="N643" s="5" t="s">
        <v>1801</v>
      </c>
      <c r="O643" s="9">
        <v>6.5</v>
      </c>
      <c r="P643" s="5" t="s">
        <v>26</v>
      </c>
      <c r="Q643" s="2"/>
      <c r="R643" s="5" t="s">
        <v>27</v>
      </c>
      <c r="S643" s="5" t="s">
        <v>32</v>
      </c>
      <c r="T643" s="39">
        <v>390</v>
      </c>
    </row>
    <row r="644" spans="1:20" ht="20.100000000000001" hidden="1" customHeight="1" x14ac:dyDescent="0.25">
      <c r="A644" s="26" t="str">
        <f>CONCATENATE(RIGHT(LEFT(RecebimentoConcreto[[#This Row],[Obra]],5),4),"RCBC",TEXT(RecebimentoConcreto[[#This Row],[Ordem]],"0000"))</f>
        <v>0184RCBC0187</v>
      </c>
      <c r="B644" s="1">
        <v>187</v>
      </c>
      <c r="C644" s="1" t="s">
        <v>21</v>
      </c>
      <c r="D644" s="35">
        <v>44547</v>
      </c>
      <c r="E644" s="1" t="s">
        <v>1803</v>
      </c>
      <c r="F644" s="2" t="s">
        <v>1846</v>
      </c>
      <c r="G644" s="2">
        <v>55162</v>
      </c>
      <c r="H644" s="2" t="s">
        <v>1847</v>
      </c>
      <c r="K644" s="32">
        <f>_xlfn.MAXIFS(ConsumoConcreto[Fim do Bombeamento],ConsumoConcreto[RecebimentoID],RecebimentoConcreto[[#This Row],[RecebimentoID]])</f>
        <v>0</v>
      </c>
      <c r="M644" s="37">
        <v>36892</v>
      </c>
      <c r="N644" s="5" t="s">
        <v>1801</v>
      </c>
      <c r="O644" s="9">
        <v>6.5</v>
      </c>
      <c r="P644" s="5" t="s">
        <v>26</v>
      </c>
      <c r="Q644" s="2"/>
      <c r="R644" s="5" t="s">
        <v>27</v>
      </c>
      <c r="S644" s="5" t="s">
        <v>32</v>
      </c>
      <c r="T644" s="39">
        <v>390</v>
      </c>
    </row>
    <row r="645" spans="1:20" ht="20.100000000000001" hidden="1" customHeight="1" x14ac:dyDescent="0.25">
      <c r="A645" s="26" t="str">
        <f>CONCATENATE(RIGHT(LEFT(RecebimentoConcreto[[#This Row],[Obra]],5),4),"RCBC",TEXT(RecebimentoConcreto[[#This Row],[Ordem]],"0000"))</f>
        <v>0184RCBC0188</v>
      </c>
      <c r="B645" s="1">
        <v>188</v>
      </c>
      <c r="C645" s="1" t="s">
        <v>21</v>
      </c>
      <c r="D645" s="35">
        <v>44547</v>
      </c>
      <c r="E645" s="1" t="s">
        <v>106</v>
      </c>
      <c r="F645" s="2">
        <v>16084</v>
      </c>
      <c r="G645" s="2">
        <v>55162</v>
      </c>
      <c r="H645" s="2">
        <v>8738</v>
      </c>
      <c r="K645" s="32">
        <f>_xlfn.MAXIFS(ConsumoConcreto[Fim do Bombeamento],ConsumoConcreto[RecebimentoID],RecebimentoConcreto[[#This Row],[RecebimentoID]])</f>
        <v>0</v>
      </c>
      <c r="M645" s="37">
        <v>36892</v>
      </c>
      <c r="N645" s="5" t="s">
        <v>1801</v>
      </c>
      <c r="O645" s="9">
        <v>6.5</v>
      </c>
      <c r="P645" s="5" t="s">
        <v>26</v>
      </c>
      <c r="Q645" s="2"/>
      <c r="R645" s="5" t="s">
        <v>27</v>
      </c>
      <c r="S645" s="5" t="s">
        <v>32</v>
      </c>
      <c r="T645" s="39">
        <v>390</v>
      </c>
    </row>
    <row r="646" spans="1:20" ht="20.100000000000001" hidden="1" customHeight="1" x14ac:dyDescent="0.25">
      <c r="A646" s="26" t="str">
        <f>CONCATENATE(RIGHT(LEFT(RecebimentoConcreto[[#This Row],[Obra]],5),4),"RCBC",TEXT(RecebimentoConcreto[[#This Row],[Ordem]],"0000"))</f>
        <v>0184RCBC0189</v>
      </c>
      <c r="B646" s="1">
        <v>189</v>
      </c>
      <c r="C646" s="1" t="s">
        <v>21</v>
      </c>
      <c r="D646" s="35">
        <v>44550</v>
      </c>
      <c r="E646" s="1" t="s">
        <v>1848</v>
      </c>
      <c r="F646" s="2">
        <v>16117</v>
      </c>
      <c r="G646" s="2">
        <v>55162</v>
      </c>
      <c r="H646" s="2">
        <v>8772</v>
      </c>
      <c r="K646" s="32">
        <f>_xlfn.MAXIFS(ConsumoConcreto[Fim do Bombeamento],ConsumoConcreto[RecebimentoID],RecebimentoConcreto[[#This Row],[RecebimentoID]])</f>
        <v>0</v>
      </c>
      <c r="M646" s="37">
        <v>36892</v>
      </c>
      <c r="N646" s="5" t="s">
        <v>1801</v>
      </c>
      <c r="O646" s="9">
        <v>6</v>
      </c>
      <c r="P646" s="5" t="s">
        <v>26</v>
      </c>
      <c r="Q646" s="2"/>
      <c r="R646" s="5" t="s">
        <v>27</v>
      </c>
      <c r="S646" s="5" t="s">
        <v>32</v>
      </c>
      <c r="T646" s="39">
        <v>390</v>
      </c>
    </row>
    <row r="647" spans="1:20" ht="20.100000000000001" hidden="1" customHeight="1" x14ac:dyDescent="0.25">
      <c r="A647" s="26" t="str">
        <f>CONCATENATE(RIGHT(LEFT(RecebimentoConcreto[[#This Row],[Obra]],5),4),"RCBC",TEXT(RecebimentoConcreto[[#This Row],[Ordem]],"0000"))</f>
        <v>0184RCBC0190</v>
      </c>
      <c r="B647" s="1">
        <v>190</v>
      </c>
      <c r="C647" s="1" t="s">
        <v>21</v>
      </c>
      <c r="D647" s="35">
        <v>44550</v>
      </c>
      <c r="E647" s="1" t="s">
        <v>1848</v>
      </c>
      <c r="F647" s="2">
        <v>16123</v>
      </c>
      <c r="G647" s="2">
        <v>55162</v>
      </c>
      <c r="H647" s="2">
        <v>8778</v>
      </c>
      <c r="K647" s="32">
        <f>_xlfn.MAXIFS(ConsumoConcreto[Fim do Bombeamento],ConsumoConcreto[RecebimentoID],RecebimentoConcreto[[#This Row],[RecebimentoID]])</f>
        <v>0</v>
      </c>
      <c r="M647" s="37">
        <v>36892</v>
      </c>
      <c r="N647" s="5" t="s">
        <v>1801</v>
      </c>
      <c r="O647" s="9">
        <v>6</v>
      </c>
      <c r="P647" s="5" t="s">
        <v>26</v>
      </c>
      <c r="Q647" s="2"/>
      <c r="R647" s="5" t="s">
        <v>27</v>
      </c>
      <c r="S647" s="5" t="s">
        <v>32</v>
      </c>
      <c r="T647" s="39">
        <v>390</v>
      </c>
    </row>
    <row r="648" spans="1:20" ht="20.100000000000001" hidden="1" customHeight="1" x14ac:dyDescent="0.25">
      <c r="A648" s="26" t="str">
        <f>CONCATENATE(RIGHT(LEFT(RecebimentoConcreto[[#This Row],[Obra]],5),4),"RCBC",TEXT(RecebimentoConcreto[[#This Row],[Ordem]],"0000"))</f>
        <v>0184RCBC0191</v>
      </c>
      <c r="B648" s="1">
        <v>191</v>
      </c>
      <c r="C648" s="1" t="s">
        <v>21</v>
      </c>
      <c r="D648" s="35">
        <v>44550</v>
      </c>
      <c r="E648" s="1" t="s">
        <v>1849</v>
      </c>
      <c r="F648" s="2" t="s">
        <v>1850</v>
      </c>
      <c r="G648" s="2">
        <v>55162</v>
      </c>
      <c r="H648" s="2" t="s">
        <v>1851</v>
      </c>
      <c r="K648" s="32">
        <f>_xlfn.MAXIFS(ConsumoConcreto[Fim do Bombeamento],ConsumoConcreto[RecebimentoID],RecebimentoConcreto[[#This Row],[RecebimentoID]])</f>
        <v>0</v>
      </c>
      <c r="M648" s="37">
        <v>36892</v>
      </c>
      <c r="N648" s="5" t="s">
        <v>1801</v>
      </c>
      <c r="O648" s="9">
        <v>6</v>
      </c>
      <c r="P648" s="5" t="s">
        <v>26</v>
      </c>
      <c r="Q648" s="2"/>
      <c r="R648" s="5" t="s">
        <v>27</v>
      </c>
      <c r="S648" s="5" t="s">
        <v>32</v>
      </c>
      <c r="T648" s="39">
        <v>390</v>
      </c>
    </row>
    <row r="649" spans="1:20" ht="20.100000000000001" hidden="1" customHeight="1" x14ac:dyDescent="0.25">
      <c r="A649" s="26" t="str">
        <f>CONCATENATE(RIGHT(LEFT(RecebimentoConcreto[[#This Row],[Obra]],5),4),"RCBC",TEXT(RecebimentoConcreto[[#This Row],[Ordem]],"0000"))</f>
        <v>0184RCBC0192</v>
      </c>
      <c r="B649" s="1">
        <v>192</v>
      </c>
      <c r="C649" s="1" t="s">
        <v>21</v>
      </c>
      <c r="D649" s="35">
        <v>44550</v>
      </c>
      <c r="E649" s="1" t="s">
        <v>946</v>
      </c>
      <c r="F649" s="2" t="s">
        <v>1852</v>
      </c>
      <c r="G649" s="2">
        <v>55162</v>
      </c>
      <c r="H649" s="2" t="s">
        <v>1853</v>
      </c>
      <c r="K649" s="32">
        <f>_xlfn.MAXIFS(ConsumoConcreto[Fim do Bombeamento],ConsumoConcreto[RecebimentoID],RecebimentoConcreto[[#This Row],[RecebimentoID]])</f>
        <v>0</v>
      </c>
      <c r="M649" s="37">
        <v>36892</v>
      </c>
      <c r="N649" s="5" t="s">
        <v>1801</v>
      </c>
      <c r="O649" s="9">
        <v>6</v>
      </c>
      <c r="P649" s="5" t="s">
        <v>26</v>
      </c>
      <c r="Q649" s="2"/>
      <c r="R649" s="5" t="s">
        <v>27</v>
      </c>
      <c r="S649" s="5" t="s">
        <v>32</v>
      </c>
      <c r="T649" s="39">
        <v>390</v>
      </c>
    </row>
    <row r="650" spans="1:20" ht="20.100000000000001" hidden="1" customHeight="1" x14ac:dyDescent="0.25">
      <c r="A650" s="26" t="str">
        <f>CONCATENATE(RIGHT(LEFT(RecebimentoConcreto[[#This Row],[Obra]],5),4),"RCBC",TEXT(RecebimentoConcreto[[#This Row],[Ordem]],"0000"))</f>
        <v>0184RCBC0193</v>
      </c>
      <c r="B650" s="1">
        <v>193</v>
      </c>
      <c r="C650" s="1" t="s">
        <v>21</v>
      </c>
      <c r="D650" s="35">
        <v>44550</v>
      </c>
      <c r="E650" s="1" t="s">
        <v>1837</v>
      </c>
      <c r="F650" s="2" t="s">
        <v>1854</v>
      </c>
      <c r="G650" s="2">
        <v>55162</v>
      </c>
      <c r="H650" s="2" t="s">
        <v>1855</v>
      </c>
      <c r="K650" s="32">
        <f>_xlfn.MAXIFS(ConsumoConcreto[Fim do Bombeamento],ConsumoConcreto[RecebimentoID],RecebimentoConcreto[[#This Row],[RecebimentoID]])</f>
        <v>0</v>
      </c>
      <c r="M650" s="37">
        <v>36892</v>
      </c>
      <c r="N650" s="5" t="s">
        <v>1801</v>
      </c>
      <c r="O650" s="9">
        <v>6</v>
      </c>
      <c r="P650" s="5" t="s">
        <v>26</v>
      </c>
      <c r="Q650" s="2"/>
      <c r="R650" s="5" t="s">
        <v>27</v>
      </c>
      <c r="S650" s="5" t="s">
        <v>32</v>
      </c>
      <c r="T650" s="39">
        <v>390</v>
      </c>
    </row>
    <row r="651" spans="1:20" ht="20.100000000000001" hidden="1" customHeight="1" x14ac:dyDescent="0.25">
      <c r="A651" s="26" t="str">
        <f>CONCATENATE(RIGHT(LEFT(RecebimentoConcreto[[#This Row],[Obra]],5),4),"RCBC",TEXT(RecebimentoConcreto[[#This Row],[Ordem]],"0000"))</f>
        <v>0184RCBC0194</v>
      </c>
      <c r="B651" s="1">
        <v>194</v>
      </c>
      <c r="C651" s="1" t="s">
        <v>21</v>
      </c>
      <c r="D651" s="35">
        <v>44550</v>
      </c>
      <c r="E651" s="1" t="s">
        <v>1856</v>
      </c>
      <c r="F651" s="2" t="s">
        <v>1857</v>
      </c>
      <c r="G651" s="2">
        <v>55162</v>
      </c>
      <c r="H651" s="2" t="s">
        <v>1858</v>
      </c>
      <c r="K651" s="32">
        <f>_xlfn.MAXIFS(ConsumoConcreto[Fim do Bombeamento],ConsumoConcreto[RecebimentoID],RecebimentoConcreto[[#This Row],[RecebimentoID]])</f>
        <v>0</v>
      </c>
      <c r="M651" s="37">
        <v>36892</v>
      </c>
      <c r="N651" s="5" t="s">
        <v>1801</v>
      </c>
      <c r="O651" s="9">
        <v>6</v>
      </c>
      <c r="P651" s="5" t="s">
        <v>26</v>
      </c>
      <c r="Q651" s="2"/>
      <c r="R651" s="5" t="s">
        <v>27</v>
      </c>
      <c r="S651" s="5" t="s">
        <v>32</v>
      </c>
      <c r="T651" s="39">
        <v>390</v>
      </c>
    </row>
    <row r="652" spans="1:20" ht="20.100000000000001" hidden="1" customHeight="1" x14ac:dyDescent="0.25">
      <c r="A652" s="26" t="str">
        <f>CONCATENATE(RIGHT(LEFT(RecebimentoConcreto[[#This Row],[Obra]],5),4),"RCBC",TEXT(RecebimentoConcreto[[#This Row],[Ordem]],"0000"))</f>
        <v>0184RCBC0195</v>
      </c>
      <c r="B652" s="1">
        <v>195</v>
      </c>
      <c r="C652" s="1" t="s">
        <v>21</v>
      </c>
      <c r="D652" s="35">
        <v>44550</v>
      </c>
      <c r="E652" s="1" t="s">
        <v>38</v>
      </c>
      <c r="F652" s="2">
        <v>16134</v>
      </c>
      <c r="G652" s="2">
        <v>55162</v>
      </c>
      <c r="H652" s="2">
        <v>8789</v>
      </c>
      <c r="K652" s="32">
        <f>_xlfn.MAXIFS(ConsumoConcreto[Fim do Bombeamento],ConsumoConcreto[RecebimentoID],RecebimentoConcreto[[#This Row],[RecebimentoID]])</f>
        <v>0</v>
      </c>
      <c r="M652" s="37">
        <v>36892</v>
      </c>
      <c r="N652" s="5" t="s">
        <v>1801</v>
      </c>
      <c r="O652" s="9">
        <v>6</v>
      </c>
      <c r="P652" s="5" t="s">
        <v>26</v>
      </c>
      <c r="Q652" s="2"/>
      <c r="R652" s="5" t="s">
        <v>27</v>
      </c>
      <c r="S652" s="5" t="s">
        <v>32</v>
      </c>
      <c r="T652" s="39">
        <v>390</v>
      </c>
    </row>
    <row r="653" spans="1:20" ht="20.100000000000001" hidden="1" customHeight="1" x14ac:dyDescent="0.25">
      <c r="A653" s="26" t="str">
        <f>CONCATENATE(RIGHT(LEFT(RecebimentoConcreto[[#This Row],[Obra]],5),4),"RCBC",TEXT(RecebimentoConcreto[[#This Row],[Ordem]],"0000"))</f>
        <v>0184RCBC0196</v>
      </c>
      <c r="B653" s="1">
        <v>196</v>
      </c>
      <c r="C653" s="1" t="s">
        <v>21</v>
      </c>
      <c r="D653" s="35">
        <v>44559</v>
      </c>
      <c r="G653" s="2">
        <v>54855</v>
      </c>
      <c r="K653" s="32">
        <f>_xlfn.MAXIFS(ConsumoConcreto[Fim do Bombeamento],ConsumoConcreto[RecebimentoID],RecebimentoConcreto[[#This Row],[RecebimentoID]])</f>
        <v>0</v>
      </c>
      <c r="M653" s="37">
        <v>36892</v>
      </c>
      <c r="N653" s="5" t="s">
        <v>1801</v>
      </c>
      <c r="O653" s="9">
        <v>5.5</v>
      </c>
      <c r="P653" s="5" t="s">
        <v>26</v>
      </c>
      <c r="Q653" s="2"/>
      <c r="R653" s="5" t="s">
        <v>27</v>
      </c>
      <c r="S653" s="5" t="s">
        <v>28</v>
      </c>
      <c r="T653" s="39">
        <v>390</v>
      </c>
    </row>
    <row r="654" spans="1:20" ht="20.100000000000001" hidden="1" customHeight="1" x14ac:dyDescent="0.25">
      <c r="A654" s="26" t="str">
        <f>CONCATENATE(RIGHT(LEFT(RecebimentoConcreto[[#This Row],[Obra]],5),4),"RCBC",TEXT(RecebimentoConcreto[[#This Row],[Ordem]],"0000"))</f>
        <v>0184RCBC0197</v>
      </c>
      <c r="B654" s="1">
        <v>197</v>
      </c>
      <c r="C654" s="1" t="s">
        <v>21</v>
      </c>
      <c r="D654" s="35">
        <v>44559</v>
      </c>
      <c r="G654" s="2">
        <v>54855</v>
      </c>
      <c r="K654" s="32">
        <f>_xlfn.MAXIFS(ConsumoConcreto[Fim do Bombeamento],ConsumoConcreto[RecebimentoID],RecebimentoConcreto[[#This Row],[RecebimentoID]])</f>
        <v>0</v>
      </c>
      <c r="M654" s="37">
        <v>36892</v>
      </c>
      <c r="N654" s="5" t="s">
        <v>1801</v>
      </c>
      <c r="O654" s="9">
        <v>5.5</v>
      </c>
      <c r="P654" s="5" t="s">
        <v>26</v>
      </c>
      <c r="Q654" s="2"/>
      <c r="R654" s="5" t="s">
        <v>27</v>
      </c>
      <c r="S654" s="5" t="s">
        <v>28</v>
      </c>
      <c r="T654" s="39">
        <v>390</v>
      </c>
    </row>
    <row r="655" spans="1:20" ht="20.100000000000001" hidden="1" customHeight="1" x14ac:dyDescent="0.25">
      <c r="A655" s="26" t="str">
        <f>CONCATENATE(RIGHT(LEFT(RecebimentoConcreto[[#This Row],[Obra]],5),4),"RCBC",TEXT(RecebimentoConcreto[[#This Row],[Ordem]],"0000"))</f>
        <v>0184RCBC0198</v>
      </c>
      <c r="B655" s="1">
        <v>198</v>
      </c>
      <c r="C655" s="1" t="s">
        <v>21</v>
      </c>
      <c r="D655" s="35">
        <v>44559</v>
      </c>
      <c r="G655" s="2">
        <v>54855</v>
      </c>
      <c r="K655" s="32">
        <f>_xlfn.MAXIFS(ConsumoConcreto[Fim do Bombeamento],ConsumoConcreto[RecebimentoID],RecebimentoConcreto[[#This Row],[RecebimentoID]])</f>
        <v>0</v>
      </c>
      <c r="M655" s="37">
        <v>36892</v>
      </c>
      <c r="N655" s="5" t="s">
        <v>1801</v>
      </c>
      <c r="O655" s="9">
        <v>5.5</v>
      </c>
      <c r="P655" s="5" t="s">
        <v>26</v>
      </c>
      <c r="Q655" s="2"/>
      <c r="R655" s="5" t="s">
        <v>27</v>
      </c>
      <c r="S655" s="5" t="s">
        <v>28</v>
      </c>
      <c r="T655" s="39">
        <v>390</v>
      </c>
    </row>
    <row r="656" spans="1:20" ht="20.100000000000001" hidden="1" customHeight="1" x14ac:dyDescent="0.25">
      <c r="A656" s="26" t="str">
        <f>CONCATENATE(RIGHT(LEFT(RecebimentoConcreto[[#This Row],[Obra]],5),4),"RCBC",TEXT(RecebimentoConcreto[[#This Row],[Ordem]],"0000"))</f>
        <v>0184RCBC0199</v>
      </c>
      <c r="B656" s="1">
        <v>199</v>
      </c>
      <c r="C656" s="1" t="s">
        <v>21</v>
      </c>
      <c r="D656" s="35">
        <v>44559</v>
      </c>
      <c r="G656" s="2">
        <v>54855</v>
      </c>
      <c r="K656" s="32">
        <f>_xlfn.MAXIFS(ConsumoConcreto[Fim do Bombeamento],ConsumoConcreto[RecebimentoID],RecebimentoConcreto[[#This Row],[RecebimentoID]])</f>
        <v>0</v>
      </c>
      <c r="M656" s="37">
        <v>36892</v>
      </c>
      <c r="N656" s="5" t="s">
        <v>1801</v>
      </c>
      <c r="O656" s="9">
        <v>5.5</v>
      </c>
      <c r="P656" s="5" t="s">
        <v>26</v>
      </c>
      <c r="Q656" s="2"/>
      <c r="R656" s="5" t="s">
        <v>27</v>
      </c>
      <c r="S656" s="5" t="s">
        <v>28</v>
      </c>
      <c r="T656" s="39">
        <v>390</v>
      </c>
    </row>
    <row r="657" spans="1:20" ht="20.100000000000001" hidden="1" customHeight="1" x14ac:dyDescent="0.25">
      <c r="A657" s="26" t="str">
        <f>CONCATENATE(RIGHT(LEFT(RecebimentoConcreto[[#This Row],[Obra]],5),4),"RCBC",TEXT(RecebimentoConcreto[[#This Row],[Ordem]],"0000"))</f>
        <v>0184RCBC0200</v>
      </c>
      <c r="B657" s="1">
        <v>200</v>
      </c>
      <c r="C657" s="1" t="s">
        <v>21</v>
      </c>
      <c r="D657" s="35">
        <v>44559</v>
      </c>
      <c r="G657" s="2">
        <v>54855</v>
      </c>
      <c r="K657" s="32">
        <f>_xlfn.MAXIFS(ConsumoConcreto[Fim do Bombeamento],ConsumoConcreto[RecebimentoID],RecebimentoConcreto[[#This Row],[RecebimentoID]])</f>
        <v>0</v>
      </c>
      <c r="M657" s="37">
        <v>36892</v>
      </c>
      <c r="N657" s="5" t="s">
        <v>1801</v>
      </c>
      <c r="O657" s="9">
        <v>5.5</v>
      </c>
      <c r="P657" s="5" t="s">
        <v>26</v>
      </c>
      <c r="Q657" s="2"/>
      <c r="R657" s="5" t="s">
        <v>27</v>
      </c>
      <c r="S657" s="5" t="s">
        <v>28</v>
      </c>
      <c r="T657" s="39">
        <v>390</v>
      </c>
    </row>
    <row r="658" spans="1:20" ht="20.100000000000001" hidden="1" customHeight="1" x14ac:dyDescent="0.25">
      <c r="A658" s="26" t="str">
        <f>CONCATENATE(RIGHT(LEFT(RecebimentoConcreto[[#This Row],[Obra]],5),4),"RCBC",TEXT(RecebimentoConcreto[[#This Row],[Ordem]],"0000"))</f>
        <v>0184RCBC0201</v>
      </c>
      <c r="B658" s="1">
        <v>201</v>
      </c>
      <c r="C658" s="1" t="s">
        <v>21</v>
      </c>
      <c r="D658" s="35">
        <v>44559</v>
      </c>
      <c r="G658" s="2">
        <v>54855</v>
      </c>
      <c r="K658" s="32">
        <f>_xlfn.MAXIFS(ConsumoConcreto[Fim do Bombeamento],ConsumoConcreto[RecebimentoID],RecebimentoConcreto[[#This Row],[RecebimentoID]])</f>
        <v>0</v>
      </c>
      <c r="M658" s="37">
        <v>36892</v>
      </c>
      <c r="N658" s="5" t="s">
        <v>1801</v>
      </c>
      <c r="O658" s="9">
        <v>5.5</v>
      </c>
      <c r="P658" s="5" t="s">
        <v>26</v>
      </c>
      <c r="Q658" s="2"/>
      <c r="R658" s="5" t="s">
        <v>27</v>
      </c>
      <c r="S658" s="5" t="s">
        <v>28</v>
      </c>
      <c r="T658" s="39">
        <v>390</v>
      </c>
    </row>
    <row r="659" spans="1:20" ht="20.100000000000001" hidden="1" customHeight="1" x14ac:dyDescent="0.25">
      <c r="A659" s="26" t="str">
        <f>CONCATENATE(RIGHT(LEFT(RecebimentoConcreto[[#This Row],[Obra]],5),4),"RCBC",TEXT(RecebimentoConcreto[[#This Row],[Ordem]],"0000"))</f>
        <v>0184RCBC0202</v>
      </c>
      <c r="B659" s="1">
        <v>202</v>
      </c>
      <c r="C659" s="1" t="s">
        <v>21</v>
      </c>
      <c r="D659" s="35">
        <v>44560</v>
      </c>
      <c r="G659" s="2">
        <v>54855</v>
      </c>
      <c r="K659" s="32">
        <f>_xlfn.MAXIFS(ConsumoConcreto[Fim do Bombeamento],ConsumoConcreto[RecebimentoID],RecebimentoConcreto[[#This Row],[RecebimentoID]])</f>
        <v>0</v>
      </c>
      <c r="M659" s="37">
        <v>36892</v>
      </c>
      <c r="N659" s="5" t="s">
        <v>1801</v>
      </c>
      <c r="O659" s="9">
        <v>5.5</v>
      </c>
      <c r="P659" s="5" t="s">
        <v>26</v>
      </c>
      <c r="Q659" s="2"/>
      <c r="R659" s="5" t="s">
        <v>27</v>
      </c>
      <c r="S659" s="5" t="s">
        <v>28</v>
      </c>
      <c r="T659" s="39">
        <v>390</v>
      </c>
    </row>
    <row r="660" spans="1:20" ht="20.100000000000001" hidden="1" customHeight="1" x14ac:dyDescent="0.25">
      <c r="A660" s="26" t="str">
        <f>CONCATENATE(RIGHT(LEFT(RecebimentoConcreto[[#This Row],[Obra]],5),4),"RCBC",TEXT(RecebimentoConcreto[[#This Row],[Ordem]],"0000"))</f>
        <v>0184RCBC0203</v>
      </c>
      <c r="B660" s="1">
        <v>203</v>
      </c>
      <c r="C660" s="1" t="s">
        <v>21</v>
      </c>
      <c r="D660" s="35">
        <v>44560</v>
      </c>
      <c r="G660" s="2">
        <v>54855</v>
      </c>
      <c r="K660" s="32">
        <f>_xlfn.MAXIFS(ConsumoConcreto[Fim do Bombeamento],ConsumoConcreto[RecebimentoID],RecebimentoConcreto[[#This Row],[RecebimentoID]])</f>
        <v>0</v>
      </c>
      <c r="M660" s="37">
        <v>36892</v>
      </c>
      <c r="N660" s="5" t="s">
        <v>1801</v>
      </c>
      <c r="O660" s="9">
        <v>5.5</v>
      </c>
      <c r="P660" s="5" t="s">
        <v>26</v>
      </c>
      <c r="Q660" s="2"/>
      <c r="R660" s="5" t="s">
        <v>27</v>
      </c>
      <c r="S660" s="5" t="s">
        <v>28</v>
      </c>
      <c r="T660" s="39">
        <v>390</v>
      </c>
    </row>
    <row r="661" spans="1:20" ht="20.100000000000001" hidden="1" customHeight="1" x14ac:dyDescent="0.25">
      <c r="A661" s="26" t="str">
        <f>CONCATENATE(RIGHT(LEFT(RecebimentoConcreto[[#This Row],[Obra]],5),4),"RCBC",TEXT(RecebimentoConcreto[[#This Row],[Ordem]],"0000"))</f>
        <v>0184RCBC0204</v>
      </c>
      <c r="B661" s="1">
        <v>204</v>
      </c>
      <c r="C661" s="1" t="s">
        <v>21</v>
      </c>
      <c r="D661" s="35">
        <v>44560</v>
      </c>
      <c r="G661" s="2">
        <v>54855</v>
      </c>
      <c r="K661" s="32">
        <f>_xlfn.MAXIFS(ConsumoConcreto[Fim do Bombeamento],ConsumoConcreto[RecebimentoID],RecebimentoConcreto[[#This Row],[RecebimentoID]])</f>
        <v>0</v>
      </c>
      <c r="M661" s="37">
        <v>36892</v>
      </c>
      <c r="N661" s="5" t="s">
        <v>1801</v>
      </c>
      <c r="O661" s="9">
        <v>5.5</v>
      </c>
      <c r="P661" s="5" t="s">
        <v>26</v>
      </c>
      <c r="Q661" s="2"/>
      <c r="R661" s="5" t="s">
        <v>27</v>
      </c>
      <c r="S661" s="5" t="s">
        <v>28</v>
      </c>
      <c r="T661" s="39">
        <v>390</v>
      </c>
    </row>
    <row r="662" spans="1:20" ht="20.100000000000001" hidden="1" customHeight="1" x14ac:dyDescent="0.25">
      <c r="A662" s="26" t="str">
        <f>CONCATENATE(RIGHT(LEFT(RecebimentoConcreto[[#This Row],[Obra]],5),4),"RCBC",TEXT(RecebimentoConcreto[[#This Row],[Ordem]],"0000"))</f>
        <v>0184RCBC0205</v>
      </c>
      <c r="B662" s="1">
        <v>205</v>
      </c>
      <c r="C662" s="1" t="s">
        <v>21</v>
      </c>
      <c r="D662" s="35">
        <v>44560</v>
      </c>
      <c r="G662" s="2">
        <v>54855</v>
      </c>
      <c r="K662" s="32">
        <f>_xlfn.MAXIFS(ConsumoConcreto[Fim do Bombeamento],ConsumoConcreto[RecebimentoID],RecebimentoConcreto[[#This Row],[RecebimentoID]])</f>
        <v>0</v>
      </c>
      <c r="M662" s="37">
        <v>36892</v>
      </c>
      <c r="N662" s="5" t="s">
        <v>1801</v>
      </c>
      <c r="O662" s="9">
        <v>5.5</v>
      </c>
      <c r="P662" s="5" t="s">
        <v>26</v>
      </c>
      <c r="Q662" s="2"/>
      <c r="R662" s="5" t="s">
        <v>27</v>
      </c>
      <c r="S662" s="5" t="s">
        <v>28</v>
      </c>
      <c r="T662" s="39">
        <v>390</v>
      </c>
    </row>
    <row r="663" spans="1:20" ht="20.100000000000001" hidden="1" customHeight="1" x14ac:dyDescent="0.25">
      <c r="A663" s="26" t="str">
        <f>CONCATENATE(RIGHT(LEFT(RecebimentoConcreto[[#This Row],[Obra]],5),4),"RCBC",TEXT(RecebimentoConcreto[[#This Row],[Ordem]],"0000"))</f>
        <v>0184RCBC0206</v>
      </c>
      <c r="B663" s="1">
        <v>206</v>
      </c>
      <c r="C663" s="1" t="s">
        <v>21</v>
      </c>
      <c r="D663" s="35">
        <v>44560</v>
      </c>
      <c r="G663" s="2">
        <v>54855</v>
      </c>
      <c r="K663" s="32">
        <f>_xlfn.MAXIFS(ConsumoConcreto[Fim do Bombeamento],ConsumoConcreto[RecebimentoID],RecebimentoConcreto[[#This Row],[RecebimentoID]])</f>
        <v>0</v>
      </c>
      <c r="M663" s="37">
        <v>36892</v>
      </c>
      <c r="N663" s="5" t="s">
        <v>1801</v>
      </c>
      <c r="O663" s="9">
        <v>5.5</v>
      </c>
      <c r="P663" s="5" t="s">
        <v>26</v>
      </c>
      <c r="Q663" s="2"/>
      <c r="R663" s="5" t="s">
        <v>27</v>
      </c>
      <c r="S663" s="5" t="s">
        <v>28</v>
      </c>
      <c r="T663" s="39">
        <v>390</v>
      </c>
    </row>
    <row r="664" spans="1:20" ht="20.100000000000001" hidden="1" customHeight="1" x14ac:dyDescent="0.25">
      <c r="A664" s="26" t="str">
        <f>CONCATENATE(RIGHT(LEFT(RecebimentoConcreto[[#This Row],[Obra]],5),4),"RCBC",TEXT(RecebimentoConcreto[[#This Row],[Ordem]],"0000"))</f>
        <v>0184RCBC0207</v>
      </c>
      <c r="B664" s="1">
        <v>207</v>
      </c>
      <c r="C664" s="1" t="s">
        <v>21</v>
      </c>
      <c r="D664" s="35">
        <v>44560</v>
      </c>
      <c r="G664" s="2">
        <v>54855</v>
      </c>
      <c r="K664" s="32">
        <f>_xlfn.MAXIFS(ConsumoConcreto[Fim do Bombeamento],ConsumoConcreto[RecebimentoID],RecebimentoConcreto[[#This Row],[RecebimentoID]])</f>
        <v>0</v>
      </c>
      <c r="M664" s="37">
        <v>36892</v>
      </c>
      <c r="N664" s="5" t="s">
        <v>1801</v>
      </c>
      <c r="O664" s="9">
        <v>7</v>
      </c>
      <c r="P664" s="5" t="s">
        <v>26</v>
      </c>
      <c r="Q664" s="2"/>
      <c r="R664" s="5" t="s">
        <v>27</v>
      </c>
      <c r="S664" s="5" t="s">
        <v>28</v>
      </c>
      <c r="T664" s="39">
        <v>390</v>
      </c>
    </row>
    <row r="665" spans="1:20" ht="20.100000000000001" hidden="1" customHeight="1" x14ac:dyDescent="0.25">
      <c r="A665" s="26" t="str">
        <f>CONCATENATE(RIGHT(LEFT(RecebimentoConcreto[[#This Row],[Obra]],5),4),"RCBC",TEXT(RecebimentoConcreto[[#This Row],[Ordem]],"0000"))</f>
        <v>0184RCBC0208</v>
      </c>
      <c r="B665" s="1">
        <v>208</v>
      </c>
      <c r="C665" s="1" t="s">
        <v>21</v>
      </c>
      <c r="D665" s="35">
        <v>44560</v>
      </c>
      <c r="G665" s="2">
        <v>54855</v>
      </c>
      <c r="K665" s="32">
        <f>_xlfn.MAXIFS(ConsumoConcreto[Fim do Bombeamento],ConsumoConcreto[RecebimentoID],RecebimentoConcreto[[#This Row],[RecebimentoID]])</f>
        <v>0</v>
      </c>
      <c r="M665" s="37">
        <v>36892</v>
      </c>
      <c r="N665" s="5" t="s">
        <v>1801</v>
      </c>
      <c r="O665" s="9">
        <v>7</v>
      </c>
      <c r="P665" s="5" t="s">
        <v>26</v>
      </c>
      <c r="Q665" s="2"/>
      <c r="R665" s="5" t="s">
        <v>27</v>
      </c>
      <c r="S665" s="5" t="s">
        <v>28</v>
      </c>
      <c r="T665" s="39">
        <v>390</v>
      </c>
    </row>
    <row r="666" spans="1:20" ht="20.100000000000001" hidden="1" customHeight="1" x14ac:dyDescent="0.25">
      <c r="A666" s="26" t="str">
        <f>CONCATENATE(RIGHT(LEFT(RecebimentoConcreto[[#This Row],[Obra]],5),4),"RCBC",TEXT(RecebimentoConcreto[[#This Row],[Ordem]],"0000"))</f>
        <v>0184RCBC0209</v>
      </c>
      <c r="B666" s="1">
        <v>209</v>
      </c>
      <c r="C666" s="1" t="s">
        <v>21</v>
      </c>
      <c r="D666" s="35">
        <v>44560</v>
      </c>
      <c r="G666" s="2">
        <v>54855</v>
      </c>
      <c r="K666" s="32">
        <f>_xlfn.MAXIFS(ConsumoConcreto[Fim do Bombeamento],ConsumoConcreto[RecebimentoID],RecebimentoConcreto[[#This Row],[RecebimentoID]])</f>
        <v>0</v>
      </c>
      <c r="M666" s="37">
        <v>36892</v>
      </c>
      <c r="N666" s="5" t="s">
        <v>1801</v>
      </c>
      <c r="O666" s="9">
        <v>7</v>
      </c>
      <c r="P666" s="5" t="s">
        <v>26</v>
      </c>
      <c r="Q666" s="2"/>
      <c r="R666" s="5" t="s">
        <v>27</v>
      </c>
      <c r="S666" s="5" t="s">
        <v>28</v>
      </c>
      <c r="T666" s="39">
        <v>390</v>
      </c>
    </row>
    <row r="667" spans="1:20" ht="20.100000000000001" hidden="1" customHeight="1" x14ac:dyDescent="0.25">
      <c r="A667" s="26" t="str">
        <f>CONCATENATE(RIGHT(LEFT(RecebimentoConcreto[[#This Row],[Obra]],5),4),"RCBC",TEXT(RecebimentoConcreto[[#This Row],[Ordem]],"0000"))</f>
        <v>0184RCBC0210</v>
      </c>
      <c r="B667" s="1">
        <v>210</v>
      </c>
      <c r="C667" s="1" t="s">
        <v>21</v>
      </c>
      <c r="D667" s="35">
        <v>44560</v>
      </c>
      <c r="G667" s="2">
        <v>54855</v>
      </c>
      <c r="K667" s="32">
        <f>_xlfn.MAXIFS(ConsumoConcreto[Fim do Bombeamento],ConsumoConcreto[RecebimentoID],RecebimentoConcreto[[#This Row],[RecebimentoID]])</f>
        <v>0</v>
      </c>
      <c r="M667" s="37">
        <v>36892</v>
      </c>
      <c r="N667" s="5" t="s">
        <v>1801</v>
      </c>
      <c r="O667" s="9">
        <v>7</v>
      </c>
      <c r="P667" s="5" t="s">
        <v>26</v>
      </c>
      <c r="Q667" s="2"/>
      <c r="R667" s="5" t="s">
        <v>27</v>
      </c>
      <c r="S667" s="5" t="s">
        <v>28</v>
      </c>
      <c r="T667" s="39">
        <v>390</v>
      </c>
    </row>
    <row r="668" spans="1:20" ht="20.100000000000001" hidden="1" customHeight="1" x14ac:dyDescent="0.25">
      <c r="A668" s="26" t="str">
        <f>CONCATENATE(RIGHT(LEFT(RecebimentoConcreto[[#This Row],[Obra]],5),4),"RCBC",TEXT(RecebimentoConcreto[[#This Row],[Ordem]],"0000"))</f>
        <v>0184RCBC0243</v>
      </c>
      <c r="B668" s="1">
        <v>243</v>
      </c>
      <c r="C668" s="1" t="s">
        <v>21</v>
      </c>
      <c r="D668" s="35">
        <v>44783</v>
      </c>
      <c r="E668" s="1" t="s">
        <v>36</v>
      </c>
      <c r="F668" s="2">
        <v>18279</v>
      </c>
      <c r="G668" s="2">
        <v>5408</v>
      </c>
      <c r="H668" s="2">
        <v>15997</v>
      </c>
      <c r="K668" s="32">
        <f>_xlfn.MAXIFS(ConsumoConcreto[Fim do Bombeamento],ConsumoConcreto[RecebimentoID],RecebimentoConcreto[[#This Row],[RecebimentoID]])</f>
        <v>0</v>
      </c>
      <c r="M668" s="37">
        <v>36892</v>
      </c>
      <c r="N668" s="5" t="s">
        <v>1801</v>
      </c>
      <c r="O668" s="9">
        <v>0.1</v>
      </c>
      <c r="P668" s="5" t="s">
        <v>26</v>
      </c>
      <c r="Q668" s="2">
        <v>3</v>
      </c>
      <c r="R668" s="5" t="s">
        <v>27</v>
      </c>
      <c r="S668" s="5" t="s">
        <v>32</v>
      </c>
      <c r="T668" s="39">
        <v>460</v>
      </c>
    </row>
    <row r="669" spans="1:20" ht="20.100000000000001" hidden="1" customHeight="1" x14ac:dyDescent="0.25">
      <c r="A669" s="26" t="str">
        <f>CONCATENATE(RIGHT(LEFT(RecebimentoConcreto[[#This Row],[Obra]],5),4),"RCBC",TEXT(RecebimentoConcreto[[#This Row],[Ordem]],"0000"))</f>
        <v>0184RCBC0244</v>
      </c>
      <c r="B669" s="1">
        <v>244</v>
      </c>
      <c r="C669" s="1" t="s">
        <v>21</v>
      </c>
      <c r="D669" s="35">
        <v>44783</v>
      </c>
      <c r="E669" s="1" t="s">
        <v>36</v>
      </c>
      <c r="F669" s="2">
        <v>18279</v>
      </c>
      <c r="G669" s="2">
        <v>5408</v>
      </c>
      <c r="H669" s="2">
        <v>15997</v>
      </c>
      <c r="K669" s="32">
        <f>_xlfn.MAXIFS(ConsumoConcreto[Fim do Bombeamento],ConsumoConcreto[RecebimentoID],RecebimentoConcreto[[#This Row],[RecebimentoID]])</f>
        <v>0</v>
      </c>
      <c r="M669" s="37">
        <v>36892</v>
      </c>
      <c r="N669" s="5" t="s">
        <v>1801</v>
      </c>
      <c r="O669" s="9">
        <v>0.1</v>
      </c>
      <c r="P669" s="5" t="s">
        <v>26</v>
      </c>
      <c r="Q669" s="2">
        <v>3</v>
      </c>
      <c r="R669" s="5" t="s">
        <v>27</v>
      </c>
      <c r="S669" s="5" t="s">
        <v>32</v>
      </c>
      <c r="T669" s="39">
        <v>460</v>
      </c>
    </row>
    <row r="670" spans="1:20" ht="20.100000000000001" hidden="1" customHeight="1" x14ac:dyDescent="0.25">
      <c r="A670" s="26" t="str">
        <f>CONCATENATE(RIGHT(LEFT(RecebimentoConcreto[[#This Row],[Obra]],5),4),"RCBC",TEXT(RecebimentoConcreto[[#This Row],[Ordem]],"0000"))</f>
        <v>0184RCBC0245</v>
      </c>
      <c r="B670" s="1">
        <v>245</v>
      </c>
      <c r="C670" s="1" t="s">
        <v>21</v>
      </c>
      <c r="D670" s="35">
        <v>44783</v>
      </c>
      <c r="E670" s="1" t="s">
        <v>36</v>
      </c>
      <c r="F670" s="2">
        <v>18279</v>
      </c>
      <c r="G670" s="2">
        <v>5408</v>
      </c>
      <c r="H670" s="2">
        <v>15997</v>
      </c>
      <c r="K670" s="32">
        <f>_xlfn.MAXIFS(ConsumoConcreto[Fim do Bombeamento],ConsumoConcreto[RecebimentoID],RecebimentoConcreto[[#This Row],[RecebimentoID]])</f>
        <v>0</v>
      </c>
      <c r="M670" s="37">
        <v>36892</v>
      </c>
      <c r="N670" s="5" t="s">
        <v>1801</v>
      </c>
      <c r="O670" s="9">
        <v>0.1</v>
      </c>
      <c r="P670" s="5" t="s">
        <v>26</v>
      </c>
      <c r="Q670" s="2">
        <v>3</v>
      </c>
      <c r="R670" s="5" t="s">
        <v>27</v>
      </c>
      <c r="S670" s="5" t="s">
        <v>32</v>
      </c>
      <c r="T670" s="39">
        <v>460</v>
      </c>
    </row>
    <row r="671" spans="1:20" ht="20.100000000000001" hidden="1" customHeight="1" x14ac:dyDescent="0.25">
      <c r="A671" s="26" t="str">
        <f>CONCATENATE(RIGHT(LEFT(RecebimentoConcreto[[#This Row],[Obra]],5),4),"RCBC",TEXT(RecebimentoConcreto[[#This Row],[Ordem]],"0000"))</f>
        <v>0184RCBC0246</v>
      </c>
      <c r="B671" s="1">
        <v>246</v>
      </c>
      <c r="C671" s="1" t="s">
        <v>21</v>
      </c>
      <c r="D671" s="35">
        <v>44783</v>
      </c>
      <c r="E671" s="1" t="s">
        <v>36</v>
      </c>
      <c r="F671" s="2">
        <v>18279</v>
      </c>
      <c r="G671" s="2">
        <v>5408</v>
      </c>
      <c r="H671" s="2">
        <v>15997</v>
      </c>
      <c r="K671" s="32">
        <f>_xlfn.MAXIFS(ConsumoConcreto[Fim do Bombeamento],ConsumoConcreto[RecebimentoID],RecebimentoConcreto[[#This Row],[RecebimentoID]])</f>
        <v>0</v>
      </c>
      <c r="M671" s="37">
        <v>36892</v>
      </c>
      <c r="N671" s="5" t="s">
        <v>1801</v>
      </c>
      <c r="O671" s="9">
        <v>0.1</v>
      </c>
      <c r="P671" s="5" t="s">
        <v>26</v>
      </c>
      <c r="Q671" s="2">
        <v>3</v>
      </c>
      <c r="R671" s="5" t="s">
        <v>27</v>
      </c>
      <c r="S671" s="5" t="s">
        <v>32</v>
      </c>
      <c r="T671" s="39">
        <v>460</v>
      </c>
    </row>
    <row r="672" spans="1:20" ht="20.100000000000001" hidden="1" customHeight="1" x14ac:dyDescent="0.25">
      <c r="A672" s="26" t="str">
        <f>CONCATENATE(RIGHT(LEFT(RecebimentoConcreto[[#This Row],[Obra]],5),4),"RCBC",TEXT(RecebimentoConcreto[[#This Row],[Ordem]],"0000"))</f>
        <v>0184RCBC0247</v>
      </c>
      <c r="B672" s="1">
        <v>247</v>
      </c>
      <c r="C672" s="1" t="s">
        <v>21</v>
      </c>
      <c r="D672" s="35">
        <v>44783</v>
      </c>
      <c r="E672" s="1" t="s">
        <v>36</v>
      </c>
      <c r="F672" s="2">
        <v>18279</v>
      </c>
      <c r="G672" s="2">
        <v>5408</v>
      </c>
      <c r="H672" s="2">
        <v>15997</v>
      </c>
      <c r="K672" s="32">
        <f>_xlfn.MAXIFS(ConsumoConcreto[Fim do Bombeamento],ConsumoConcreto[RecebimentoID],RecebimentoConcreto[[#This Row],[RecebimentoID]])</f>
        <v>0</v>
      </c>
      <c r="M672" s="37">
        <v>36892</v>
      </c>
      <c r="N672" s="5" t="s">
        <v>1801</v>
      </c>
      <c r="O672" s="9">
        <v>0.1</v>
      </c>
      <c r="P672" s="5" t="s">
        <v>26</v>
      </c>
      <c r="Q672" s="2">
        <v>3</v>
      </c>
      <c r="R672" s="5" t="s">
        <v>27</v>
      </c>
      <c r="S672" s="5" t="s">
        <v>32</v>
      </c>
      <c r="T672" s="39">
        <v>460</v>
      </c>
    </row>
    <row r="673" spans="1:20" ht="20.100000000000001" hidden="1" customHeight="1" x14ac:dyDescent="0.25">
      <c r="A673" s="26" t="str">
        <f>CONCATENATE(RIGHT(LEFT(RecebimentoConcreto[[#This Row],[Obra]],5),4),"RCBC",TEXT(RecebimentoConcreto[[#This Row],[Ordem]],"0000"))</f>
        <v>0184RCBC0248</v>
      </c>
      <c r="B673" s="1">
        <v>248</v>
      </c>
      <c r="C673" s="1" t="s">
        <v>21</v>
      </c>
      <c r="D673" s="35">
        <v>44853</v>
      </c>
      <c r="E673" s="1" t="s">
        <v>106</v>
      </c>
      <c r="F673" s="2">
        <v>10913</v>
      </c>
      <c r="G673" s="2">
        <v>5408</v>
      </c>
      <c r="H673" s="2">
        <v>17457</v>
      </c>
      <c r="I673" s="5">
        <v>0.39583333333333331</v>
      </c>
      <c r="J673" s="5">
        <v>0.41319444444444442</v>
      </c>
      <c r="K673" s="32">
        <f>_xlfn.MAXIFS(ConsumoConcreto[Fim do Bombeamento],ConsumoConcreto[RecebimentoID],RecebimentoConcreto[[#This Row],[RecebimentoID]])</f>
        <v>0.4375</v>
      </c>
      <c r="L673" s="1">
        <v>14</v>
      </c>
      <c r="M673" s="37">
        <v>36892</v>
      </c>
      <c r="N673" s="5" t="s">
        <v>1801</v>
      </c>
      <c r="O673" s="9">
        <v>0.1</v>
      </c>
      <c r="P673" s="5" t="s">
        <v>26</v>
      </c>
      <c r="Q673" s="2">
        <v>6</v>
      </c>
      <c r="R673" s="5" t="s">
        <v>27</v>
      </c>
      <c r="S673" s="5" t="s">
        <v>32</v>
      </c>
      <c r="T673" s="39">
        <v>460</v>
      </c>
    </row>
    <row r="674" spans="1:20" ht="20.100000000000001" hidden="1" customHeight="1" x14ac:dyDescent="0.25">
      <c r="A674" s="26" t="str">
        <f>CONCATENATE(RIGHT(LEFT(RecebimentoConcreto[[#This Row],[Obra]],5),4),"RCBC",TEXT(RecebimentoConcreto[[#This Row],[Ordem]],"0000"))</f>
        <v>0184RCBC0249</v>
      </c>
      <c r="B674" s="1">
        <v>249</v>
      </c>
      <c r="C674" s="1" t="s">
        <v>21</v>
      </c>
      <c r="D674" s="35">
        <v>44853</v>
      </c>
      <c r="E674" s="1" t="s">
        <v>106</v>
      </c>
      <c r="F674" s="2">
        <v>10913</v>
      </c>
      <c r="G674" s="2">
        <v>5408</v>
      </c>
      <c r="H674" s="2">
        <v>17457</v>
      </c>
      <c r="I674" s="5">
        <v>0.39583333333333331</v>
      </c>
      <c r="J674" s="5">
        <v>0.41319444444444442</v>
      </c>
      <c r="K674" s="32">
        <f>_xlfn.MAXIFS(ConsumoConcreto[Fim do Bombeamento],ConsumoConcreto[RecebimentoID],RecebimentoConcreto[[#This Row],[RecebimentoID]])</f>
        <v>0.4375</v>
      </c>
      <c r="L674" s="1">
        <v>14</v>
      </c>
      <c r="M674" s="37">
        <v>36892</v>
      </c>
      <c r="N674" s="5" t="s">
        <v>1801</v>
      </c>
      <c r="O674" s="9">
        <v>0.1</v>
      </c>
      <c r="P674" s="5" t="s">
        <v>26</v>
      </c>
      <c r="Q674" s="2">
        <v>6</v>
      </c>
      <c r="R674" s="5" t="s">
        <v>27</v>
      </c>
      <c r="S674" s="5" t="s">
        <v>32</v>
      </c>
      <c r="T674" s="39">
        <v>460</v>
      </c>
    </row>
    <row r="675" spans="1:20" ht="20.100000000000001" hidden="1" customHeight="1" x14ac:dyDescent="0.25">
      <c r="A675" s="26" t="str">
        <f>CONCATENATE(RIGHT(LEFT(RecebimentoConcreto[[#This Row],[Obra]],5),4),"RCBC",TEXT(RecebimentoConcreto[[#This Row],[Ordem]],"0000"))</f>
        <v>0184RCBC0250</v>
      </c>
      <c r="B675" s="1">
        <v>250</v>
      </c>
      <c r="C675" s="1" t="s">
        <v>21</v>
      </c>
      <c r="D675" s="35">
        <v>44853</v>
      </c>
      <c r="E675" s="1" t="s">
        <v>106</v>
      </c>
      <c r="F675" s="2">
        <v>10913</v>
      </c>
      <c r="G675" s="2">
        <v>5408</v>
      </c>
      <c r="H675" s="2">
        <v>17457</v>
      </c>
      <c r="I675" s="5">
        <v>0.39583333333333331</v>
      </c>
      <c r="J675" s="5">
        <v>0.41319444444444442</v>
      </c>
      <c r="K675" s="32">
        <f>_xlfn.MAXIFS(ConsumoConcreto[Fim do Bombeamento],ConsumoConcreto[RecebimentoID],RecebimentoConcreto[[#This Row],[RecebimentoID]])</f>
        <v>0.4375</v>
      </c>
      <c r="L675" s="1">
        <v>14</v>
      </c>
      <c r="M675" s="37">
        <v>36892</v>
      </c>
      <c r="N675" s="5" t="s">
        <v>1801</v>
      </c>
      <c r="O675" s="9">
        <v>0.1</v>
      </c>
      <c r="P675" s="5" t="s">
        <v>26</v>
      </c>
      <c r="Q675" s="2">
        <v>6</v>
      </c>
      <c r="R675" s="5" t="s">
        <v>27</v>
      </c>
      <c r="S675" s="5" t="s">
        <v>32</v>
      </c>
      <c r="T675" s="39">
        <v>460</v>
      </c>
    </row>
    <row r="676" spans="1:20" ht="20.100000000000001" hidden="1" customHeight="1" x14ac:dyDescent="0.25">
      <c r="A676" s="26" t="str">
        <f>CONCATENATE(RIGHT(LEFT(RecebimentoConcreto[[#This Row],[Obra]],5),4),"RCBC",TEXT(RecebimentoConcreto[[#This Row],[Ordem]],"0000"))</f>
        <v>0184RCBC0251</v>
      </c>
      <c r="B676" s="1">
        <v>251</v>
      </c>
      <c r="C676" s="1" t="s">
        <v>21</v>
      </c>
      <c r="D676" s="35">
        <v>44853</v>
      </c>
      <c r="E676" s="1" t="s">
        <v>106</v>
      </c>
      <c r="F676" s="2">
        <v>10913</v>
      </c>
      <c r="G676" s="2">
        <v>5408</v>
      </c>
      <c r="H676" s="2">
        <v>17457</v>
      </c>
      <c r="I676" s="5">
        <v>0.39583333333333331</v>
      </c>
      <c r="J676" s="5">
        <v>0.41319444444444442</v>
      </c>
      <c r="K676" s="32">
        <f>_xlfn.MAXIFS(ConsumoConcreto[Fim do Bombeamento],ConsumoConcreto[RecebimentoID],RecebimentoConcreto[[#This Row],[RecebimentoID]])</f>
        <v>0.4375</v>
      </c>
      <c r="L676" s="1">
        <v>14</v>
      </c>
      <c r="M676" s="37">
        <v>36892</v>
      </c>
      <c r="N676" s="5" t="s">
        <v>1801</v>
      </c>
      <c r="O676" s="9">
        <v>0.1</v>
      </c>
      <c r="P676" s="5" t="s">
        <v>26</v>
      </c>
      <c r="Q676" s="2">
        <v>6</v>
      </c>
      <c r="R676" s="5" t="s">
        <v>27</v>
      </c>
      <c r="S676" s="5" t="s">
        <v>32</v>
      </c>
      <c r="T676" s="39">
        <v>460</v>
      </c>
    </row>
    <row r="677" spans="1:20" ht="20.100000000000001" hidden="1" customHeight="1" x14ac:dyDescent="0.25">
      <c r="A677" s="26" t="str">
        <f>CONCATENATE(RIGHT(LEFT(RecebimentoConcreto[[#This Row],[Obra]],5),4),"RCBC",TEXT(RecebimentoConcreto[[#This Row],[Ordem]],"0000"))</f>
        <v>0184RCBC0252</v>
      </c>
      <c r="B677" s="1">
        <v>252</v>
      </c>
      <c r="C677" s="1" t="s">
        <v>21</v>
      </c>
      <c r="D677" s="35">
        <v>44853</v>
      </c>
      <c r="E677" s="1" t="s">
        <v>106</v>
      </c>
      <c r="F677" s="2">
        <v>10913</v>
      </c>
      <c r="G677" s="2">
        <v>5408</v>
      </c>
      <c r="H677" s="2">
        <v>17457</v>
      </c>
      <c r="I677" s="5">
        <v>0.39583333333333331</v>
      </c>
      <c r="J677" s="5">
        <v>0.41319444444444442</v>
      </c>
      <c r="K677" s="32">
        <f>_xlfn.MAXIFS(ConsumoConcreto[Fim do Bombeamento],ConsumoConcreto[RecebimentoID],RecebimentoConcreto[[#This Row],[RecebimentoID]])</f>
        <v>0.4375</v>
      </c>
      <c r="L677" s="1">
        <v>14</v>
      </c>
      <c r="M677" s="37">
        <v>36892</v>
      </c>
      <c r="N677" s="5" t="s">
        <v>1801</v>
      </c>
      <c r="O677" s="9">
        <v>0.1</v>
      </c>
      <c r="P677" s="5" t="s">
        <v>26</v>
      </c>
      <c r="Q677" s="2">
        <v>6</v>
      </c>
      <c r="R677" s="5" t="s">
        <v>27</v>
      </c>
      <c r="S677" s="5" t="s">
        <v>32</v>
      </c>
      <c r="T677" s="39">
        <v>460</v>
      </c>
    </row>
    <row r="678" spans="1:20" ht="20.100000000000001" hidden="1" customHeight="1" x14ac:dyDescent="0.25">
      <c r="A678" s="26" t="str">
        <f>CONCATENATE(RIGHT(LEFT(RecebimentoConcreto[[#This Row],[Obra]],5),4),"RCBC",TEXT(RecebimentoConcreto[[#This Row],[Ordem]],"0000"))</f>
        <v>0184RCBC0253</v>
      </c>
      <c r="B678" s="1">
        <v>253</v>
      </c>
      <c r="C678" s="1" t="s">
        <v>21</v>
      </c>
      <c r="D678" s="35">
        <v>44902</v>
      </c>
      <c r="E678" s="1" t="s">
        <v>38</v>
      </c>
      <c r="F678" s="2">
        <v>12021</v>
      </c>
      <c r="G678" s="2">
        <v>5408</v>
      </c>
      <c r="H678" s="2">
        <v>18478</v>
      </c>
      <c r="I678" s="5">
        <v>0.6166666666666667</v>
      </c>
      <c r="J678" s="5">
        <v>0.64930555555555558</v>
      </c>
      <c r="K678" s="32">
        <f>_xlfn.MAXIFS(ConsumoConcreto[Fim do Bombeamento],ConsumoConcreto[RecebimentoID],RecebimentoConcreto[[#This Row],[RecebimentoID]])</f>
        <v>0.66666666666666663</v>
      </c>
      <c r="L678" s="1">
        <v>13</v>
      </c>
      <c r="M678" s="37">
        <v>36892</v>
      </c>
      <c r="N678" s="5" t="s">
        <v>1801</v>
      </c>
      <c r="O678" s="9">
        <v>0.1</v>
      </c>
      <c r="P678" s="5" t="s">
        <v>26</v>
      </c>
      <c r="Q678" s="2">
        <v>7</v>
      </c>
      <c r="R678" s="5" t="s">
        <v>27</v>
      </c>
      <c r="S678" s="5" t="s">
        <v>32</v>
      </c>
      <c r="T678" s="39">
        <v>470</v>
      </c>
    </row>
    <row r="679" spans="1:20" ht="20.100000000000001" hidden="1" customHeight="1" x14ac:dyDescent="0.25">
      <c r="A679" s="26" t="str">
        <f>CONCATENATE(RIGHT(LEFT(RecebimentoConcreto[[#This Row],[Obra]],5),4),"RCBC",TEXT(RecebimentoConcreto[[#This Row],[Ordem]],"0000"))</f>
        <v>0184RCBC0254</v>
      </c>
      <c r="B679" s="1">
        <v>254</v>
      </c>
      <c r="C679" s="1" t="s">
        <v>21</v>
      </c>
      <c r="D679" s="35">
        <v>44902</v>
      </c>
      <c r="E679" s="1" t="s">
        <v>38</v>
      </c>
      <c r="F679" s="2">
        <v>12021</v>
      </c>
      <c r="G679" s="2">
        <v>5408</v>
      </c>
      <c r="H679" s="2">
        <v>18478</v>
      </c>
      <c r="I679" s="5">
        <v>0.6166666666666667</v>
      </c>
      <c r="J679" s="5">
        <v>0.64930555555555558</v>
      </c>
      <c r="K679" s="32">
        <f>_xlfn.MAXIFS(ConsumoConcreto[Fim do Bombeamento],ConsumoConcreto[RecebimentoID],RecebimentoConcreto[[#This Row],[RecebimentoID]])</f>
        <v>0.66666666666666663</v>
      </c>
      <c r="L679" s="1">
        <v>13</v>
      </c>
      <c r="M679" s="37">
        <v>36892</v>
      </c>
      <c r="N679" s="5" t="s">
        <v>1801</v>
      </c>
      <c r="O679" s="9">
        <v>0.1</v>
      </c>
      <c r="P679" s="5" t="s">
        <v>26</v>
      </c>
      <c r="Q679" s="2">
        <v>7</v>
      </c>
      <c r="R679" s="5" t="s">
        <v>27</v>
      </c>
      <c r="S679" s="5" t="s">
        <v>32</v>
      </c>
      <c r="T679" s="39">
        <v>470</v>
      </c>
    </row>
    <row r="680" spans="1:20" ht="20.100000000000001" hidden="1" customHeight="1" x14ac:dyDescent="0.25">
      <c r="A680" s="26" t="str">
        <f>CONCATENATE(RIGHT(LEFT(RecebimentoConcreto[[#This Row],[Obra]],5),4),"RCBC",TEXT(RecebimentoConcreto[[#This Row],[Ordem]],"0000"))</f>
        <v>0184RCBC0255</v>
      </c>
      <c r="B680" s="1">
        <v>255</v>
      </c>
      <c r="C680" s="1" t="s">
        <v>21</v>
      </c>
      <c r="D680" s="35">
        <v>44784</v>
      </c>
      <c r="E680" s="1" t="s">
        <v>106</v>
      </c>
      <c r="F680" s="2">
        <v>17309</v>
      </c>
      <c r="G680" s="2">
        <v>5408</v>
      </c>
      <c r="H680" s="2">
        <v>16032</v>
      </c>
      <c r="J680" s="5">
        <v>0.71597222222222223</v>
      </c>
      <c r="K680" s="32">
        <f>_xlfn.MAXIFS(ConsumoConcreto[Fim do Bombeamento],ConsumoConcreto[RecebimentoID],RecebimentoConcreto[[#This Row],[RecebimentoID]])</f>
        <v>0.74305555555555547</v>
      </c>
      <c r="M680" s="37">
        <v>36892</v>
      </c>
      <c r="N680" s="5" t="s">
        <v>1801</v>
      </c>
      <c r="O680" s="9">
        <v>7</v>
      </c>
      <c r="P680" s="5" t="s">
        <v>26</v>
      </c>
      <c r="Q680" s="2">
        <v>3</v>
      </c>
      <c r="R680" s="5" t="s">
        <v>27</v>
      </c>
      <c r="S680" s="5" t="s">
        <v>32</v>
      </c>
      <c r="T680" s="39">
        <v>460</v>
      </c>
    </row>
    <row r="681" spans="1:20" ht="20.100000000000001" hidden="1" customHeight="1" x14ac:dyDescent="0.25">
      <c r="A681" s="26" t="str">
        <f>CONCATENATE(RIGHT(LEFT(RecebimentoConcreto[[#This Row],[Obra]],5),4),"RCBC",TEXT(RecebimentoConcreto[[#This Row],[Ordem]],"0000"))</f>
        <v>0184RCBC0256</v>
      </c>
      <c r="B681" s="1">
        <v>256</v>
      </c>
      <c r="C681" s="1" t="s">
        <v>21</v>
      </c>
      <c r="D681" s="35">
        <v>44788</v>
      </c>
      <c r="E681" s="1" t="s">
        <v>37</v>
      </c>
      <c r="F681" s="2">
        <v>17364</v>
      </c>
      <c r="G681" s="2">
        <v>5408</v>
      </c>
      <c r="H681" s="2">
        <v>16086</v>
      </c>
      <c r="K681" s="32">
        <f>_xlfn.MAXIFS(ConsumoConcreto[Fim do Bombeamento],ConsumoConcreto[RecebimentoID],RecebimentoConcreto[[#This Row],[RecebimentoID]])</f>
        <v>0.56944444444444442</v>
      </c>
      <c r="M681" s="37">
        <v>36892</v>
      </c>
      <c r="N681" s="5" t="s">
        <v>1801</v>
      </c>
      <c r="O681" s="9">
        <v>7</v>
      </c>
      <c r="P681" s="5" t="s">
        <v>26</v>
      </c>
      <c r="Q681" s="2">
        <v>4</v>
      </c>
      <c r="R681" s="5" t="s">
        <v>27</v>
      </c>
      <c r="S681" s="5" t="s">
        <v>32</v>
      </c>
      <c r="T681" s="39">
        <v>460</v>
      </c>
    </row>
    <row r="682" spans="1:20" ht="20.100000000000001" hidden="1" customHeight="1" x14ac:dyDescent="0.25">
      <c r="A682" s="26" t="str">
        <f>CONCATENATE(RIGHT(LEFT(RecebimentoConcreto[[#This Row],[Obra]],5),4),"RCBC",TEXT(RecebimentoConcreto[[#This Row],[Ordem]],"0000"))</f>
        <v>0184RCBC0257</v>
      </c>
      <c r="B682" s="1">
        <v>257</v>
      </c>
      <c r="C682" s="1" t="s">
        <v>21</v>
      </c>
      <c r="D682" s="35">
        <v>44788</v>
      </c>
      <c r="E682" s="1" t="s">
        <v>36</v>
      </c>
      <c r="F682" s="2">
        <v>17367</v>
      </c>
      <c r="G682" s="2">
        <v>5408</v>
      </c>
      <c r="H682" s="2">
        <v>16088</v>
      </c>
      <c r="K682" s="32">
        <f>_xlfn.MAXIFS(ConsumoConcreto[Fim do Bombeamento],ConsumoConcreto[RecebimentoID],RecebimentoConcreto[[#This Row],[RecebimentoID]])</f>
        <v>0.64930555555555558</v>
      </c>
      <c r="M682" s="37">
        <v>36892</v>
      </c>
      <c r="N682" s="5" t="s">
        <v>1801</v>
      </c>
      <c r="O682" s="9">
        <v>7.5</v>
      </c>
      <c r="P682" s="5" t="s">
        <v>26</v>
      </c>
      <c r="Q682" s="2">
        <v>4</v>
      </c>
      <c r="R682" s="5" t="s">
        <v>27</v>
      </c>
      <c r="S682" s="5" t="s">
        <v>32</v>
      </c>
      <c r="T682" s="39">
        <v>460</v>
      </c>
    </row>
    <row r="683" spans="1:20" ht="20.100000000000001" hidden="1" customHeight="1" x14ac:dyDescent="0.25">
      <c r="A683" s="26" t="str">
        <f>CONCATENATE(RIGHT(LEFT(RecebimentoConcreto[[#This Row],[Obra]],5),4),"RCBC",TEXT(RecebimentoConcreto[[#This Row],[Ordem]],"0000"))</f>
        <v>0184RCBC0258</v>
      </c>
      <c r="B683" s="1">
        <v>258</v>
      </c>
      <c r="C683" s="1" t="s">
        <v>21</v>
      </c>
      <c r="D683" s="35">
        <v>44789</v>
      </c>
      <c r="E683" s="1" t="s">
        <v>38</v>
      </c>
      <c r="F683" s="2">
        <v>17384</v>
      </c>
      <c r="G683" s="2">
        <v>5408</v>
      </c>
      <c r="H683" s="2">
        <v>16106</v>
      </c>
      <c r="J683" s="5">
        <v>0.38194444444444442</v>
      </c>
      <c r="K683" s="32">
        <f>_xlfn.MAXIFS(ConsumoConcreto[Fim do Bombeamento],ConsumoConcreto[RecebimentoID],RecebimentoConcreto[[#This Row],[RecebimentoID]])</f>
        <v>0.74375000000000002</v>
      </c>
      <c r="M683" s="37">
        <v>36892</v>
      </c>
      <c r="N683" s="5" t="s">
        <v>1801</v>
      </c>
      <c r="O683" s="9">
        <v>7</v>
      </c>
      <c r="P683" s="5" t="s">
        <v>26</v>
      </c>
      <c r="Q683" s="2">
        <v>4</v>
      </c>
      <c r="R683" s="5" t="s">
        <v>27</v>
      </c>
      <c r="S683" s="5" t="s">
        <v>32</v>
      </c>
      <c r="T683" s="39">
        <v>460</v>
      </c>
    </row>
    <row r="684" spans="1:20" ht="20.100000000000001" hidden="1" customHeight="1" x14ac:dyDescent="0.25">
      <c r="A684" s="26" t="str">
        <f>CONCATENATE(RIGHT(LEFT(RecebimentoConcreto[[#This Row],[Obra]],5),4),"RCBC",TEXT(RecebimentoConcreto[[#This Row],[Ordem]],"0000"))</f>
        <v>0184RCBC0259</v>
      </c>
      <c r="B684" s="1">
        <v>259</v>
      </c>
      <c r="C684" s="1" t="s">
        <v>21</v>
      </c>
      <c r="D684" s="35">
        <v>44789</v>
      </c>
      <c r="E684" s="1" t="s">
        <v>36</v>
      </c>
      <c r="F684" s="2">
        <v>17386</v>
      </c>
      <c r="G684" s="2">
        <v>5408</v>
      </c>
      <c r="H684" s="2">
        <v>16108</v>
      </c>
      <c r="J684" s="5">
        <v>0.44444444444444442</v>
      </c>
      <c r="K684" s="32">
        <f>_xlfn.MAXIFS(ConsumoConcreto[Fim do Bombeamento],ConsumoConcreto[RecebimentoID],RecebimentoConcreto[[#This Row],[RecebimentoID]])</f>
        <v>0.47916666666666669</v>
      </c>
      <c r="M684" s="37">
        <v>36892</v>
      </c>
      <c r="N684" s="5" t="s">
        <v>1801</v>
      </c>
      <c r="O684" s="9">
        <v>7</v>
      </c>
      <c r="P684" s="5" t="s">
        <v>26</v>
      </c>
      <c r="Q684" s="2">
        <v>4</v>
      </c>
      <c r="R684" s="5" t="s">
        <v>27</v>
      </c>
      <c r="S684" s="5" t="s">
        <v>32</v>
      </c>
      <c r="T684" s="39">
        <v>460</v>
      </c>
    </row>
    <row r="685" spans="1:20" ht="20.100000000000001" hidden="1" customHeight="1" x14ac:dyDescent="0.25">
      <c r="A685" s="26" t="str">
        <f>CONCATENATE(RIGHT(LEFT(RecebimentoConcreto[[#This Row],[Obra]],5),4),"RCBC",TEXT(RecebimentoConcreto[[#This Row],[Ordem]],"0000"))</f>
        <v>0184RCBC0260</v>
      </c>
      <c r="B685" s="1">
        <v>260</v>
      </c>
      <c r="C685" s="1" t="s">
        <v>21</v>
      </c>
      <c r="D685" s="35">
        <v>44789</v>
      </c>
      <c r="E685" s="1" t="s">
        <v>1848</v>
      </c>
      <c r="F685" s="2">
        <v>17392</v>
      </c>
      <c r="G685" s="2">
        <v>5408</v>
      </c>
      <c r="H685" s="2">
        <v>16114</v>
      </c>
      <c r="J685" s="5">
        <v>0.57500000000000007</v>
      </c>
      <c r="K685" s="32">
        <f>_xlfn.MAXIFS(ConsumoConcreto[Fim do Bombeamento],ConsumoConcreto[RecebimentoID],RecebimentoConcreto[[#This Row],[RecebimentoID]])</f>
        <v>0.60625000000000007</v>
      </c>
      <c r="M685" s="37">
        <v>36892</v>
      </c>
      <c r="N685" s="5" t="s">
        <v>1801</v>
      </c>
      <c r="O685" s="9">
        <v>7</v>
      </c>
      <c r="P685" s="5" t="s">
        <v>26</v>
      </c>
      <c r="Q685" s="2">
        <v>4</v>
      </c>
      <c r="R685" s="5" t="s">
        <v>27</v>
      </c>
      <c r="S685" s="5" t="s">
        <v>32</v>
      </c>
      <c r="T685" s="39">
        <v>460</v>
      </c>
    </row>
    <row r="686" spans="1:20" ht="20.100000000000001" hidden="1" customHeight="1" x14ac:dyDescent="0.25">
      <c r="A686" s="26" t="str">
        <f>CONCATENATE(RIGHT(LEFT(RecebimentoConcreto[[#This Row],[Obra]],5),4),"RCBC",TEXT(RecebimentoConcreto[[#This Row],[Ordem]],"0000"))</f>
        <v>0184RCBC0261</v>
      </c>
      <c r="B686" s="1">
        <v>261</v>
      </c>
      <c r="C686" s="1" t="s">
        <v>21</v>
      </c>
      <c r="D686" s="35">
        <v>44789</v>
      </c>
      <c r="E686" s="1" t="s">
        <v>106</v>
      </c>
      <c r="F686" s="2">
        <v>17399</v>
      </c>
      <c r="G686" s="2">
        <v>5408</v>
      </c>
      <c r="H686" s="2">
        <v>16121</v>
      </c>
      <c r="J686" s="5">
        <v>0.67708333333333337</v>
      </c>
      <c r="K686" s="32">
        <f>_xlfn.MAXIFS(ConsumoConcreto[Fim do Bombeamento],ConsumoConcreto[RecebimentoID],RecebimentoConcreto[[#This Row],[RecebimentoID]])</f>
        <v>0.70833333333333337</v>
      </c>
      <c r="M686" s="37">
        <v>36892</v>
      </c>
      <c r="N686" s="5" t="s">
        <v>1801</v>
      </c>
      <c r="O686" s="9">
        <v>7</v>
      </c>
      <c r="P686" s="5" t="s">
        <v>26</v>
      </c>
      <c r="Q686" s="2">
        <v>4</v>
      </c>
      <c r="R686" s="5" t="s">
        <v>27</v>
      </c>
      <c r="S686" s="5" t="s">
        <v>32</v>
      </c>
      <c r="T686" s="39">
        <v>460</v>
      </c>
    </row>
    <row r="687" spans="1:20" ht="20.100000000000001" hidden="1" customHeight="1" x14ac:dyDescent="0.25">
      <c r="A687" s="26" t="str">
        <f>CONCATENATE(RIGHT(LEFT(RecebimentoConcreto[[#This Row],[Obra]],5),4),"RCBC",TEXT(RecebimentoConcreto[[#This Row],[Ordem]],"0000"))</f>
        <v>0184RCBC0262</v>
      </c>
      <c r="B687" s="1">
        <v>262</v>
      </c>
      <c r="C687" s="1" t="s">
        <v>21</v>
      </c>
      <c r="D687" s="35">
        <v>44790</v>
      </c>
      <c r="E687" s="1" t="s">
        <v>1708</v>
      </c>
      <c r="F687" s="2">
        <v>20332</v>
      </c>
      <c r="G687" s="2">
        <v>5408</v>
      </c>
      <c r="H687" s="2">
        <v>16154</v>
      </c>
      <c r="J687" s="5">
        <v>0.6875</v>
      </c>
      <c r="K687" s="32">
        <f>_xlfn.MAXIFS(ConsumoConcreto[Fim do Bombeamento],ConsumoConcreto[RecebimentoID],RecebimentoConcreto[[#This Row],[RecebimentoID]])</f>
        <v>0.72916666666666663</v>
      </c>
      <c r="M687" s="37">
        <v>36892</v>
      </c>
      <c r="N687" s="5" t="s">
        <v>1801</v>
      </c>
      <c r="O687" s="9">
        <v>7</v>
      </c>
      <c r="P687" s="5" t="s">
        <v>26</v>
      </c>
      <c r="Q687" s="2">
        <v>4</v>
      </c>
      <c r="R687" s="5" t="s">
        <v>27</v>
      </c>
      <c r="S687" s="5" t="s">
        <v>32</v>
      </c>
      <c r="T687" s="39">
        <v>460</v>
      </c>
    </row>
    <row r="688" spans="1:20" ht="20.100000000000001" hidden="1" customHeight="1" x14ac:dyDescent="0.25">
      <c r="A688" s="26" t="str">
        <f>CONCATENATE(RIGHT(LEFT(RecebimentoConcreto[[#This Row],[Obra]],5),4),"RCBC",TEXT(RecebimentoConcreto[[#This Row],[Ordem]],"0000"))</f>
        <v>0184RCBC0263</v>
      </c>
      <c r="B688" s="1">
        <v>263</v>
      </c>
      <c r="C688" s="1" t="s">
        <v>21</v>
      </c>
      <c r="D688" s="35">
        <v>44790</v>
      </c>
      <c r="E688" s="1" t="s">
        <v>36</v>
      </c>
      <c r="F688" s="2">
        <v>20317</v>
      </c>
      <c r="G688" s="2">
        <v>5408</v>
      </c>
      <c r="H688" s="2">
        <v>16140</v>
      </c>
      <c r="J688" s="5">
        <v>0.43055555555555558</v>
      </c>
      <c r="K688" s="32">
        <f>_xlfn.MAXIFS(ConsumoConcreto[Fim do Bombeamento],ConsumoConcreto[RecebimentoID],RecebimentoConcreto[[#This Row],[RecebimentoID]])</f>
        <v>0.44722222222222219</v>
      </c>
      <c r="M688" s="37">
        <v>36892</v>
      </c>
      <c r="N688" s="5" t="s">
        <v>1801</v>
      </c>
      <c r="O688" s="9">
        <v>5.5</v>
      </c>
      <c r="P688" s="5" t="s">
        <v>26</v>
      </c>
      <c r="Q688" s="2">
        <v>4</v>
      </c>
      <c r="R688" s="5" t="s">
        <v>27</v>
      </c>
      <c r="S688" s="5" t="s">
        <v>32</v>
      </c>
      <c r="T688" s="39">
        <v>460</v>
      </c>
    </row>
    <row r="689" spans="1:20" ht="20.100000000000001" hidden="1" customHeight="1" x14ac:dyDescent="0.25">
      <c r="A689" s="26" t="str">
        <f>CONCATENATE(RIGHT(LEFT(RecebimentoConcreto[[#This Row],[Obra]],5),4),"RCBC",TEXT(RecebimentoConcreto[[#This Row],[Ordem]],"0000"))</f>
        <v>0184RCBC0264</v>
      </c>
      <c r="B689" s="1">
        <v>264</v>
      </c>
      <c r="C689" s="1" t="s">
        <v>21</v>
      </c>
      <c r="D689" s="35">
        <v>44791</v>
      </c>
      <c r="E689" s="1" t="s">
        <v>208</v>
      </c>
      <c r="F689" s="2">
        <v>20356</v>
      </c>
      <c r="G689" s="2">
        <v>5408</v>
      </c>
      <c r="H689" s="2">
        <v>16177</v>
      </c>
      <c r="J689" s="5">
        <v>0.625</v>
      </c>
      <c r="K689" s="32">
        <f>_xlfn.MAXIFS(ConsumoConcreto[Fim do Bombeamento],ConsumoConcreto[RecebimentoID],RecebimentoConcreto[[#This Row],[RecebimentoID]])</f>
        <v>0.64583333333333337</v>
      </c>
      <c r="M689" s="37">
        <v>36892</v>
      </c>
      <c r="N689" s="5" t="s">
        <v>1801</v>
      </c>
      <c r="O689" s="9">
        <v>5.5</v>
      </c>
      <c r="P689" s="5" t="s">
        <v>26</v>
      </c>
      <c r="Q689" s="2">
        <v>4</v>
      </c>
      <c r="R689" s="5" t="s">
        <v>27</v>
      </c>
      <c r="S689" s="5" t="s">
        <v>32</v>
      </c>
      <c r="T689" s="39">
        <v>460</v>
      </c>
    </row>
    <row r="690" spans="1:20" ht="20.100000000000001" hidden="1" customHeight="1" x14ac:dyDescent="0.25">
      <c r="A690" s="26" t="str">
        <f>CONCATENATE(RIGHT(LEFT(RecebimentoConcreto[[#This Row],[Obra]],5),4),"RCBC",TEXT(RecebimentoConcreto[[#This Row],[Ordem]],"0000"))</f>
        <v>0184RCBC0265</v>
      </c>
      <c r="B690" s="1">
        <v>265</v>
      </c>
      <c r="C690" s="1" t="s">
        <v>21</v>
      </c>
      <c r="D690" s="35">
        <v>44791</v>
      </c>
      <c r="E690" s="1" t="s">
        <v>1708</v>
      </c>
      <c r="F690" s="2">
        <v>20350</v>
      </c>
      <c r="G690" s="2">
        <v>5408</v>
      </c>
      <c r="H690" s="2">
        <v>16172</v>
      </c>
      <c r="J690" s="5">
        <v>0.54861111111111105</v>
      </c>
      <c r="K690" s="32">
        <f>_xlfn.MAXIFS(ConsumoConcreto[Fim do Bombeamento],ConsumoConcreto[RecebimentoID],RecebimentoConcreto[[#This Row],[RecebimentoID]])</f>
        <v>0.57291666666666663</v>
      </c>
      <c r="M690" s="37">
        <v>36892</v>
      </c>
      <c r="N690" s="5" t="s">
        <v>1801</v>
      </c>
      <c r="O690" s="9">
        <v>5.5</v>
      </c>
      <c r="P690" s="5" t="s">
        <v>26</v>
      </c>
      <c r="Q690" s="2">
        <v>4</v>
      </c>
      <c r="R690" s="5" t="s">
        <v>27</v>
      </c>
      <c r="S690" s="5" t="s">
        <v>32</v>
      </c>
      <c r="T690" s="39">
        <v>460</v>
      </c>
    </row>
    <row r="691" spans="1:20" ht="20.100000000000001" hidden="1" customHeight="1" x14ac:dyDescent="0.25">
      <c r="A691" s="26" t="str">
        <f>CONCATENATE(RIGHT(LEFT(RecebimentoConcreto[[#This Row],[Obra]],5),4),"RCBC",TEXT(RecebimentoConcreto[[#This Row],[Ordem]],"0000"))</f>
        <v>0184RCBC0266</v>
      </c>
      <c r="B691" s="1">
        <v>266</v>
      </c>
      <c r="C691" s="1" t="s">
        <v>21</v>
      </c>
      <c r="D691" s="35">
        <v>44791</v>
      </c>
      <c r="E691" s="1" t="s">
        <v>1708</v>
      </c>
      <c r="F691" s="2">
        <v>20343</v>
      </c>
      <c r="G691" s="2">
        <v>5408</v>
      </c>
      <c r="H691" s="2">
        <v>16165</v>
      </c>
      <c r="J691" s="5">
        <v>0.46319444444444446</v>
      </c>
      <c r="K691" s="32">
        <f>_xlfn.MAXIFS(ConsumoConcreto[Fim do Bombeamento],ConsumoConcreto[RecebimentoID],RecebimentoConcreto[[#This Row],[RecebimentoID]])</f>
        <v>0.47916666666666669</v>
      </c>
      <c r="M691" s="37">
        <v>36892</v>
      </c>
      <c r="N691" s="5" t="s">
        <v>1801</v>
      </c>
      <c r="O691" s="9">
        <v>5.5</v>
      </c>
      <c r="P691" s="5" t="s">
        <v>26</v>
      </c>
      <c r="Q691" s="2">
        <v>4</v>
      </c>
      <c r="R691" s="5" t="s">
        <v>27</v>
      </c>
      <c r="S691" s="5" t="s">
        <v>32</v>
      </c>
      <c r="T691" s="39">
        <v>460</v>
      </c>
    </row>
    <row r="692" spans="1:20" ht="20.100000000000001" hidden="1" customHeight="1" x14ac:dyDescent="0.25">
      <c r="A692" s="26" t="str">
        <f>CONCATENATE(RIGHT(LEFT(RecebimentoConcreto[[#This Row],[Obra]],5),4),"RCBC",TEXT(RecebimentoConcreto[[#This Row],[Ordem]],"0000"))</f>
        <v>0184RCBC0267</v>
      </c>
      <c r="B692" s="1">
        <v>267</v>
      </c>
      <c r="C692" s="1" t="s">
        <v>21</v>
      </c>
      <c r="D692" s="35">
        <v>44792</v>
      </c>
      <c r="E692" s="1" t="s">
        <v>106</v>
      </c>
      <c r="F692" s="2">
        <v>20379</v>
      </c>
      <c r="G692" s="2">
        <v>5408</v>
      </c>
      <c r="H692" s="2">
        <v>16203</v>
      </c>
      <c r="J692" s="5">
        <v>0.45833333333333331</v>
      </c>
      <c r="K692" s="32">
        <f>_xlfn.MAXIFS(ConsumoConcreto[Fim do Bombeamento],ConsumoConcreto[RecebimentoID],RecebimentoConcreto[[#This Row],[RecebimentoID]])</f>
        <v>0.47916666666666669</v>
      </c>
      <c r="M692" s="37">
        <v>36892</v>
      </c>
      <c r="N692" s="5" t="s">
        <v>1801</v>
      </c>
      <c r="O692" s="9">
        <v>5.5</v>
      </c>
      <c r="P692" s="5" t="s">
        <v>26</v>
      </c>
      <c r="Q692" s="2">
        <v>4</v>
      </c>
      <c r="R692" s="5" t="s">
        <v>27</v>
      </c>
      <c r="S692" s="5" t="s">
        <v>32</v>
      </c>
      <c r="T692" s="39">
        <v>460</v>
      </c>
    </row>
    <row r="693" spans="1:20" ht="20.100000000000001" hidden="1" customHeight="1" x14ac:dyDescent="0.25">
      <c r="A693" s="26" t="str">
        <f>CONCATENATE(RIGHT(LEFT(RecebimentoConcreto[[#This Row],[Obra]],5),4),"RCBC",TEXT(RecebimentoConcreto[[#This Row],[Ordem]],"0000"))</f>
        <v>0184RCBC0268</v>
      </c>
      <c r="B693" s="1">
        <v>268</v>
      </c>
      <c r="C693" s="1" t="s">
        <v>21</v>
      </c>
      <c r="D693" s="35">
        <v>44792</v>
      </c>
      <c r="E693" s="1" t="s">
        <v>37</v>
      </c>
      <c r="F693" s="2">
        <v>20374</v>
      </c>
      <c r="G693" s="2">
        <v>5408</v>
      </c>
      <c r="H693" s="2">
        <v>16198</v>
      </c>
      <c r="J693" s="5">
        <v>0.40625</v>
      </c>
      <c r="K693" s="32">
        <f>_xlfn.MAXIFS(ConsumoConcreto[Fim do Bombeamento],ConsumoConcreto[RecebimentoID],RecebimentoConcreto[[#This Row],[RecebimentoID]])</f>
        <v>0.43055555555555558</v>
      </c>
      <c r="M693" s="37">
        <v>36892</v>
      </c>
      <c r="N693" s="5" t="s">
        <v>1801</v>
      </c>
      <c r="O693" s="9">
        <v>5.5</v>
      </c>
      <c r="P693" s="5" t="s">
        <v>26</v>
      </c>
      <c r="Q693" s="2">
        <v>4</v>
      </c>
      <c r="R693" s="5" t="s">
        <v>27</v>
      </c>
      <c r="S693" s="5" t="s">
        <v>32</v>
      </c>
      <c r="T693" s="39">
        <v>460</v>
      </c>
    </row>
    <row r="694" spans="1:20" ht="20.100000000000001" hidden="1" customHeight="1" x14ac:dyDescent="0.25">
      <c r="A694" s="26" t="str">
        <f>CONCATENATE(RIGHT(LEFT(RecebimentoConcreto[[#This Row],[Obra]],5),4),"RCBC",TEXT(RecebimentoConcreto[[#This Row],[Ordem]],"0000"))</f>
        <v>0184RCBC0269</v>
      </c>
      <c r="B694" s="1">
        <v>269</v>
      </c>
      <c r="C694" s="1" t="s">
        <v>21</v>
      </c>
      <c r="D694" s="35">
        <v>44795</v>
      </c>
      <c r="E694" s="1" t="s">
        <v>106</v>
      </c>
      <c r="F694" s="2">
        <v>7526</v>
      </c>
      <c r="G694" s="2">
        <v>5408</v>
      </c>
      <c r="H694" s="2">
        <v>16254</v>
      </c>
      <c r="J694" s="5">
        <v>0.65972222222222221</v>
      </c>
      <c r="K694" s="32">
        <f>_xlfn.MAXIFS(ConsumoConcreto[Fim do Bombeamento],ConsumoConcreto[RecebimentoID],RecebimentoConcreto[[#This Row],[RecebimentoID]])</f>
        <v>0.6875</v>
      </c>
      <c r="M694" s="37">
        <v>36892</v>
      </c>
      <c r="N694" s="5" t="s">
        <v>1801</v>
      </c>
      <c r="O694" s="9">
        <v>5.5</v>
      </c>
      <c r="P694" s="5" t="s">
        <v>26</v>
      </c>
      <c r="Q694" s="2">
        <v>4</v>
      </c>
      <c r="R694" s="5" t="s">
        <v>27</v>
      </c>
      <c r="S694" s="5" t="s">
        <v>32</v>
      </c>
      <c r="T694" s="39">
        <v>460</v>
      </c>
    </row>
    <row r="695" spans="1:20" ht="20.100000000000001" hidden="1" customHeight="1" x14ac:dyDescent="0.25">
      <c r="A695" s="26" t="str">
        <f>CONCATENATE(RIGHT(LEFT(RecebimentoConcreto[[#This Row],[Obra]],5),4),"RCBC",TEXT(RecebimentoConcreto[[#This Row],[Ordem]],"0000"))</f>
        <v>0184RCBC0270</v>
      </c>
      <c r="B695" s="1">
        <v>270</v>
      </c>
      <c r="C695" s="1" t="s">
        <v>21</v>
      </c>
      <c r="D695" s="35">
        <v>44795</v>
      </c>
      <c r="E695" s="1" t="s">
        <v>1848</v>
      </c>
      <c r="F695" s="2">
        <v>7597</v>
      </c>
      <c r="G695" s="2">
        <v>5408</v>
      </c>
      <c r="H695" s="2">
        <v>16251</v>
      </c>
      <c r="J695" s="5">
        <v>0.625</v>
      </c>
      <c r="K695" s="32">
        <f>_xlfn.MAXIFS(ConsumoConcreto[Fim do Bombeamento],ConsumoConcreto[RecebimentoID],RecebimentoConcreto[[#This Row],[RecebimentoID]])</f>
        <v>0.65</v>
      </c>
      <c r="M695" s="37">
        <v>36892</v>
      </c>
      <c r="N695" s="5" t="s">
        <v>1801</v>
      </c>
      <c r="O695" s="9">
        <v>5.5</v>
      </c>
      <c r="P695" s="5" t="s">
        <v>26</v>
      </c>
      <c r="Q695" s="2">
        <v>4</v>
      </c>
      <c r="R695" s="5" t="s">
        <v>27</v>
      </c>
      <c r="S695" s="5" t="s">
        <v>32</v>
      </c>
      <c r="T695" s="39">
        <v>460</v>
      </c>
    </row>
    <row r="696" spans="1:20" ht="20.100000000000001" hidden="1" customHeight="1" x14ac:dyDescent="0.25">
      <c r="A696" s="26" t="str">
        <f>CONCATENATE(RIGHT(LEFT(RecebimentoConcreto[[#This Row],[Obra]],5),4),"RCBC",TEXT(RecebimentoConcreto[[#This Row],[Ordem]],"0000"))</f>
        <v>0184RCBC0271</v>
      </c>
      <c r="B696" s="1">
        <v>271</v>
      </c>
      <c r="C696" s="1" t="s">
        <v>21</v>
      </c>
      <c r="D696" s="35">
        <v>44795</v>
      </c>
      <c r="E696" s="1" t="s">
        <v>208</v>
      </c>
      <c r="F696" s="2">
        <v>7514</v>
      </c>
      <c r="G696" s="2">
        <v>5408</v>
      </c>
      <c r="H696" s="2">
        <v>16241</v>
      </c>
      <c r="J696" s="5">
        <v>0.48958333333333331</v>
      </c>
      <c r="K696" s="32">
        <f>_xlfn.MAXIFS(ConsumoConcreto[Fim do Bombeamento],ConsumoConcreto[RecebimentoID],RecebimentoConcreto[[#This Row],[RecebimentoID]])</f>
        <v>0.50347222222222221</v>
      </c>
      <c r="M696" s="37">
        <v>36892</v>
      </c>
      <c r="N696" s="5" t="s">
        <v>1801</v>
      </c>
      <c r="O696" s="9">
        <v>5.5</v>
      </c>
      <c r="P696" s="5" t="s">
        <v>26</v>
      </c>
      <c r="Q696" s="2">
        <v>4</v>
      </c>
      <c r="R696" s="5" t="s">
        <v>27</v>
      </c>
      <c r="S696" s="5" t="s">
        <v>32</v>
      </c>
      <c r="T696" s="39">
        <v>460</v>
      </c>
    </row>
    <row r="697" spans="1:20" ht="20.100000000000001" hidden="1" customHeight="1" x14ac:dyDescent="0.25">
      <c r="A697" s="26" t="str">
        <f>CONCATENATE(RIGHT(LEFT(RecebimentoConcreto[[#This Row],[Obra]],5),4),"RCBC",TEXT(RecebimentoConcreto[[#This Row],[Ordem]],"0000"))</f>
        <v>0184RCBC0289</v>
      </c>
      <c r="B697" s="1">
        <v>289</v>
      </c>
      <c r="C697" s="1" t="s">
        <v>21</v>
      </c>
      <c r="D697" s="35">
        <v>44875</v>
      </c>
      <c r="E697" s="1" t="s">
        <v>36</v>
      </c>
      <c r="F697" s="2">
        <v>18882</v>
      </c>
      <c r="G697" s="2">
        <v>5408</v>
      </c>
      <c r="H697" s="2">
        <v>17935</v>
      </c>
      <c r="I697" s="5">
        <v>0.63541666666666663</v>
      </c>
      <c r="J697" s="5">
        <v>0.6875</v>
      </c>
      <c r="K697" s="32">
        <f>_xlfn.MAXIFS(ConsumoConcreto[Fim do Bombeamento],ConsumoConcreto[RecebimentoID],RecebimentoConcreto[[#This Row],[RecebimentoID]])</f>
        <v>0.70833333333333337</v>
      </c>
      <c r="L697" s="1">
        <v>13</v>
      </c>
      <c r="M697" s="37">
        <v>36892</v>
      </c>
      <c r="N697" s="5" t="s">
        <v>1801</v>
      </c>
      <c r="O697" s="9">
        <v>0.1</v>
      </c>
      <c r="P697" s="5" t="s">
        <v>26</v>
      </c>
      <c r="Q697" s="2">
        <v>7</v>
      </c>
      <c r="R697" s="5" t="s">
        <v>27</v>
      </c>
      <c r="S697" s="5" t="s">
        <v>32</v>
      </c>
      <c r="T697" s="39">
        <v>470</v>
      </c>
    </row>
    <row r="698" spans="1:20" ht="20.100000000000001" hidden="1" customHeight="1" x14ac:dyDescent="0.25">
      <c r="A698" s="26" t="str">
        <f>CONCATENATE(RIGHT(LEFT(RecebimentoConcreto[[#This Row],[Obra]],5),4),"RCBC",TEXT(RecebimentoConcreto[[#This Row],[Ordem]],"0000"))</f>
        <v>0184RCBC0290</v>
      </c>
      <c r="B698" s="1">
        <v>290</v>
      </c>
      <c r="C698" s="1" t="s">
        <v>21</v>
      </c>
      <c r="D698" s="35">
        <v>44875</v>
      </c>
      <c r="E698" s="1" t="s">
        <v>36</v>
      </c>
      <c r="F698" s="2">
        <v>18882</v>
      </c>
      <c r="G698" s="2">
        <v>5408</v>
      </c>
      <c r="H698" s="2">
        <v>17935</v>
      </c>
      <c r="I698" s="5">
        <v>0.63541666666666663</v>
      </c>
      <c r="J698" s="5">
        <v>0.6875</v>
      </c>
      <c r="K698" s="32">
        <f>_xlfn.MAXIFS(ConsumoConcreto[Fim do Bombeamento],ConsumoConcreto[RecebimentoID],RecebimentoConcreto[[#This Row],[RecebimentoID]])</f>
        <v>0.70833333333333337</v>
      </c>
      <c r="L698" s="1">
        <v>13</v>
      </c>
      <c r="M698" s="37">
        <v>36892</v>
      </c>
      <c r="N698" s="5" t="s">
        <v>1801</v>
      </c>
      <c r="O698" s="9">
        <v>0.1</v>
      </c>
      <c r="P698" s="5" t="s">
        <v>26</v>
      </c>
      <c r="Q698" s="2">
        <v>7</v>
      </c>
      <c r="R698" s="5" t="s">
        <v>27</v>
      </c>
      <c r="S698" s="5" t="s">
        <v>32</v>
      </c>
      <c r="T698" s="39">
        <v>470</v>
      </c>
    </row>
    <row r="699" spans="1:20" ht="20.100000000000001" hidden="1" customHeight="1" x14ac:dyDescent="0.25">
      <c r="A699" s="26" t="str">
        <f>CONCATENATE(RIGHT(LEFT(RecebimentoConcreto[[#This Row],[Obra]],5),4),"RCBC",TEXT(RecebimentoConcreto[[#This Row],[Ordem]],"0000"))</f>
        <v>0184RCBC0291</v>
      </c>
      <c r="B699" s="1">
        <v>291</v>
      </c>
      <c r="C699" s="1" t="s">
        <v>21</v>
      </c>
      <c r="D699" s="35">
        <v>44875</v>
      </c>
      <c r="E699" s="1" t="s">
        <v>36</v>
      </c>
      <c r="F699" s="2">
        <v>18882</v>
      </c>
      <c r="G699" s="2">
        <v>5408</v>
      </c>
      <c r="H699" s="2">
        <v>17935</v>
      </c>
      <c r="I699" s="5">
        <v>0.63541666666666663</v>
      </c>
      <c r="J699" s="5">
        <v>0.6875</v>
      </c>
      <c r="K699" s="32">
        <f>_xlfn.MAXIFS(ConsumoConcreto[Fim do Bombeamento],ConsumoConcreto[RecebimentoID],RecebimentoConcreto[[#This Row],[RecebimentoID]])</f>
        <v>0.70833333333333337</v>
      </c>
      <c r="L699" s="1">
        <v>13</v>
      </c>
      <c r="M699" s="37">
        <v>36892</v>
      </c>
      <c r="N699" s="5" t="s">
        <v>1801</v>
      </c>
      <c r="O699" s="9">
        <v>0.1</v>
      </c>
      <c r="P699" s="5" t="s">
        <v>26</v>
      </c>
      <c r="Q699" s="2">
        <v>7</v>
      </c>
      <c r="R699" s="5" t="s">
        <v>27</v>
      </c>
      <c r="S699" s="5" t="s">
        <v>32</v>
      </c>
      <c r="T699" s="39">
        <v>470</v>
      </c>
    </row>
    <row r="700" spans="1:20" ht="20.100000000000001" hidden="1" customHeight="1" x14ac:dyDescent="0.25">
      <c r="A700" s="26" t="str">
        <f>CONCATENATE(RIGHT(LEFT(RecebimentoConcreto[[#This Row],[Obra]],5),4),"RCBC",TEXT(RecebimentoConcreto[[#This Row],[Ordem]],"0000"))</f>
        <v>0184RCBC0292</v>
      </c>
      <c r="B700" s="1">
        <v>292</v>
      </c>
      <c r="C700" s="1" t="s">
        <v>21</v>
      </c>
      <c r="D700" s="35">
        <v>44875</v>
      </c>
      <c r="E700" s="1" t="s">
        <v>36</v>
      </c>
      <c r="F700" s="2">
        <v>18882</v>
      </c>
      <c r="G700" s="2">
        <v>5408</v>
      </c>
      <c r="H700" s="2">
        <v>17935</v>
      </c>
      <c r="I700" s="5">
        <v>0.63541666666666663</v>
      </c>
      <c r="J700" s="5">
        <v>0.6875</v>
      </c>
      <c r="K700" s="32">
        <f>_xlfn.MAXIFS(ConsumoConcreto[Fim do Bombeamento],ConsumoConcreto[RecebimentoID],RecebimentoConcreto[[#This Row],[RecebimentoID]])</f>
        <v>0.70833333333333337</v>
      </c>
      <c r="L700" s="1">
        <v>13</v>
      </c>
      <c r="M700" s="37">
        <v>36892</v>
      </c>
      <c r="N700" s="5" t="s">
        <v>1801</v>
      </c>
      <c r="O700" s="9">
        <v>0.1</v>
      </c>
      <c r="P700" s="5" t="s">
        <v>26</v>
      </c>
      <c r="Q700" s="2">
        <v>7</v>
      </c>
      <c r="R700" s="5" t="s">
        <v>27</v>
      </c>
      <c r="S700" s="5" t="s">
        <v>32</v>
      </c>
      <c r="T700" s="39">
        <v>470</v>
      </c>
    </row>
    <row r="701" spans="1:20" ht="20.100000000000001" hidden="1" customHeight="1" x14ac:dyDescent="0.25">
      <c r="A701" s="26" t="str">
        <f>CONCATENATE(RIGHT(LEFT(RecebimentoConcreto[[#This Row],[Obra]],5),4),"RCBC",TEXT(RecebimentoConcreto[[#This Row],[Ordem]],"0000"))</f>
        <v>0184RCBC0293</v>
      </c>
      <c r="B701" s="1">
        <v>293</v>
      </c>
      <c r="C701" s="1" t="s">
        <v>21</v>
      </c>
      <c r="D701" s="35">
        <v>44875</v>
      </c>
      <c r="E701" s="1" t="s">
        <v>36</v>
      </c>
      <c r="F701" s="2">
        <v>18882</v>
      </c>
      <c r="G701" s="2">
        <v>5408</v>
      </c>
      <c r="H701" s="2">
        <v>17935</v>
      </c>
      <c r="I701" s="5">
        <v>0.63541666666666663</v>
      </c>
      <c r="J701" s="5">
        <v>0.6875</v>
      </c>
      <c r="K701" s="32">
        <f>_xlfn.MAXIFS(ConsumoConcreto[Fim do Bombeamento],ConsumoConcreto[RecebimentoID],RecebimentoConcreto[[#This Row],[RecebimentoID]])</f>
        <v>0.70833333333333337</v>
      </c>
      <c r="L701" s="1">
        <v>13</v>
      </c>
      <c r="M701" s="37">
        <v>36892</v>
      </c>
      <c r="N701" s="5" t="s">
        <v>1801</v>
      </c>
      <c r="O701" s="9">
        <v>0.1</v>
      </c>
      <c r="P701" s="5" t="s">
        <v>26</v>
      </c>
      <c r="Q701" s="2">
        <v>7</v>
      </c>
      <c r="R701" s="5" t="s">
        <v>27</v>
      </c>
      <c r="S701" s="5" t="s">
        <v>32</v>
      </c>
      <c r="T701" s="39">
        <v>470</v>
      </c>
    </row>
    <row r="702" spans="1:20" ht="20.100000000000001" hidden="1" customHeight="1" x14ac:dyDescent="0.25">
      <c r="A702" s="26" t="str">
        <f>CONCATENATE(RIGHT(LEFT(RecebimentoConcreto[[#This Row],[Obra]],5),4),"RCBC",TEXT(RecebimentoConcreto[[#This Row],[Ordem]],"0000"))</f>
        <v>0184RCBC0294</v>
      </c>
      <c r="B702" s="1">
        <v>294</v>
      </c>
      <c r="C702" s="1" t="s">
        <v>21</v>
      </c>
      <c r="D702" s="35">
        <v>44877</v>
      </c>
      <c r="E702" s="1" t="s">
        <v>36</v>
      </c>
      <c r="F702" s="2">
        <v>13024</v>
      </c>
      <c r="G702" s="2">
        <v>5408</v>
      </c>
      <c r="H702" s="2">
        <v>17978</v>
      </c>
      <c r="I702" s="5">
        <v>0.40972222222222227</v>
      </c>
      <c r="J702" s="5">
        <v>0.45833333333333331</v>
      </c>
      <c r="K702" s="32">
        <f>_xlfn.MAXIFS(ConsumoConcreto[Fim do Bombeamento],ConsumoConcreto[RecebimentoID],RecebimentoConcreto[[#This Row],[RecebimentoID]])</f>
        <v>0.5</v>
      </c>
      <c r="L702" s="1">
        <v>12</v>
      </c>
      <c r="M702" s="37">
        <v>36892</v>
      </c>
      <c r="N702" s="5" t="s">
        <v>1801</v>
      </c>
      <c r="O702" s="9">
        <v>0.1</v>
      </c>
      <c r="P702" s="5" t="s">
        <v>26</v>
      </c>
      <c r="Q702" s="2">
        <v>7</v>
      </c>
      <c r="R702" s="5" t="s">
        <v>27</v>
      </c>
      <c r="S702" s="5" t="s">
        <v>32</v>
      </c>
      <c r="T702" s="39">
        <v>470</v>
      </c>
    </row>
    <row r="703" spans="1:20" ht="20.100000000000001" hidden="1" customHeight="1" x14ac:dyDescent="0.25">
      <c r="A703" s="26" t="str">
        <f>CONCATENATE(RIGHT(LEFT(RecebimentoConcreto[[#This Row],[Obra]],5),4),"RCBC",TEXT(RecebimentoConcreto[[#This Row],[Ordem]],"0000"))</f>
        <v>0184RCBC0295</v>
      </c>
      <c r="B703" s="1">
        <v>295</v>
      </c>
      <c r="C703" s="1" t="s">
        <v>21</v>
      </c>
      <c r="D703" s="35">
        <v>44877</v>
      </c>
      <c r="E703" s="1" t="s">
        <v>36</v>
      </c>
      <c r="F703" s="2">
        <v>13024</v>
      </c>
      <c r="G703" s="2">
        <v>5408</v>
      </c>
      <c r="H703" s="2">
        <v>17978</v>
      </c>
      <c r="I703" s="5">
        <v>0.40972222222222227</v>
      </c>
      <c r="J703" s="5">
        <v>0.45833333333333331</v>
      </c>
      <c r="K703" s="32">
        <f>_xlfn.MAXIFS(ConsumoConcreto[Fim do Bombeamento],ConsumoConcreto[RecebimentoID],RecebimentoConcreto[[#This Row],[RecebimentoID]])</f>
        <v>0.5</v>
      </c>
      <c r="L703" s="1">
        <v>12</v>
      </c>
      <c r="M703" s="37">
        <v>36892</v>
      </c>
      <c r="N703" s="5" t="s">
        <v>1801</v>
      </c>
      <c r="O703" s="9">
        <v>0.1</v>
      </c>
      <c r="P703" s="5" t="s">
        <v>26</v>
      </c>
      <c r="Q703" s="2">
        <v>7</v>
      </c>
      <c r="R703" s="5" t="s">
        <v>27</v>
      </c>
      <c r="S703" s="5" t="s">
        <v>32</v>
      </c>
      <c r="T703" s="39">
        <v>470</v>
      </c>
    </row>
    <row r="704" spans="1:20" ht="20.100000000000001" hidden="1" customHeight="1" x14ac:dyDescent="0.25">
      <c r="A704" s="26" t="str">
        <f>CONCATENATE(RIGHT(LEFT(RecebimentoConcreto[[#This Row],[Obra]],5),4),"RCBC",TEXT(RecebimentoConcreto[[#This Row],[Ordem]],"0000"))</f>
        <v>0184RCBC0296</v>
      </c>
      <c r="B704" s="1">
        <v>296</v>
      </c>
      <c r="C704" s="1" t="s">
        <v>21</v>
      </c>
      <c r="D704" s="35">
        <v>44877</v>
      </c>
      <c r="E704" s="1" t="s">
        <v>36</v>
      </c>
      <c r="F704" s="2">
        <v>13024</v>
      </c>
      <c r="G704" s="2">
        <v>5408</v>
      </c>
      <c r="H704" s="2">
        <v>17978</v>
      </c>
      <c r="I704" s="5">
        <v>0.40972222222222227</v>
      </c>
      <c r="J704" s="5">
        <v>0.45833333333333331</v>
      </c>
      <c r="K704" s="32">
        <f>_xlfn.MAXIFS(ConsumoConcreto[Fim do Bombeamento],ConsumoConcreto[RecebimentoID],RecebimentoConcreto[[#This Row],[RecebimentoID]])</f>
        <v>0.5</v>
      </c>
      <c r="L704" s="1">
        <v>12</v>
      </c>
      <c r="M704" s="37">
        <v>36892</v>
      </c>
      <c r="N704" s="5" t="s">
        <v>1801</v>
      </c>
      <c r="O704" s="9">
        <v>0.1</v>
      </c>
      <c r="P704" s="5" t="s">
        <v>26</v>
      </c>
      <c r="Q704" s="2">
        <v>7</v>
      </c>
      <c r="R704" s="5" t="s">
        <v>27</v>
      </c>
      <c r="S704" s="5" t="s">
        <v>32</v>
      </c>
      <c r="T704" s="39">
        <v>470</v>
      </c>
    </row>
    <row r="705" spans="1:20" ht="20.100000000000001" hidden="1" customHeight="1" x14ac:dyDescent="0.25">
      <c r="A705" s="26" t="str">
        <f>CONCATENATE(RIGHT(LEFT(RecebimentoConcreto[[#This Row],[Obra]],5),4),"RCBC",TEXT(RecebimentoConcreto[[#This Row],[Ordem]],"0000"))</f>
        <v>0184RCBC0297</v>
      </c>
      <c r="B705" s="1">
        <v>297</v>
      </c>
      <c r="C705" s="1" t="s">
        <v>21</v>
      </c>
      <c r="D705" s="35">
        <v>44877</v>
      </c>
      <c r="E705" s="1" t="s">
        <v>36</v>
      </c>
      <c r="F705" s="2">
        <v>13024</v>
      </c>
      <c r="G705" s="2">
        <v>5408</v>
      </c>
      <c r="H705" s="2">
        <v>17978</v>
      </c>
      <c r="I705" s="5">
        <v>0.40972222222222227</v>
      </c>
      <c r="J705" s="5">
        <v>0.45833333333333331</v>
      </c>
      <c r="K705" s="32">
        <f>_xlfn.MAXIFS(ConsumoConcreto[Fim do Bombeamento],ConsumoConcreto[RecebimentoID],RecebimentoConcreto[[#This Row],[RecebimentoID]])</f>
        <v>0.5</v>
      </c>
      <c r="L705" s="1">
        <v>12</v>
      </c>
      <c r="M705" s="37">
        <v>36892</v>
      </c>
      <c r="N705" s="5" t="s">
        <v>1801</v>
      </c>
      <c r="O705" s="9">
        <v>0.1</v>
      </c>
      <c r="P705" s="5" t="s">
        <v>26</v>
      </c>
      <c r="Q705" s="2">
        <v>7</v>
      </c>
      <c r="R705" s="5" t="s">
        <v>27</v>
      </c>
      <c r="S705" s="5" t="s">
        <v>32</v>
      </c>
      <c r="T705" s="39">
        <v>470</v>
      </c>
    </row>
    <row r="706" spans="1:20" ht="20.100000000000001" hidden="1" customHeight="1" x14ac:dyDescent="0.25">
      <c r="A706" s="26" t="str">
        <f>CONCATENATE(RIGHT(LEFT(RecebimentoConcreto[[#This Row],[Obra]],5),4),"RCBC",TEXT(RecebimentoConcreto[[#This Row],[Ordem]],"0000"))</f>
        <v>0184RCBC0298</v>
      </c>
      <c r="B706" s="1">
        <v>298</v>
      </c>
      <c r="C706" s="1" t="s">
        <v>21</v>
      </c>
      <c r="D706" s="35">
        <v>44877</v>
      </c>
      <c r="E706" s="1" t="s">
        <v>36</v>
      </c>
      <c r="F706" s="2">
        <v>13024</v>
      </c>
      <c r="G706" s="2">
        <v>5408</v>
      </c>
      <c r="H706" s="2">
        <v>17978</v>
      </c>
      <c r="I706" s="5">
        <v>0.40972222222222227</v>
      </c>
      <c r="J706" s="5">
        <v>0.45833333333333331</v>
      </c>
      <c r="K706" s="32">
        <f>_xlfn.MAXIFS(ConsumoConcreto[Fim do Bombeamento],ConsumoConcreto[RecebimentoID],RecebimentoConcreto[[#This Row],[RecebimentoID]])</f>
        <v>0.5</v>
      </c>
      <c r="L706" s="1">
        <v>12</v>
      </c>
      <c r="M706" s="37">
        <v>36892</v>
      </c>
      <c r="N706" s="5" t="s">
        <v>1801</v>
      </c>
      <c r="O706" s="9">
        <v>0.1</v>
      </c>
      <c r="P706" s="5" t="s">
        <v>26</v>
      </c>
      <c r="Q706" s="2">
        <v>7</v>
      </c>
      <c r="R706" s="5" t="s">
        <v>27</v>
      </c>
      <c r="S706" s="5" t="s">
        <v>32</v>
      </c>
      <c r="T706" s="39">
        <v>470</v>
      </c>
    </row>
    <row r="707" spans="1:20" ht="20.100000000000001" hidden="1" customHeight="1" x14ac:dyDescent="0.25">
      <c r="A707" s="26" t="str">
        <f>CONCATENATE(RIGHT(LEFT(RecebimentoConcreto[[#This Row],[Obra]],5),4),"RCBC",TEXT(RecebimentoConcreto[[#This Row],[Ordem]],"0000"))</f>
        <v>0184RCBC0304</v>
      </c>
      <c r="B707" s="1">
        <v>304</v>
      </c>
      <c r="C707" s="1" t="s">
        <v>21</v>
      </c>
      <c r="D707" s="35">
        <v>44902</v>
      </c>
      <c r="E707" s="1" t="s">
        <v>38</v>
      </c>
      <c r="F707" s="2">
        <v>12021</v>
      </c>
      <c r="G707" s="2">
        <v>5408</v>
      </c>
      <c r="H707" s="2">
        <v>18478</v>
      </c>
      <c r="I707" s="5">
        <v>0.6166666666666667</v>
      </c>
      <c r="K707" s="32">
        <f>_xlfn.MAXIFS(ConsumoConcreto[Fim do Bombeamento],ConsumoConcreto[RecebimentoID],RecebimentoConcreto[[#This Row],[RecebimentoID]])</f>
        <v>0</v>
      </c>
      <c r="L707" s="1">
        <v>13</v>
      </c>
      <c r="M707" s="37">
        <v>36892</v>
      </c>
      <c r="N707" s="5" t="s">
        <v>1801</v>
      </c>
      <c r="O707" s="9">
        <v>0.1</v>
      </c>
      <c r="P707" s="5" t="s">
        <v>26</v>
      </c>
      <c r="Q707" s="2">
        <v>7</v>
      </c>
      <c r="R707" s="5" t="s">
        <v>27</v>
      </c>
      <c r="S707" s="5" t="s">
        <v>32</v>
      </c>
      <c r="T707" s="39">
        <v>480</v>
      </c>
    </row>
    <row r="708" spans="1:20" ht="20.100000000000001" hidden="1" customHeight="1" x14ac:dyDescent="0.25">
      <c r="A708" s="26" t="str">
        <f>CONCATENATE(RIGHT(LEFT(RecebimentoConcreto[[#This Row],[Obra]],5),4),"RCBC",TEXT(RecebimentoConcreto[[#This Row],[Ordem]],"0000"))</f>
        <v>0184RCBC0305</v>
      </c>
      <c r="B708" s="1">
        <v>305</v>
      </c>
      <c r="C708" s="1" t="s">
        <v>21</v>
      </c>
      <c r="D708" s="35">
        <v>44818</v>
      </c>
      <c r="E708" s="1" t="s">
        <v>36</v>
      </c>
      <c r="F708" s="2">
        <v>8393</v>
      </c>
      <c r="G708" s="2">
        <v>5408</v>
      </c>
      <c r="H708" s="2">
        <v>16719</v>
      </c>
      <c r="I708" s="5">
        <v>0.53819444444444442</v>
      </c>
      <c r="J708" s="5">
        <v>0.55555555555555558</v>
      </c>
      <c r="K708" s="32">
        <f>_xlfn.MAXIFS(ConsumoConcreto[Fim do Bombeamento],ConsumoConcreto[RecebimentoID],RecebimentoConcreto[[#This Row],[RecebimentoID]])</f>
        <v>0.57638888888888895</v>
      </c>
      <c r="L708" s="1">
        <v>14</v>
      </c>
      <c r="M708" s="37">
        <v>36892</v>
      </c>
      <c r="N708" s="5" t="s">
        <v>1801</v>
      </c>
      <c r="O708" s="9">
        <v>5.5</v>
      </c>
      <c r="P708" s="5" t="s">
        <v>26</v>
      </c>
      <c r="Q708" s="2">
        <v>5</v>
      </c>
      <c r="R708" s="5" t="s">
        <v>27</v>
      </c>
      <c r="S708" s="5" t="s">
        <v>32</v>
      </c>
      <c r="T708" s="39">
        <v>460</v>
      </c>
    </row>
    <row r="709" spans="1:20" ht="20.100000000000001" hidden="1" customHeight="1" x14ac:dyDescent="0.25">
      <c r="A709" s="26" t="str">
        <f>CONCATENATE(RIGHT(LEFT(RecebimentoConcreto[[#This Row],[Obra]],5),4),"RCBC",TEXT(RecebimentoConcreto[[#This Row],[Ordem]],"0000"))</f>
        <v>0184RCBC0306</v>
      </c>
      <c r="B709" s="1">
        <v>306</v>
      </c>
      <c r="C709" s="1" t="s">
        <v>21</v>
      </c>
      <c r="D709" s="35">
        <v>44818</v>
      </c>
      <c r="E709" s="1" t="s">
        <v>208</v>
      </c>
      <c r="F709" s="2">
        <v>8400</v>
      </c>
      <c r="G709" s="2">
        <v>5408</v>
      </c>
      <c r="H709" s="2">
        <v>16726</v>
      </c>
      <c r="I709" s="5">
        <v>0.61111111111111105</v>
      </c>
      <c r="J709" s="5">
        <v>0.62847222222222221</v>
      </c>
      <c r="K709" s="32">
        <f>_xlfn.MAXIFS(ConsumoConcreto[Fim do Bombeamento],ConsumoConcreto[RecebimentoID],RecebimentoConcreto[[#This Row],[RecebimentoID]])</f>
        <v>0.65277777777777779</v>
      </c>
      <c r="L709" s="1">
        <v>13</v>
      </c>
      <c r="M709" s="37">
        <v>36892</v>
      </c>
      <c r="N709" s="5" t="s">
        <v>1801</v>
      </c>
      <c r="O709" s="9">
        <v>5.5</v>
      </c>
      <c r="P709" s="5" t="s">
        <v>26</v>
      </c>
      <c r="Q709" s="2">
        <v>5</v>
      </c>
      <c r="R709" s="5" t="s">
        <v>27</v>
      </c>
      <c r="S709" s="5" t="s">
        <v>32</v>
      </c>
      <c r="T709" s="39">
        <v>460</v>
      </c>
    </row>
    <row r="710" spans="1:20" ht="20.100000000000001" hidden="1" customHeight="1" x14ac:dyDescent="0.25">
      <c r="A710" s="26" t="str">
        <f>CONCATENATE(RIGHT(LEFT(RecebimentoConcreto[[#This Row],[Obra]],5),4),"RCBC",TEXT(RecebimentoConcreto[[#This Row],[Ordem]],"0000"))</f>
        <v>0184RCBC0307</v>
      </c>
      <c r="B710" s="1">
        <v>307</v>
      </c>
      <c r="C710" s="1" t="s">
        <v>21</v>
      </c>
      <c r="D710" s="35">
        <v>44818</v>
      </c>
      <c r="E710" s="1" t="s">
        <v>208</v>
      </c>
      <c r="F710" s="2">
        <v>8327</v>
      </c>
      <c r="G710" s="2">
        <v>5408</v>
      </c>
      <c r="H710" s="2">
        <v>16731</v>
      </c>
      <c r="I710" s="5">
        <v>0.6875</v>
      </c>
      <c r="J710" s="5">
        <v>0.70138888888888884</v>
      </c>
      <c r="K710" s="32">
        <f>_xlfn.MAXIFS(ConsumoConcreto[Fim do Bombeamento],ConsumoConcreto[RecebimentoID],RecebimentoConcreto[[#This Row],[RecebimentoID]])</f>
        <v>0.72222222222222221</v>
      </c>
      <c r="L710" s="1">
        <v>12.5</v>
      </c>
      <c r="M710" s="37">
        <v>36892</v>
      </c>
      <c r="N710" s="5" t="s">
        <v>1801</v>
      </c>
      <c r="O710" s="9">
        <v>5.5</v>
      </c>
      <c r="P710" s="5" t="s">
        <v>26</v>
      </c>
      <c r="Q710" s="2">
        <v>5</v>
      </c>
      <c r="R710" s="5" t="s">
        <v>27</v>
      </c>
      <c r="S710" s="5" t="s">
        <v>32</v>
      </c>
      <c r="T710" s="39">
        <v>460</v>
      </c>
    </row>
    <row r="711" spans="1:20" ht="20.100000000000001" hidden="1" customHeight="1" x14ac:dyDescent="0.25">
      <c r="A711" s="26" t="str">
        <f>CONCATENATE(RIGHT(LEFT(RecebimentoConcreto[[#This Row],[Obra]],5),4),"RCBC",TEXT(RecebimentoConcreto[[#This Row],[Ordem]],"0000"))</f>
        <v>0184RCBC0308</v>
      </c>
      <c r="B711" s="1">
        <v>308</v>
      </c>
      <c r="C711" s="1" t="s">
        <v>21</v>
      </c>
      <c r="D711" s="35">
        <v>44819</v>
      </c>
      <c r="E711" s="1" t="s">
        <v>208</v>
      </c>
      <c r="F711" s="2">
        <v>15079</v>
      </c>
      <c r="G711" s="2">
        <v>5408</v>
      </c>
      <c r="H711" s="2">
        <v>16744</v>
      </c>
      <c r="I711" s="5">
        <v>0.38541666666666669</v>
      </c>
      <c r="J711" s="5">
        <v>0.40625</v>
      </c>
      <c r="K711" s="32">
        <f>_xlfn.MAXIFS(ConsumoConcreto[Fim do Bombeamento],ConsumoConcreto[RecebimentoID],RecebimentoConcreto[[#This Row],[RecebimentoID]])</f>
        <v>0.43055555555555558</v>
      </c>
      <c r="L711" s="1">
        <v>14</v>
      </c>
      <c r="M711" s="37">
        <v>36892</v>
      </c>
      <c r="N711" s="5" t="s">
        <v>1801</v>
      </c>
      <c r="O711" s="9">
        <v>5.5</v>
      </c>
      <c r="P711" s="5" t="s">
        <v>26</v>
      </c>
      <c r="Q711" s="2">
        <v>5</v>
      </c>
      <c r="R711" s="5" t="s">
        <v>27</v>
      </c>
      <c r="S711" s="5" t="s">
        <v>32</v>
      </c>
      <c r="T711" s="39">
        <v>460</v>
      </c>
    </row>
    <row r="712" spans="1:20" ht="20.100000000000001" hidden="1" customHeight="1" x14ac:dyDescent="0.25">
      <c r="A712" s="26" t="str">
        <f>CONCATENATE(RIGHT(LEFT(RecebimentoConcreto[[#This Row],[Obra]],5),4),"RCBC",TEXT(RecebimentoConcreto[[#This Row],[Ordem]],"0000"))</f>
        <v>0184RCBC0309</v>
      </c>
      <c r="B712" s="1">
        <v>309</v>
      </c>
      <c r="C712" s="1" t="s">
        <v>21</v>
      </c>
      <c r="D712" s="35">
        <v>44819</v>
      </c>
      <c r="E712" s="1" t="s">
        <v>106</v>
      </c>
      <c r="F712" s="2">
        <v>15033</v>
      </c>
      <c r="G712" s="2">
        <v>5408</v>
      </c>
      <c r="H712" s="2">
        <v>16751</v>
      </c>
      <c r="I712" s="5">
        <v>0.46527777777777773</v>
      </c>
      <c r="J712" s="5">
        <v>0.46319444444444446</v>
      </c>
      <c r="K712" s="32">
        <f>_xlfn.MAXIFS(ConsumoConcreto[Fim do Bombeamento],ConsumoConcreto[RecebimentoID],RecebimentoConcreto[[#This Row],[RecebimentoID]])</f>
        <v>0.50694444444444442</v>
      </c>
      <c r="L712" s="1">
        <v>13</v>
      </c>
      <c r="M712" s="37">
        <v>36892</v>
      </c>
      <c r="N712" s="5" t="s">
        <v>1801</v>
      </c>
      <c r="O712" s="9">
        <v>5.5</v>
      </c>
      <c r="P712" s="5" t="s">
        <v>26</v>
      </c>
      <c r="Q712" s="2">
        <v>5</v>
      </c>
      <c r="R712" s="5" t="s">
        <v>27</v>
      </c>
      <c r="S712" s="5" t="s">
        <v>32</v>
      </c>
      <c r="T712" s="39">
        <v>460</v>
      </c>
    </row>
    <row r="713" spans="1:20" ht="20.100000000000001" hidden="1" customHeight="1" x14ac:dyDescent="0.25">
      <c r="A713" s="26" t="str">
        <f>CONCATENATE(RIGHT(LEFT(RecebimentoConcreto[[#This Row],[Obra]],5),4),"RCBC",TEXT(RecebimentoConcreto[[#This Row],[Ordem]],"0000"))</f>
        <v>0184RCBC0310</v>
      </c>
      <c r="B713" s="1">
        <v>310</v>
      </c>
      <c r="C713" s="1" t="s">
        <v>21</v>
      </c>
      <c r="D713" s="35">
        <v>44819</v>
      </c>
      <c r="E713" s="1" t="s">
        <v>1848</v>
      </c>
      <c r="F713" s="2">
        <v>15036</v>
      </c>
      <c r="G713" s="2">
        <v>5408</v>
      </c>
      <c r="H713" s="2">
        <v>16754</v>
      </c>
      <c r="I713" s="5">
        <v>0.56944444444444442</v>
      </c>
      <c r="J713" s="5">
        <v>0.59375</v>
      </c>
      <c r="K713" s="32">
        <f>_xlfn.MAXIFS(ConsumoConcreto[Fim do Bombeamento],ConsumoConcreto[RecebimentoID],RecebimentoConcreto[[#This Row],[RecebimentoID]])</f>
        <v>0.61805555555555558</v>
      </c>
      <c r="L713" s="1">
        <v>13.5</v>
      </c>
      <c r="M713" s="37">
        <v>36892</v>
      </c>
      <c r="N713" s="5" t="s">
        <v>1801</v>
      </c>
      <c r="O713" s="9">
        <v>5.5</v>
      </c>
      <c r="P713" s="5" t="s">
        <v>26</v>
      </c>
      <c r="Q713" s="2">
        <v>5</v>
      </c>
      <c r="R713" s="5" t="s">
        <v>27</v>
      </c>
      <c r="S713" s="5" t="s">
        <v>32</v>
      </c>
      <c r="T713" s="39">
        <v>460</v>
      </c>
    </row>
    <row r="714" spans="1:20" ht="20.100000000000001" hidden="1" customHeight="1" x14ac:dyDescent="0.25">
      <c r="A714" s="26" t="str">
        <f>CONCATENATE(RIGHT(LEFT(RecebimentoConcreto[[#This Row],[Obra]],5),4),"RCBC",TEXT(RecebimentoConcreto[[#This Row],[Ordem]],"0000"))</f>
        <v>0184RCBC0311</v>
      </c>
      <c r="B714" s="1">
        <v>311</v>
      </c>
      <c r="C714" s="1" t="s">
        <v>21</v>
      </c>
      <c r="D714" s="35">
        <v>44819</v>
      </c>
      <c r="E714" s="1" t="s">
        <v>37</v>
      </c>
      <c r="F714" s="2">
        <v>15038</v>
      </c>
      <c r="G714" s="2">
        <v>5408</v>
      </c>
      <c r="H714" s="2">
        <v>16756</v>
      </c>
      <c r="I714" s="5">
        <v>0.59722222222222221</v>
      </c>
      <c r="J714" s="5">
        <v>0.63194444444444442</v>
      </c>
      <c r="K714" s="32">
        <f>_xlfn.MAXIFS(ConsumoConcreto[Fim do Bombeamento],ConsumoConcreto[RecebimentoID],RecebimentoConcreto[[#This Row],[RecebimentoID]])</f>
        <v>0.66666666666666663</v>
      </c>
      <c r="L714" s="1">
        <v>13</v>
      </c>
      <c r="M714" s="37">
        <v>36892</v>
      </c>
      <c r="N714" s="5" t="s">
        <v>1801</v>
      </c>
      <c r="O714" s="9">
        <v>5.5</v>
      </c>
      <c r="P714" s="5" t="s">
        <v>26</v>
      </c>
      <c r="Q714" s="2">
        <v>5</v>
      </c>
      <c r="R714" s="5" t="s">
        <v>27</v>
      </c>
      <c r="S714" s="5" t="s">
        <v>32</v>
      </c>
      <c r="T714" s="39">
        <v>460</v>
      </c>
    </row>
    <row r="715" spans="1:20" ht="20.100000000000001" hidden="1" customHeight="1" x14ac:dyDescent="0.25">
      <c r="A715" s="26" t="str">
        <f>CONCATENATE(RIGHT(LEFT(RecebimentoConcreto[[#This Row],[Obra]],5),4),"RCBC",TEXT(RecebimentoConcreto[[#This Row],[Ordem]],"0000"))</f>
        <v>0184RCBC0312</v>
      </c>
      <c r="B715" s="1">
        <v>312</v>
      </c>
      <c r="C715" s="1" t="s">
        <v>21</v>
      </c>
      <c r="D715" s="35">
        <v>44820</v>
      </c>
      <c r="E715" s="1" t="s">
        <v>207</v>
      </c>
      <c r="F715" s="2">
        <v>15017</v>
      </c>
      <c r="G715" s="2">
        <v>5408</v>
      </c>
      <c r="H715" s="2">
        <v>16779</v>
      </c>
      <c r="I715" s="5">
        <v>0.40277777777777773</v>
      </c>
      <c r="J715" s="5">
        <v>0.41666666666666669</v>
      </c>
      <c r="K715" s="32">
        <f>_xlfn.MAXIFS(ConsumoConcreto[Fim do Bombeamento],ConsumoConcreto[RecebimentoID],RecebimentoConcreto[[#This Row],[RecebimentoID]])</f>
        <v>0.44444444444444442</v>
      </c>
      <c r="L715" s="1">
        <v>13</v>
      </c>
      <c r="M715" s="37">
        <v>36892</v>
      </c>
      <c r="N715" s="5" t="s">
        <v>1801</v>
      </c>
      <c r="O715" s="9">
        <v>7</v>
      </c>
      <c r="P715" s="5" t="s">
        <v>26</v>
      </c>
      <c r="Q715" s="2">
        <v>5</v>
      </c>
      <c r="R715" s="5" t="s">
        <v>27</v>
      </c>
      <c r="S715" s="5" t="s">
        <v>32</v>
      </c>
      <c r="T715" s="39">
        <v>460</v>
      </c>
    </row>
    <row r="716" spans="1:20" ht="20.100000000000001" hidden="1" customHeight="1" x14ac:dyDescent="0.25">
      <c r="A716" s="26" t="str">
        <f>CONCATENATE(RIGHT(LEFT(RecebimentoConcreto[[#This Row],[Obra]],5),4),"RCBC",TEXT(RecebimentoConcreto[[#This Row],[Ordem]],"0000"))</f>
        <v>0184RCBC0313</v>
      </c>
      <c r="B716" s="1">
        <v>313</v>
      </c>
      <c r="C716" s="1" t="s">
        <v>21</v>
      </c>
      <c r="D716" s="35">
        <v>44820</v>
      </c>
      <c r="E716" s="1" t="s">
        <v>1848</v>
      </c>
      <c r="F716" s="2">
        <v>15048</v>
      </c>
      <c r="G716" s="2">
        <v>5408</v>
      </c>
      <c r="H716" s="2">
        <v>16782</v>
      </c>
      <c r="I716" s="5">
        <v>0.46875</v>
      </c>
      <c r="J716" s="5">
        <v>0.4861111111111111</v>
      </c>
      <c r="K716" s="32">
        <f>_xlfn.MAXIFS(ConsumoConcreto[Fim do Bombeamento],ConsumoConcreto[RecebimentoID],RecebimentoConcreto[[#This Row],[RecebimentoID]])</f>
        <v>0.50972222222222219</v>
      </c>
      <c r="L716" s="1">
        <v>13.5</v>
      </c>
      <c r="M716" s="37">
        <v>36892</v>
      </c>
      <c r="N716" s="5" t="s">
        <v>1801</v>
      </c>
      <c r="O716" s="9">
        <v>7</v>
      </c>
      <c r="P716" s="5" t="s">
        <v>26</v>
      </c>
      <c r="Q716" s="2">
        <v>5</v>
      </c>
      <c r="R716" s="5" t="s">
        <v>27</v>
      </c>
      <c r="S716" s="5" t="s">
        <v>32</v>
      </c>
      <c r="T716" s="39">
        <v>460</v>
      </c>
    </row>
    <row r="717" spans="1:20" ht="20.100000000000001" hidden="1" customHeight="1" x14ac:dyDescent="0.25">
      <c r="A717" s="26" t="str">
        <f>CONCATENATE(RIGHT(LEFT(RecebimentoConcreto[[#This Row],[Obra]],5),4),"RCBC",TEXT(RecebimentoConcreto[[#This Row],[Ordem]],"0000"))</f>
        <v>0184RCBC0314</v>
      </c>
      <c r="B717" s="1">
        <v>314</v>
      </c>
      <c r="C717" s="1" t="s">
        <v>21</v>
      </c>
      <c r="D717" s="35">
        <v>44820</v>
      </c>
      <c r="E717" s="1" t="s">
        <v>208</v>
      </c>
      <c r="F717" s="2">
        <v>15057</v>
      </c>
      <c r="G717" s="2">
        <v>5408</v>
      </c>
      <c r="H717" s="2">
        <v>16791</v>
      </c>
      <c r="I717" s="5">
        <v>0.65277777777777779</v>
      </c>
      <c r="J717" s="5">
        <v>0.66666666666666663</v>
      </c>
      <c r="K717" s="32">
        <f>_xlfn.MAXIFS(ConsumoConcreto[Fim do Bombeamento],ConsumoConcreto[RecebimentoID],RecebimentoConcreto[[#This Row],[RecebimentoID]])</f>
        <v>0.6875</v>
      </c>
      <c r="L717" s="1">
        <v>14</v>
      </c>
      <c r="M717" s="37">
        <v>36892</v>
      </c>
      <c r="N717" s="5" t="s">
        <v>1801</v>
      </c>
      <c r="O717" s="9">
        <v>7</v>
      </c>
      <c r="P717" s="5" t="s">
        <v>26</v>
      </c>
      <c r="Q717" s="2">
        <v>5</v>
      </c>
      <c r="R717" s="5" t="s">
        <v>27</v>
      </c>
      <c r="S717" s="5" t="s">
        <v>32</v>
      </c>
      <c r="T717" s="39">
        <v>460</v>
      </c>
    </row>
    <row r="718" spans="1:20" ht="20.100000000000001" hidden="1" customHeight="1" x14ac:dyDescent="0.25">
      <c r="A718" s="26" t="str">
        <f>CONCATENATE(RIGHT(LEFT(RecebimentoConcreto[[#This Row],[Obra]],5),4),"RCBC",TEXT(RecebimentoConcreto[[#This Row],[Ordem]],"0000"))</f>
        <v>0184RCBC0315</v>
      </c>
      <c r="B718" s="1">
        <v>315</v>
      </c>
      <c r="C718" s="1" t="s">
        <v>21</v>
      </c>
      <c r="D718" s="35">
        <v>44823</v>
      </c>
      <c r="E718" s="1" t="s">
        <v>1848</v>
      </c>
      <c r="F718" s="2">
        <v>10703</v>
      </c>
      <c r="G718" s="2">
        <v>5408</v>
      </c>
      <c r="H718" s="2">
        <v>16833</v>
      </c>
      <c r="I718" s="5">
        <v>0.55208333333333337</v>
      </c>
      <c r="J718" s="5">
        <v>0.57291666666666663</v>
      </c>
      <c r="K718" s="32">
        <f>_xlfn.MAXIFS(ConsumoConcreto[Fim do Bombeamento],ConsumoConcreto[RecebimentoID],RecebimentoConcreto[[#This Row],[RecebimentoID]])</f>
        <v>0.6069444444444444</v>
      </c>
      <c r="L718" s="1">
        <v>13</v>
      </c>
      <c r="M718" s="37">
        <v>36892</v>
      </c>
      <c r="N718" s="5" t="s">
        <v>1801</v>
      </c>
      <c r="O718" s="9">
        <v>7</v>
      </c>
      <c r="P718" s="5" t="s">
        <v>26</v>
      </c>
      <c r="Q718" s="2">
        <v>5</v>
      </c>
      <c r="R718" s="5" t="s">
        <v>27</v>
      </c>
      <c r="S718" s="5" t="s">
        <v>32</v>
      </c>
      <c r="T718" s="39">
        <v>460</v>
      </c>
    </row>
    <row r="719" spans="1:20" ht="20.100000000000001" hidden="1" customHeight="1" x14ac:dyDescent="0.25">
      <c r="A719" s="26" t="str">
        <f>CONCATENATE(RIGHT(LEFT(RecebimentoConcreto[[#This Row],[Obra]],5),4),"RCBC",TEXT(RecebimentoConcreto[[#This Row],[Ordem]],"0000"))</f>
        <v>0184RCBC0316</v>
      </c>
      <c r="B719" s="1">
        <v>316</v>
      </c>
      <c r="C719" s="1" t="s">
        <v>21</v>
      </c>
      <c r="D719" s="35">
        <v>44823</v>
      </c>
      <c r="E719" s="1" t="s">
        <v>106</v>
      </c>
      <c r="F719" s="2">
        <v>10706</v>
      </c>
      <c r="G719" s="2">
        <v>5408</v>
      </c>
      <c r="H719" s="2">
        <v>16836</v>
      </c>
      <c r="I719" s="5">
        <v>0.61805555555555558</v>
      </c>
      <c r="J719" s="5">
        <v>0.63541666666666663</v>
      </c>
      <c r="K719" s="32">
        <f>_xlfn.MAXIFS(ConsumoConcreto[Fim do Bombeamento],ConsumoConcreto[RecebimentoID],RecebimentoConcreto[[#This Row],[RecebimentoID]])</f>
        <v>0.67708333333333337</v>
      </c>
      <c r="L719" s="1">
        <v>12</v>
      </c>
      <c r="M719" s="37">
        <v>36892</v>
      </c>
      <c r="N719" s="5" t="s">
        <v>1801</v>
      </c>
      <c r="O719" s="9">
        <v>7</v>
      </c>
      <c r="P719" s="5" t="s">
        <v>26</v>
      </c>
      <c r="Q719" s="2">
        <v>5</v>
      </c>
      <c r="R719" s="5" t="s">
        <v>27</v>
      </c>
      <c r="S719" s="5" t="s">
        <v>32</v>
      </c>
      <c r="T719" s="39">
        <v>460</v>
      </c>
    </row>
    <row r="720" spans="1:20" ht="20.100000000000001" hidden="1" customHeight="1" x14ac:dyDescent="0.25">
      <c r="A720" s="26" t="str">
        <f>CONCATENATE(RIGHT(LEFT(RecebimentoConcreto[[#This Row],[Obra]],5),4),"RCBC",TEXT(RecebimentoConcreto[[#This Row],[Ordem]],"0000"))</f>
        <v>0184RCBC0317</v>
      </c>
      <c r="B720" s="1">
        <v>317</v>
      </c>
      <c r="C720" s="1" t="s">
        <v>21</v>
      </c>
      <c r="D720" s="35">
        <v>44824</v>
      </c>
      <c r="E720" s="1" t="s">
        <v>1848</v>
      </c>
      <c r="F720" s="2">
        <v>10723</v>
      </c>
      <c r="G720" s="2">
        <v>5408</v>
      </c>
      <c r="H720" s="2">
        <v>16853</v>
      </c>
      <c r="I720" s="5">
        <v>0.40972222222222227</v>
      </c>
      <c r="J720" s="5">
        <v>0.4375</v>
      </c>
      <c r="K720" s="32">
        <f>_xlfn.MAXIFS(ConsumoConcreto[Fim do Bombeamento],ConsumoConcreto[RecebimentoID],RecebimentoConcreto[[#This Row],[RecebimentoID]])</f>
        <v>0.46666666666666662</v>
      </c>
      <c r="L720" s="1">
        <v>14</v>
      </c>
      <c r="M720" s="37">
        <v>36892</v>
      </c>
      <c r="N720" s="5" t="s">
        <v>1801</v>
      </c>
      <c r="O720" s="9">
        <v>7</v>
      </c>
      <c r="P720" s="5" t="s">
        <v>26</v>
      </c>
      <c r="Q720" s="2">
        <v>5</v>
      </c>
      <c r="R720" s="5" t="s">
        <v>27</v>
      </c>
      <c r="S720" s="5" t="s">
        <v>32</v>
      </c>
      <c r="T720" s="39">
        <v>460</v>
      </c>
    </row>
    <row r="721" spans="1:20" ht="20.100000000000001" hidden="1" customHeight="1" x14ac:dyDescent="0.25">
      <c r="A721" s="26" t="str">
        <f>CONCATENATE(RIGHT(LEFT(RecebimentoConcreto[[#This Row],[Obra]],5),4),"RCBC",TEXT(RecebimentoConcreto[[#This Row],[Ordem]],"0000"))</f>
        <v>0184RCBC0318</v>
      </c>
      <c r="B721" s="1">
        <v>318</v>
      </c>
      <c r="C721" s="1" t="s">
        <v>21</v>
      </c>
      <c r="D721" s="35">
        <v>44825</v>
      </c>
      <c r="E721" s="1" t="s">
        <v>106</v>
      </c>
      <c r="F721" s="2">
        <v>10743</v>
      </c>
      <c r="G721" s="2">
        <v>5408</v>
      </c>
      <c r="H721" s="2">
        <v>16873</v>
      </c>
      <c r="I721" s="5">
        <v>0.46875</v>
      </c>
      <c r="J721" s="5">
        <v>0.49305555555555558</v>
      </c>
      <c r="K721" s="32">
        <f>_xlfn.MAXIFS(ConsumoConcreto[Fim do Bombeamento],ConsumoConcreto[RecebimentoID],RecebimentoConcreto[[#This Row],[RecebimentoID]])</f>
        <v>0.51736111111111105</v>
      </c>
      <c r="L721" s="1">
        <v>14</v>
      </c>
      <c r="M721" s="37">
        <v>36892</v>
      </c>
      <c r="N721" s="5" t="s">
        <v>1801</v>
      </c>
      <c r="O721" s="9">
        <v>7</v>
      </c>
      <c r="P721" s="5" t="s">
        <v>26</v>
      </c>
      <c r="Q721" s="2">
        <v>5</v>
      </c>
      <c r="R721" s="5" t="s">
        <v>27</v>
      </c>
      <c r="S721" s="5" t="s">
        <v>32</v>
      </c>
      <c r="T721" s="39">
        <v>460</v>
      </c>
    </row>
    <row r="722" spans="1:20" ht="20.100000000000001" hidden="1" customHeight="1" x14ac:dyDescent="0.25">
      <c r="A722" s="26" t="str">
        <f>CONCATENATE(RIGHT(LEFT(RecebimentoConcreto[[#This Row],[Obra]],5),4),"RCBC",TEXT(RecebimentoConcreto[[#This Row],[Ordem]],"0000"))</f>
        <v>0184RCBC0333</v>
      </c>
      <c r="B722" s="1">
        <v>333</v>
      </c>
      <c r="C722" s="1" t="s">
        <v>21</v>
      </c>
      <c r="D722" s="35">
        <v>44844</v>
      </c>
      <c r="E722" s="1" t="s">
        <v>37</v>
      </c>
      <c r="F722" s="2">
        <v>8033</v>
      </c>
      <c r="G722" s="2">
        <v>5408</v>
      </c>
      <c r="H722" s="2">
        <v>17270</v>
      </c>
      <c r="I722" s="5">
        <v>0.57638888888888895</v>
      </c>
      <c r="J722" s="5">
        <v>0.64027777777777783</v>
      </c>
      <c r="K722" s="32">
        <f>_xlfn.MAXIFS(ConsumoConcreto[Fim do Bombeamento],ConsumoConcreto[RecebimentoID],RecebimentoConcreto[[#This Row],[RecebimentoID]])</f>
        <v>0.66666666666666663</v>
      </c>
      <c r="L722" s="1">
        <v>13</v>
      </c>
      <c r="M722" s="37">
        <v>36892</v>
      </c>
      <c r="N722" s="5" t="s">
        <v>1801</v>
      </c>
      <c r="O722" s="9">
        <v>5.5</v>
      </c>
      <c r="P722" s="5" t="s">
        <v>26</v>
      </c>
      <c r="Q722" s="2">
        <v>6</v>
      </c>
      <c r="R722" s="5" t="s">
        <v>27</v>
      </c>
      <c r="S722" s="5" t="s">
        <v>32</v>
      </c>
      <c r="T722" s="39">
        <v>460</v>
      </c>
    </row>
    <row r="723" spans="1:20" ht="20.100000000000001" hidden="1" customHeight="1" x14ac:dyDescent="0.25">
      <c r="A723" s="26" t="str">
        <f>CONCATENATE(RIGHT(LEFT(RecebimentoConcreto[[#This Row],[Obra]],5),4),"RCBC",TEXT(RecebimentoConcreto[[#This Row],[Ordem]],"0000"))</f>
        <v>0184RCBC0334</v>
      </c>
      <c r="B723" s="1">
        <v>334</v>
      </c>
      <c r="C723" s="1" t="s">
        <v>21</v>
      </c>
      <c r="D723" s="35">
        <v>44845</v>
      </c>
      <c r="E723" s="1" t="s">
        <v>38</v>
      </c>
      <c r="F723" s="2">
        <v>8059</v>
      </c>
      <c r="G723" s="2">
        <v>5408</v>
      </c>
      <c r="H723" s="2">
        <v>17299</v>
      </c>
      <c r="I723" s="5">
        <v>0.59722222222222221</v>
      </c>
      <c r="J723" s="5">
        <v>0.61458333333333337</v>
      </c>
      <c r="K723" s="32">
        <f>_xlfn.MAXIFS(ConsumoConcreto[Fim do Bombeamento],ConsumoConcreto[RecebimentoID],RecebimentoConcreto[[#This Row],[RecebimentoID]])</f>
        <v>0.63888888888888895</v>
      </c>
      <c r="L723" s="1">
        <v>14</v>
      </c>
      <c r="M723" s="37">
        <v>36892</v>
      </c>
      <c r="N723" s="5" t="s">
        <v>1801</v>
      </c>
      <c r="O723" s="9">
        <v>5.5</v>
      </c>
      <c r="P723" s="5" t="s">
        <v>26</v>
      </c>
      <c r="Q723" s="2">
        <v>6</v>
      </c>
      <c r="R723" s="5" t="s">
        <v>27</v>
      </c>
      <c r="S723" s="5" t="s">
        <v>32</v>
      </c>
      <c r="T723" s="39">
        <v>460</v>
      </c>
    </row>
    <row r="724" spans="1:20" ht="20.100000000000001" hidden="1" customHeight="1" x14ac:dyDescent="0.25">
      <c r="A724" s="26" t="str">
        <f>CONCATENATE(RIGHT(LEFT(RecebimentoConcreto[[#This Row],[Obra]],5),4),"RCBC",TEXT(RecebimentoConcreto[[#This Row],[Ordem]],"0000"))</f>
        <v>0184RCBC0335</v>
      </c>
      <c r="B724" s="1">
        <v>335</v>
      </c>
      <c r="C724" s="1" t="s">
        <v>21</v>
      </c>
      <c r="D724" s="35">
        <v>44845</v>
      </c>
      <c r="E724" s="1" t="s">
        <v>37</v>
      </c>
      <c r="F724" s="2">
        <v>8047</v>
      </c>
      <c r="G724" s="2">
        <v>5408</v>
      </c>
      <c r="H724" s="2">
        <v>17285</v>
      </c>
      <c r="I724" s="5">
        <v>0.375</v>
      </c>
      <c r="J724" s="5">
        <v>0.3923611111111111</v>
      </c>
      <c r="K724" s="32">
        <f>_xlfn.MAXIFS(ConsumoConcreto[Fim do Bombeamento],ConsumoConcreto[RecebimentoID],RecebimentoConcreto[[#This Row],[RecebimentoID]])</f>
        <v>0.42708333333333331</v>
      </c>
      <c r="L724" s="1">
        <v>13</v>
      </c>
      <c r="M724" s="37">
        <v>36892</v>
      </c>
      <c r="N724" s="5" t="s">
        <v>1801</v>
      </c>
      <c r="O724" s="9">
        <v>5.5</v>
      </c>
      <c r="P724" s="5" t="s">
        <v>26</v>
      </c>
      <c r="Q724" s="2">
        <v>6</v>
      </c>
      <c r="R724" s="5" t="s">
        <v>27</v>
      </c>
      <c r="S724" s="5" t="s">
        <v>32</v>
      </c>
      <c r="T724" s="39">
        <v>460</v>
      </c>
    </row>
    <row r="725" spans="1:20" ht="20.100000000000001" hidden="1" customHeight="1" x14ac:dyDescent="0.25">
      <c r="A725" s="26" t="str">
        <f>CONCATENATE(RIGHT(LEFT(RecebimentoConcreto[[#This Row],[Obra]],5),4),"RCBC",TEXT(RecebimentoConcreto[[#This Row],[Ordem]],"0000"))</f>
        <v>0184RCBC0336</v>
      </c>
      <c r="B725" s="1">
        <v>336</v>
      </c>
      <c r="C725" s="1" t="s">
        <v>21</v>
      </c>
      <c r="D725" s="35">
        <v>44845</v>
      </c>
      <c r="E725" s="1" t="s">
        <v>37</v>
      </c>
      <c r="F725" s="2">
        <v>8061</v>
      </c>
      <c r="G725" s="2">
        <v>5408</v>
      </c>
      <c r="H725" s="2">
        <v>17301</v>
      </c>
      <c r="I725" s="5">
        <v>0.55208333333333337</v>
      </c>
      <c r="J725" s="5">
        <v>0.66666666666666663</v>
      </c>
      <c r="K725" s="32">
        <f>_xlfn.MAXIFS(ConsumoConcreto[Fim do Bombeamento],ConsumoConcreto[RecebimentoID],RecebimentoConcreto[[#This Row],[RecebimentoID]])</f>
        <v>0.6777777777777777</v>
      </c>
      <c r="L725" s="1">
        <v>13</v>
      </c>
      <c r="M725" s="37">
        <v>36892</v>
      </c>
      <c r="N725" s="5" t="s">
        <v>1801</v>
      </c>
      <c r="O725" s="9">
        <v>5.5</v>
      </c>
      <c r="P725" s="5" t="s">
        <v>26</v>
      </c>
      <c r="Q725" s="2">
        <v>6</v>
      </c>
      <c r="R725" s="5" t="s">
        <v>27</v>
      </c>
      <c r="S725" s="5" t="s">
        <v>32</v>
      </c>
      <c r="T725" s="39">
        <v>460</v>
      </c>
    </row>
    <row r="726" spans="1:20" ht="20.100000000000001" hidden="1" customHeight="1" x14ac:dyDescent="0.25">
      <c r="A726" s="26" t="str">
        <f>CONCATENATE(RIGHT(LEFT(RecebimentoConcreto[[#This Row],[Obra]],5),4),"RCBC",TEXT(RecebimentoConcreto[[#This Row],[Ordem]],"0000"))</f>
        <v>0184RCBC0337</v>
      </c>
      <c r="B726" s="1">
        <v>337</v>
      </c>
      <c r="C726" s="1" t="s">
        <v>21</v>
      </c>
      <c r="D726" s="35">
        <v>44845</v>
      </c>
      <c r="E726" s="1" t="s">
        <v>37</v>
      </c>
      <c r="F726" s="2">
        <v>8055</v>
      </c>
      <c r="G726" s="2">
        <v>5408</v>
      </c>
      <c r="H726" s="2">
        <v>17292</v>
      </c>
      <c r="I726" s="5">
        <v>0.46527777777777773</v>
      </c>
      <c r="J726" s="5">
        <v>0.4826388888888889</v>
      </c>
      <c r="K726" s="32">
        <f>_xlfn.MAXIFS(ConsumoConcreto[Fim do Bombeamento],ConsumoConcreto[RecebimentoID],RecebimentoConcreto[[#This Row],[RecebimentoID]])</f>
        <v>0.50347222222222221</v>
      </c>
      <c r="L726" s="1">
        <v>13</v>
      </c>
      <c r="M726" s="37">
        <v>36892</v>
      </c>
      <c r="N726" s="5" t="s">
        <v>1801</v>
      </c>
      <c r="O726" s="9">
        <v>5.5</v>
      </c>
      <c r="P726" s="5" t="s">
        <v>26</v>
      </c>
      <c r="Q726" s="2">
        <v>6</v>
      </c>
      <c r="R726" s="5" t="s">
        <v>27</v>
      </c>
      <c r="S726" s="5" t="s">
        <v>32</v>
      </c>
      <c r="T726" s="39">
        <v>460</v>
      </c>
    </row>
    <row r="727" spans="1:20" ht="20.100000000000001" hidden="1" customHeight="1" x14ac:dyDescent="0.25">
      <c r="A727" s="26" t="str">
        <f>CONCATENATE(RIGHT(LEFT(RecebimentoConcreto[[#This Row],[Obra]],5),4),"RCBC",TEXT(RecebimentoConcreto[[#This Row],[Ordem]],"0000"))</f>
        <v>0184RCBC0338</v>
      </c>
      <c r="B727" s="1">
        <v>338</v>
      </c>
      <c r="C727" s="1" t="s">
        <v>21</v>
      </c>
      <c r="D727" s="35">
        <v>44845</v>
      </c>
      <c r="E727" s="1" t="s">
        <v>38</v>
      </c>
      <c r="F727" s="2">
        <v>8063</v>
      </c>
      <c r="G727" s="2">
        <v>5408</v>
      </c>
      <c r="H727" s="2">
        <v>17303</v>
      </c>
      <c r="I727" s="5">
        <v>0.65972222222222221</v>
      </c>
      <c r="J727" s="5">
        <v>0.70277777777777783</v>
      </c>
      <c r="K727" s="32">
        <f>_xlfn.MAXIFS(ConsumoConcreto[Fim do Bombeamento],ConsumoConcreto[RecebimentoID],RecebimentoConcreto[[#This Row],[RecebimentoID]])</f>
        <v>0.70833333333333337</v>
      </c>
      <c r="L727" s="1">
        <v>14</v>
      </c>
      <c r="M727" s="37">
        <v>36892</v>
      </c>
      <c r="N727" s="5" t="s">
        <v>1801</v>
      </c>
      <c r="O727" s="9">
        <v>5.5</v>
      </c>
      <c r="P727" s="5" t="s">
        <v>26</v>
      </c>
      <c r="Q727" s="2">
        <v>6</v>
      </c>
      <c r="R727" s="5" t="s">
        <v>27</v>
      </c>
      <c r="S727" s="5" t="s">
        <v>32</v>
      </c>
      <c r="T727" s="39">
        <v>460</v>
      </c>
    </row>
    <row r="728" spans="1:20" ht="20.100000000000001" hidden="1" customHeight="1" x14ac:dyDescent="0.25">
      <c r="A728" s="26" t="str">
        <f>CONCATENATE(RIGHT(LEFT(RecebimentoConcreto[[#This Row],[Obra]],5),4),"RCBC",TEXT(RecebimentoConcreto[[#This Row],[Ordem]],"0000"))</f>
        <v>0184RCBC0339</v>
      </c>
      <c r="B728" s="1">
        <v>339</v>
      </c>
      <c r="C728" s="1" t="s">
        <v>21</v>
      </c>
      <c r="D728" s="35">
        <v>44845</v>
      </c>
      <c r="E728" s="1" t="s">
        <v>38</v>
      </c>
      <c r="F728" s="2">
        <v>8074</v>
      </c>
      <c r="G728" s="2">
        <v>5408</v>
      </c>
      <c r="H728" s="2">
        <v>17295</v>
      </c>
      <c r="I728" s="5">
        <v>0.5229166666666667</v>
      </c>
      <c r="J728" s="5">
        <v>0.54791666666666672</v>
      </c>
      <c r="K728" s="32">
        <f>_xlfn.MAXIFS(ConsumoConcreto[Fim do Bombeamento],ConsumoConcreto[RecebimentoID],RecebimentoConcreto[[#This Row],[RecebimentoID]])</f>
        <v>0.56180555555555556</v>
      </c>
      <c r="L728" s="1">
        <v>12</v>
      </c>
      <c r="M728" s="37">
        <v>36892</v>
      </c>
      <c r="N728" s="5" t="s">
        <v>1801</v>
      </c>
      <c r="O728" s="9">
        <v>5.5</v>
      </c>
      <c r="P728" s="5" t="s">
        <v>26</v>
      </c>
      <c r="Q728" s="2">
        <v>6</v>
      </c>
      <c r="R728" s="5" t="s">
        <v>27</v>
      </c>
      <c r="S728" s="5" t="s">
        <v>32</v>
      </c>
      <c r="T728" s="39">
        <v>460</v>
      </c>
    </row>
    <row r="729" spans="1:20" ht="20.100000000000001" hidden="1" customHeight="1" x14ac:dyDescent="0.25">
      <c r="A729" s="26" t="str">
        <f>CONCATENATE(RIGHT(LEFT(RecebimentoConcreto[[#This Row],[Obra]],5),4),"RCBC",TEXT(RecebimentoConcreto[[#This Row],[Ordem]],"0000"))</f>
        <v>0184RCBC0340</v>
      </c>
      <c r="B729" s="1">
        <v>340</v>
      </c>
      <c r="C729" s="1" t="s">
        <v>21</v>
      </c>
      <c r="D729" s="35">
        <v>44845</v>
      </c>
      <c r="E729" s="1" t="s">
        <v>106</v>
      </c>
      <c r="F729" s="2">
        <v>8064</v>
      </c>
      <c r="G729" s="2">
        <v>5408</v>
      </c>
      <c r="H729" s="2">
        <v>17304</v>
      </c>
      <c r="I729" s="5">
        <v>0.67708333333333337</v>
      </c>
      <c r="J729" s="5">
        <v>0.72916666666666663</v>
      </c>
      <c r="K729" s="32">
        <f>_xlfn.MAXIFS(ConsumoConcreto[Fim do Bombeamento],ConsumoConcreto[RecebimentoID],RecebimentoConcreto[[#This Row],[RecebimentoID]])</f>
        <v>0.73333333333333339</v>
      </c>
      <c r="L729" s="1">
        <v>12</v>
      </c>
      <c r="M729" s="37">
        <v>36892</v>
      </c>
      <c r="N729" s="5" t="s">
        <v>1801</v>
      </c>
      <c r="O729" s="9">
        <v>5.5</v>
      </c>
      <c r="P729" s="5" t="s">
        <v>26</v>
      </c>
      <c r="Q729" s="2">
        <v>6</v>
      </c>
      <c r="R729" s="5" t="s">
        <v>27</v>
      </c>
      <c r="S729" s="5" t="s">
        <v>32</v>
      </c>
      <c r="T729" s="39">
        <v>460</v>
      </c>
    </row>
    <row r="730" spans="1:20" ht="20.100000000000001" hidden="1" customHeight="1" x14ac:dyDescent="0.25">
      <c r="A730" s="26" t="str">
        <f>CONCATENATE(RIGHT(LEFT(RecebimentoConcreto[[#This Row],[Obra]],5),4),"RCBC",TEXT(RecebimentoConcreto[[#This Row],[Ordem]],"0000"))</f>
        <v>0184RCBC0341</v>
      </c>
      <c r="B730" s="1">
        <v>341</v>
      </c>
      <c r="C730" s="1" t="s">
        <v>21</v>
      </c>
      <c r="D730" s="35">
        <v>44845</v>
      </c>
      <c r="E730" s="1" t="s">
        <v>1708</v>
      </c>
      <c r="F730" s="2">
        <v>8053</v>
      </c>
      <c r="G730" s="2">
        <v>5408</v>
      </c>
      <c r="H730" s="2">
        <v>17294</v>
      </c>
      <c r="I730" s="5">
        <v>0.52083333333333337</v>
      </c>
      <c r="J730" s="5">
        <v>0.57291666666666663</v>
      </c>
      <c r="K730" s="32">
        <f>_xlfn.MAXIFS(ConsumoConcreto[Fim do Bombeamento],ConsumoConcreto[RecebimentoID],RecebimentoConcreto[[#This Row],[RecebimentoID]])</f>
        <v>0.59375</v>
      </c>
      <c r="L730" s="1">
        <v>13</v>
      </c>
      <c r="M730" s="37">
        <v>36892</v>
      </c>
      <c r="N730" s="5" t="s">
        <v>1801</v>
      </c>
      <c r="O730" s="9">
        <v>5.5</v>
      </c>
      <c r="P730" s="5" t="s">
        <v>26</v>
      </c>
      <c r="Q730" s="2">
        <v>6</v>
      </c>
      <c r="R730" s="5" t="s">
        <v>27</v>
      </c>
      <c r="S730" s="5" t="s">
        <v>32</v>
      </c>
      <c r="T730" s="39">
        <v>460</v>
      </c>
    </row>
    <row r="731" spans="1:20" ht="20.100000000000001" hidden="1" customHeight="1" x14ac:dyDescent="0.25">
      <c r="A731" s="26" t="str">
        <f>CONCATENATE(RIGHT(LEFT(RecebimentoConcreto[[#This Row],[Obra]],5),4),"RCBC",TEXT(RecebimentoConcreto[[#This Row],[Ordem]],"0000"))</f>
        <v>0184RCBC0342</v>
      </c>
      <c r="B731" s="1">
        <v>342</v>
      </c>
      <c r="C731" s="1" t="s">
        <v>21</v>
      </c>
      <c r="D731" s="35">
        <v>44851</v>
      </c>
      <c r="F731" s="2">
        <v>7463</v>
      </c>
      <c r="G731" s="2">
        <v>5408</v>
      </c>
      <c r="H731" s="2">
        <v>17407</v>
      </c>
      <c r="I731" s="5">
        <v>0.59722222222222221</v>
      </c>
      <c r="J731" s="5">
        <v>0.61805555555555558</v>
      </c>
      <c r="K731" s="32">
        <f>_xlfn.MAXIFS(ConsumoConcreto[Fim do Bombeamento],ConsumoConcreto[RecebimentoID],RecebimentoConcreto[[#This Row],[RecebimentoID]])</f>
        <v>0.63888888888888895</v>
      </c>
      <c r="L731" s="1">
        <v>14</v>
      </c>
      <c r="M731" s="37">
        <v>36892</v>
      </c>
      <c r="N731" s="5" t="s">
        <v>1801</v>
      </c>
      <c r="O731" s="9">
        <v>5.5</v>
      </c>
      <c r="P731" s="5" t="s">
        <v>26</v>
      </c>
      <c r="Q731" s="2">
        <v>6</v>
      </c>
      <c r="R731" s="5" t="s">
        <v>27</v>
      </c>
      <c r="S731" s="5" t="s">
        <v>32</v>
      </c>
      <c r="T731" s="39">
        <v>460</v>
      </c>
    </row>
    <row r="732" spans="1:20" ht="20.100000000000001" hidden="1" customHeight="1" x14ac:dyDescent="0.25">
      <c r="A732" s="26" t="str">
        <f>CONCATENATE(RIGHT(LEFT(RecebimentoConcreto[[#This Row],[Obra]],5),4),"RCBC",TEXT(RecebimentoConcreto[[#This Row],[Ordem]],"0000"))</f>
        <v>0184RCBC0343</v>
      </c>
      <c r="B732" s="1">
        <v>343</v>
      </c>
      <c r="C732" s="1" t="s">
        <v>21</v>
      </c>
      <c r="D732" s="35">
        <v>44851</v>
      </c>
      <c r="E732" s="1" t="s">
        <v>1859</v>
      </c>
      <c r="F732" s="2">
        <v>7467</v>
      </c>
      <c r="G732" s="2">
        <v>5408</v>
      </c>
      <c r="H732" s="2">
        <v>17411</v>
      </c>
      <c r="I732" s="5">
        <v>0.70138888888888884</v>
      </c>
      <c r="J732" s="5">
        <v>0.72222222222222221</v>
      </c>
      <c r="K732" s="32">
        <f>_xlfn.MAXIFS(ConsumoConcreto[Fim do Bombeamento],ConsumoConcreto[RecebimentoID],RecebimentoConcreto[[#This Row],[RecebimentoID]])</f>
        <v>0.75</v>
      </c>
      <c r="L732" s="1">
        <v>14</v>
      </c>
      <c r="M732" s="37">
        <v>36892</v>
      </c>
      <c r="N732" s="5" t="s">
        <v>1801</v>
      </c>
      <c r="O732" s="9">
        <v>7</v>
      </c>
      <c r="P732" s="5" t="s">
        <v>26</v>
      </c>
      <c r="Q732" s="2">
        <v>6</v>
      </c>
      <c r="R732" s="5" t="s">
        <v>27</v>
      </c>
      <c r="S732" s="5" t="s">
        <v>32</v>
      </c>
      <c r="T732" s="39">
        <v>460</v>
      </c>
    </row>
    <row r="733" spans="1:20" ht="20.100000000000001" hidden="1" customHeight="1" x14ac:dyDescent="0.25">
      <c r="A733" s="26" t="str">
        <f>CONCATENATE(RIGHT(LEFT(RecebimentoConcreto[[#This Row],[Obra]],5),4),"RCBC",TEXT(RecebimentoConcreto[[#This Row],[Ordem]],"0000"))</f>
        <v>0184RCBC0344</v>
      </c>
      <c r="B733" s="1">
        <v>344</v>
      </c>
      <c r="C733" s="1" t="s">
        <v>21</v>
      </c>
      <c r="D733" s="35">
        <v>44852</v>
      </c>
      <c r="E733" s="1" t="s">
        <v>1860</v>
      </c>
      <c r="F733" s="2">
        <v>7489</v>
      </c>
      <c r="G733" s="2">
        <v>5408</v>
      </c>
      <c r="H733" s="2">
        <v>17433</v>
      </c>
      <c r="I733" s="5">
        <v>0.58333333333333337</v>
      </c>
      <c r="J733" s="5">
        <v>0.61111111111111105</v>
      </c>
      <c r="K733" s="32">
        <f>_xlfn.MAXIFS(ConsumoConcreto[Fim do Bombeamento],ConsumoConcreto[RecebimentoID],RecebimentoConcreto[[#This Row],[RecebimentoID]])</f>
        <v>0.63888888888888895</v>
      </c>
      <c r="L733" s="1">
        <v>12.5</v>
      </c>
      <c r="M733" s="37">
        <v>36892</v>
      </c>
      <c r="N733" s="5" t="s">
        <v>1801</v>
      </c>
      <c r="O733" s="9">
        <v>5.5</v>
      </c>
      <c r="P733" s="5" t="s">
        <v>26</v>
      </c>
      <c r="Q733" s="2">
        <v>6</v>
      </c>
      <c r="R733" s="5" t="s">
        <v>27</v>
      </c>
      <c r="S733" s="5" t="s">
        <v>32</v>
      </c>
      <c r="T733" s="39">
        <v>460</v>
      </c>
    </row>
    <row r="734" spans="1:20" ht="20.100000000000001" hidden="1" customHeight="1" x14ac:dyDescent="0.25">
      <c r="A734" s="26" t="str">
        <f>CONCATENATE(RIGHT(LEFT(RecebimentoConcreto[[#This Row],[Obra]],5),4),"RCBC",TEXT(RecebimentoConcreto[[#This Row],[Ordem]],"0000"))</f>
        <v>0184RCBC0345</v>
      </c>
      <c r="B734" s="1">
        <v>345</v>
      </c>
      <c r="C734" s="1" t="s">
        <v>21</v>
      </c>
      <c r="D734" s="35">
        <v>44852</v>
      </c>
      <c r="E734" s="1" t="s">
        <v>1860</v>
      </c>
      <c r="F734" s="2">
        <v>7484</v>
      </c>
      <c r="G734" s="2">
        <v>5408</v>
      </c>
      <c r="H734" s="2">
        <v>17428</v>
      </c>
      <c r="I734" s="5">
        <v>0.48958333333333331</v>
      </c>
      <c r="J734" s="5">
        <v>0.50347222222222221</v>
      </c>
      <c r="K734" s="32">
        <f>_xlfn.MAXIFS(ConsumoConcreto[Fim do Bombeamento],ConsumoConcreto[RecebimentoID],RecebimentoConcreto[[#This Row],[RecebimentoID]])</f>
        <v>0.53125</v>
      </c>
      <c r="L734" s="1">
        <v>14</v>
      </c>
      <c r="M734" s="37">
        <v>36892</v>
      </c>
      <c r="N734" s="5" t="s">
        <v>1801</v>
      </c>
      <c r="O734" s="9">
        <v>7</v>
      </c>
      <c r="P734" s="5" t="s">
        <v>26</v>
      </c>
      <c r="Q734" s="2">
        <v>6</v>
      </c>
      <c r="R734" s="5" t="s">
        <v>27</v>
      </c>
      <c r="S734" s="5" t="s">
        <v>32</v>
      </c>
      <c r="T734" s="39">
        <v>460</v>
      </c>
    </row>
    <row r="735" spans="1:20" ht="20.100000000000001" hidden="1" customHeight="1" x14ac:dyDescent="0.25">
      <c r="A735" s="26" t="str">
        <f>CONCATENATE(RIGHT(LEFT(RecebimentoConcreto[[#This Row],[Obra]],5),4),"RCBC",TEXT(RecebimentoConcreto[[#This Row],[Ordem]],"0000"))</f>
        <v>0184RCBC0346</v>
      </c>
      <c r="B735" s="1">
        <v>346</v>
      </c>
      <c r="C735" s="1" t="s">
        <v>21</v>
      </c>
      <c r="D735" s="35">
        <v>44870</v>
      </c>
      <c r="E735" s="1" t="s">
        <v>38</v>
      </c>
      <c r="F735" s="2">
        <v>7660</v>
      </c>
      <c r="G735" s="2">
        <v>5408</v>
      </c>
      <c r="H735" s="2">
        <v>17835</v>
      </c>
      <c r="I735" s="5">
        <v>0.38541666666666669</v>
      </c>
      <c r="J735" s="5">
        <v>0.41666666666666669</v>
      </c>
      <c r="K735" s="32">
        <f>_xlfn.MAXIFS(ConsumoConcreto[Fim do Bombeamento],ConsumoConcreto[RecebimentoID],RecebimentoConcreto[[#This Row],[RecebimentoID]])</f>
        <v>0.4513888888888889</v>
      </c>
      <c r="L735" s="1">
        <v>13</v>
      </c>
      <c r="M735" s="37">
        <v>36892</v>
      </c>
      <c r="N735" s="5" t="s">
        <v>1801</v>
      </c>
      <c r="O735" s="9">
        <v>7</v>
      </c>
      <c r="P735" s="5" t="s">
        <v>26</v>
      </c>
      <c r="Q735" s="2">
        <v>7</v>
      </c>
      <c r="R735" s="5" t="s">
        <v>27</v>
      </c>
      <c r="S735" s="5" t="s">
        <v>32</v>
      </c>
      <c r="T735" s="39">
        <v>470</v>
      </c>
    </row>
    <row r="736" spans="1:20" ht="20.100000000000001" hidden="1" customHeight="1" x14ac:dyDescent="0.25">
      <c r="A736" s="26" t="str">
        <f>CONCATENATE(RIGHT(LEFT(RecebimentoConcreto[[#This Row],[Obra]],5),4),"RCBC",TEXT(RecebimentoConcreto[[#This Row],[Ordem]],"0000"))</f>
        <v>0184RCBC0347</v>
      </c>
      <c r="B736" s="1">
        <v>347</v>
      </c>
      <c r="C736" s="1" t="s">
        <v>21</v>
      </c>
      <c r="D736" s="35">
        <v>44870</v>
      </c>
      <c r="E736" s="1" t="s">
        <v>1861</v>
      </c>
      <c r="F736" s="2">
        <v>7663</v>
      </c>
      <c r="G736" s="2">
        <v>5408</v>
      </c>
      <c r="H736" s="2">
        <v>17838</v>
      </c>
      <c r="I736" s="5">
        <v>0.41319444444444442</v>
      </c>
      <c r="J736" s="5">
        <v>0.43055555555555558</v>
      </c>
      <c r="K736" s="32">
        <f>_xlfn.MAXIFS(ConsumoConcreto[Fim do Bombeamento],ConsumoConcreto[RecebimentoID],RecebimentoConcreto[[#This Row],[RecebimentoID]])</f>
        <v>0.5</v>
      </c>
      <c r="L736" s="1">
        <v>14</v>
      </c>
      <c r="M736" s="37">
        <v>36892</v>
      </c>
      <c r="N736" s="5" t="s">
        <v>1801</v>
      </c>
      <c r="O736" s="9">
        <v>7</v>
      </c>
      <c r="P736" s="5" t="s">
        <v>26</v>
      </c>
      <c r="Q736" s="2">
        <v>7</v>
      </c>
      <c r="R736" s="5" t="s">
        <v>27</v>
      </c>
      <c r="S736" s="5" t="s">
        <v>32</v>
      </c>
      <c r="T736" s="39">
        <v>470</v>
      </c>
    </row>
    <row r="737" spans="1:20" ht="20.100000000000001" hidden="1" customHeight="1" x14ac:dyDescent="0.25">
      <c r="A737" s="26" t="str">
        <f>CONCATENATE(RIGHT(LEFT(RecebimentoConcreto[[#This Row],[Obra]],5),4),"RCBC",TEXT(RecebimentoConcreto[[#This Row],[Ordem]],"0000"))</f>
        <v>0184RCBC0363</v>
      </c>
      <c r="B737" s="1">
        <v>363</v>
      </c>
      <c r="C737" s="1" t="s">
        <v>21</v>
      </c>
      <c r="D737" s="35">
        <v>44796</v>
      </c>
      <c r="E737" s="1" t="s">
        <v>106</v>
      </c>
      <c r="F737" s="2">
        <v>7564</v>
      </c>
      <c r="G737" s="2">
        <v>5408</v>
      </c>
      <c r="H737" s="2">
        <v>16291</v>
      </c>
      <c r="J737" s="5">
        <v>0.61805555555555558</v>
      </c>
      <c r="K737" s="32">
        <f>_xlfn.MAXIFS(ConsumoConcreto[Fim do Bombeamento],ConsumoConcreto[RecebimentoID],RecebimentoConcreto[[#This Row],[RecebimentoID]])</f>
        <v>0.64583333333333337</v>
      </c>
      <c r="M737" s="37">
        <v>36892</v>
      </c>
      <c r="N737" s="5" t="s">
        <v>1801</v>
      </c>
      <c r="O737" s="9">
        <v>7</v>
      </c>
      <c r="P737" s="5" t="s">
        <v>26</v>
      </c>
      <c r="Q737" s="2">
        <v>4</v>
      </c>
      <c r="R737" s="5" t="s">
        <v>27</v>
      </c>
      <c r="S737" s="5" t="s">
        <v>32</v>
      </c>
      <c r="T737" s="39">
        <v>460</v>
      </c>
    </row>
    <row r="738" spans="1:20" ht="20.100000000000001" hidden="1" customHeight="1" x14ac:dyDescent="0.25">
      <c r="A738" s="26" t="str">
        <f>CONCATENATE(RIGHT(LEFT(RecebimentoConcreto[[#This Row],[Obra]],5),4),"RCBC",TEXT(RecebimentoConcreto[[#This Row],[Ordem]],"0000"))</f>
        <v>0184RCBC0364</v>
      </c>
      <c r="B738" s="1">
        <v>364</v>
      </c>
      <c r="C738" s="1" t="s">
        <v>21</v>
      </c>
      <c r="D738" s="35">
        <v>44796</v>
      </c>
      <c r="E738" s="1" t="s">
        <v>106</v>
      </c>
      <c r="F738" s="2">
        <v>7570</v>
      </c>
      <c r="G738" s="2">
        <v>5408</v>
      </c>
      <c r="H738" s="2">
        <v>16297</v>
      </c>
      <c r="J738" s="5">
        <v>0.70138888888888884</v>
      </c>
      <c r="K738" s="32">
        <f>_xlfn.MAXIFS(ConsumoConcreto[Fim do Bombeamento],ConsumoConcreto[RecebimentoID],RecebimentoConcreto[[#This Row],[RecebimentoID]])</f>
        <v>0.72916666666666663</v>
      </c>
      <c r="M738" s="37">
        <v>36892</v>
      </c>
      <c r="N738" s="5" t="s">
        <v>1801</v>
      </c>
      <c r="O738" s="9">
        <v>7</v>
      </c>
      <c r="P738" s="5" t="s">
        <v>26</v>
      </c>
      <c r="Q738" s="2">
        <v>4</v>
      </c>
      <c r="R738" s="5" t="s">
        <v>27</v>
      </c>
      <c r="S738" s="5" t="s">
        <v>32</v>
      </c>
      <c r="T738" s="39">
        <v>460</v>
      </c>
    </row>
    <row r="739" spans="1:20" ht="20.100000000000001" hidden="1" customHeight="1" x14ac:dyDescent="0.25">
      <c r="A739" s="26" t="str">
        <f>CONCATENATE(RIGHT(LEFT(RecebimentoConcreto[[#This Row],[Obra]],5),4),"RCBC",TEXT(RecebimentoConcreto[[#This Row],[Ordem]],"0000"))</f>
        <v>0184RCBC0365</v>
      </c>
      <c r="B739" s="1">
        <v>365</v>
      </c>
      <c r="C739" s="1" t="s">
        <v>21</v>
      </c>
      <c r="D739" s="35">
        <v>44799</v>
      </c>
      <c r="E739" s="1" t="s">
        <v>1848</v>
      </c>
      <c r="F739" s="2">
        <v>17215</v>
      </c>
      <c r="G739" s="2">
        <v>5408</v>
      </c>
      <c r="H739" s="2">
        <v>16343</v>
      </c>
      <c r="J739" s="5">
        <v>0.41666666666666669</v>
      </c>
      <c r="K739" s="32">
        <f>_xlfn.MAXIFS(ConsumoConcreto[Fim do Bombeamento],ConsumoConcreto[RecebimentoID],RecebimentoConcreto[[#This Row],[RecebimentoID]])</f>
        <v>0.43194444444444446</v>
      </c>
      <c r="M739" s="37">
        <v>36892</v>
      </c>
      <c r="N739" s="5" t="s">
        <v>1801</v>
      </c>
      <c r="O739" s="9">
        <v>7</v>
      </c>
      <c r="P739" s="5" t="s">
        <v>26</v>
      </c>
      <c r="Q739" s="2">
        <v>4</v>
      </c>
      <c r="R739" s="5" t="s">
        <v>27</v>
      </c>
      <c r="S739" s="5" t="s">
        <v>32</v>
      </c>
      <c r="T739" s="39">
        <v>460</v>
      </c>
    </row>
    <row r="740" spans="1:20" ht="20.100000000000001" hidden="1" customHeight="1" x14ac:dyDescent="0.25">
      <c r="A740" s="26" t="str">
        <f>CONCATENATE(RIGHT(LEFT(RecebimentoConcreto[[#This Row],[Obra]],5),4),"RCBC",TEXT(RecebimentoConcreto[[#This Row],[Ordem]],"0000"))</f>
        <v>0184RCBC0366</v>
      </c>
      <c r="B740" s="1">
        <v>366</v>
      </c>
      <c r="C740" s="1" t="s">
        <v>21</v>
      </c>
      <c r="D740" s="35">
        <v>44799</v>
      </c>
      <c r="E740" s="1" t="s">
        <v>1848</v>
      </c>
      <c r="F740" s="2">
        <v>17226</v>
      </c>
      <c r="G740" s="2">
        <v>5408</v>
      </c>
      <c r="H740" s="2">
        <v>16354</v>
      </c>
      <c r="J740" s="5">
        <v>0.59375</v>
      </c>
      <c r="K740" s="32">
        <f>_xlfn.MAXIFS(ConsumoConcreto[Fim do Bombeamento],ConsumoConcreto[RecebimentoID],RecebimentoConcreto[[#This Row],[RecebimentoID]])</f>
        <v>0.63888888888888895</v>
      </c>
      <c r="M740" s="37">
        <v>36892</v>
      </c>
      <c r="N740" s="5" t="s">
        <v>1801</v>
      </c>
      <c r="O740" s="9">
        <v>8</v>
      </c>
      <c r="P740" s="5" t="s">
        <v>26</v>
      </c>
      <c r="Q740" s="2">
        <v>4</v>
      </c>
      <c r="R740" s="5" t="s">
        <v>27</v>
      </c>
      <c r="S740" s="5" t="s">
        <v>32</v>
      </c>
      <c r="T740" s="39">
        <v>460</v>
      </c>
    </row>
    <row r="741" spans="1:20" ht="20.100000000000001" hidden="1" customHeight="1" x14ac:dyDescent="0.25">
      <c r="A741" s="26" t="str">
        <f>CONCATENATE(RIGHT(LEFT(RecebimentoConcreto[[#This Row],[Obra]],5),4),"RCBC",TEXT(RecebimentoConcreto[[#This Row],[Ordem]],"0000"))</f>
        <v>0184RCBC0367</v>
      </c>
      <c r="B741" s="1">
        <v>367</v>
      </c>
      <c r="C741" s="1" t="s">
        <v>21</v>
      </c>
      <c r="D741" s="35">
        <v>44802</v>
      </c>
      <c r="E741" s="1" t="s">
        <v>1848</v>
      </c>
      <c r="F741" s="2">
        <v>17259</v>
      </c>
      <c r="G741" s="2">
        <v>5408</v>
      </c>
      <c r="H741" s="2">
        <v>16387</v>
      </c>
      <c r="J741" s="5">
        <v>0.46875</v>
      </c>
      <c r="K741" s="32">
        <f>_xlfn.MAXIFS(ConsumoConcreto[Fim do Bombeamento],ConsumoConcreto[RecebimentoID],RecebimentoConcreto[[#This Row],[RecebimentoID]])</f>
        <v>0.49722222222222223</v>
      </c>
      <c r="M741" s="37">
        <v>36892</v>
      </c>
      <c r="N741" s="5" t="s">
        <v>1801</v>
      </c>
      <c r="O741" s="9">
        <v>7</v>
      </c>
      <c r="P741" s="5" t="s">
        <v>26</v>
      </c>
      <c r="Q741" s="2">
        <v>4</v>
      </c>
      <c r="R741" s="5" t="s">
        <v>27</v>
      </c>
      <c r="S741" s="5" t="s">
        <v>32</v>
      </c>
      <c r="T741" s="39">
        <v>460</v>
      </c>
    </row>
    <row r="742" spans="1:20" ht="20.100000000000001" hidden="1" customHeight="1" x14ac:dyDescent="0.25">
      <c r="A742" s="26" t="str">
        <f>CONCATENATE(RIGHT(LEFT(RecebimentoConcreto[[#This Row],[Obra]],5),4),"RCBC",TEXT(RecebimentoConcreto[[#This Row],[Ordem]],"0000"))</f>
        <v>0184RCBC0368</v>
      </c>
      <c r="B742" s="1">
        <v>368</v>
      </c>
      <c r="C742" s="1" t="s">
        <v>21</v>
      </c>
      <c r="D742" s="35">
        <v>44802</v>
      </c>
      <c r="E742" s="1" t="s">
        <v>1848</v>
      </c>
      <c r="F742" s="2">
        <v>17271</v>
      </c>
      <c r="G742" s="2">
        <v>5408</v>
      </c>
      <c r="H742" s="2">
        <v>16399</v>
      </c>
      <c r="J742" s="5">
        <v>0.63888888888888895</v>
      </c>
      <c r="K742" s="32">
        <f>_xlfn.MAXIFS(ConsumoConcreto[Fim do Bombeamento],ConsumoConcreto[RecebimentoID],RecebimentoConcreto[[#This Row],[RecebimentoID]])</f>
        <v>0.66666666666666663</v>
      </c>
      <c r="M742" s="37">
        <v>36892</v>
      </c>
      <c r="N742" s="5" t="s">
        <v>1801</v>
      </c>
      <c r="O742" s="9">
        <v>7</v>
      </c>
      <c r="P742" s="5" t="s">
        <v>26</v>
      </c>
      <c r="Q742" s="2">
        <v>4</v>
      </c>
      <c r="R742" s="5" t="s">
        <v>27</v>
      </c>
      <c r="S742" s="5" t="s">
        <v>32</v>
      </c>
      <c r="T742" s="39">
        <v>460</v>
      </c>
    </row>
    <row r="743" spans="1:20" ht="20.100000000000001" hidden="1" customHeight="1" x14ac:dyDescent="0.25">
      <c r="A743" s="26" t="str">
        <f>CONCATENATE(RIGHT(LEFT(RecebimentoConcreto[[#This Row],[Obra]],5),4),"RCBC",TEXT(RecebimentoConcreto[[#This Row],[Ordem]],"0000"))</f>
        <v>0184RCBC0369</v>
      </c>
      <c r="B743" s="1">
        <v>369</v>
      </c>
      <c r="C743" s="1" t="s">
        <v>21</v>
      </c>
      <c r="D743" s="35">
        <v>44803</v>
      </c>
      <c r="E743" s="1" t="s">
        <v>106</v>
      </c>
      <c r="F743" s="2">
        <v>17298</v>
      </c>
      <c r="G743" s="2">
        <v>5408</v>
      </c>
      <c r="H743" s="2">
        <v>16427</v>
      </c>
      <c r="J743" s="5">
        <v>0.61458333333333337</v>
      </c>
      <c r="K743" s="32">
        <f>_xlfn.MAXIFS(ConsumoConcreto[Fim do Bombeamento],ConsumoConcreto[RecebimentoID],RecebimentoConcreto[[#This Row],[RecebimentoID]])</f>
        <v>0.64583333333333337</v>
      </c>
      <c r="M743" s="37">
        <v>36892</v>
      </c>
      <c r="N743" s="5" t="s">
        <v>1801</v>
      </c>
      <c r="O743" s="9">
        <v>7</v>
      </c>
      <c r="P743" s="5" t="s">
        <v>26</v>
      </c>
      <c r="Q743" s="2">
        <v>4</v>
      </c>
      <c r="R743" s="5" t="s">
        <v>27</v>
      </c>
      <c r="S743" s="5" t="s">
        <v>32</v>
      </c>
      <c r="T743" s="39">
        <v>460</v>
      </c>
    </row>
    <row r="744" spans="1:20" ht="20.100000000000001" hidden="1" customHeight="1" x14ac:dyDescent="0.25">
      <c r="A744" s="26" t="str">
        <f>CONCATENATE(RIGHT(LEFT(RecebimentoConcreto[[#This Row],[Obra]],5),4),"RCBC",TEXT(RecebimentoConcreto[[#This Row],[Ordem]],"0000"))</f>
        <v>0184RCBC0370</v>
      </c>
      <c r="B744" s="1">
        <v>370</v>
      </c>
      <c r="C744" s="1" t="s">
        <v>21</v>
      </c>
      <c r="D744" s="35">
        <v>44803</v>
      </c>
      <c r="E744" s="1" t="s">
        <v>106</v>
      </c>
      <c r="F744" s="2">
        <v>17292</v>
      </c>
      <c r="G744" s="2">
        <v>5408</v>
      </c>
      <c r="H744" s="2">
        <v>16421</v>
      </c>
      <c r="J744" s="5">
        <v>0.46180555555555558</v>
      </c>
      <c r="K744" s="32">
        <f>_xlfn.MAXIFS(ConsumoConcreto[Fim do Bombeamento],ConsumoConcreto[RecebimentoID],RecebimentoConcreto[[#This Row],[RecebimentoID]])</f>
        <v>0.50694444444444442</v>
      </c>
      <c r="M744" s="37">
        <v>36892</v>
      </c>
      <c r="N744" s="5" t="s">
        <v>1801</v>
      </c>
      <c r="O744" s="9">
        <v>7</v>
      </c>
      <c r="P744" s="5" t="s">
        <v>26</v>
      </c>
      <c r="Q744" s="2">
        <v>4</v>
      </c>
      <c r="R744" s="5" t="s">
        <v>27</v>
      </c>
      <c r="S744" s="5" t="s">
        <v>32</v>
      </c>
      <c r="T744" s="39">
        <v>460</v>
      </c>
    </row>
    <row r="745" spans="1:20" ht="20.100000000000001" hidden="1" customHeight="1" x14ac:dyDescent="0.25">
      <c r="A745" s="26" t="str">
        <f>CONCATENATE(RIGHT(LEFT(RecebimentoConcreto[[#This Row],[Obra]],5),4),"RCBC",TEXT(RecebimentoConcreto[[#This Row],[Ordem]],"0000"))</f>
        <v>0184RCBC0371</v>
      </c>
      <c r="B745" s="1">
        <v>371</v>
      </c>
      <c r="C745" s="1" t="s">
        <v>21</v>
      </c>
      <c r="D745" s="35">
        <v>44804</v>
      </c>
      <c r="E745" s="1" t="s">
        <v>37</v>
      </c>
      <c r="F745" s="2">
        <v>14521</v>
      </c>
      <c r="G745" s="2">
        <v>5408</v>
      </c>
      <c r="H745" s="2">
        <v>16450</v>
      </c>
      <c r="J745" s="5">
        <v>0.65277777777777779</v>
      </c>
      <c r="K745" s="32">
        <f>_xlfn.MAXIFS(ConsumoConcreto[Fim do Bombeamento],ConsumoConcreto[RecebimentoID],RecebimentoConcreto[[#This Row],[RecebimentoID]])</f>
        <v>0.68055555555555547</v>
      </c>
      <c r="M745" s="37">
        <v>36892</v>
      </c>
      <c r="N745" s="5" t="s">
        <v>1801</v>
      </c>
      <c r="O745" s="9">
        <v>5.5</v>
      </c>
      <c r="P745" s="5" t="s">
        <v>26</v>
      </c>
      <c r="Q745" s="2">
        <v>4</v>
      </c>
      <c r="R745" s="5" t="s">
        <v>27</v>
      </c>
      <c r="S745" s="5" t="s">
        <v>32</v>
      </c>
      <c r="T745" s="39">
        <v>460</v>
      </c>
    </row>
    <row r="746" spans="1:20" ht="20.100000000000001" hidden="1" customHeight="1" x14ac:dyDescent="0.25">
      <c r="A746" s="26" t="str">
        <f>CONCATENATE(RIGHT(LEFT(RecebimentoConcreto[[#This Row],[Obra]],5),4),"RCBC",TEXT(RecebimentoConcreto[[#This Row],[Ordem]],"0000"))</f>
        <v>0184RCBC0372</v>
      </c>
      <c r="B746" s="1">
        <v>372</v>
      </c>
      <c r="C746" s="1" t="s">
        <v>21</v>
      </c>
      <c r="D746" s="35">
        <v>44804</v>
      </c>
      <c r="E746" s="1" t="s">
        <v>36</v>
      </c>
      <c r="F746" s="2">
        <v>14519</v>
      </c>
      <c r="G746" s="2">
        <v>5408</v>
      </c>
      <c r="H746" s="2">
        <v>16448</v>
      </c>
      <c r="J746" s="5">
        <v>0.58333333333333337</v>
      </c>
      <c r="K746" s="32">
        <f>_xlfn.MAXIFS(ConsumoConcreto[Fim do Bombeamento],ConsumoConcreto[RecebimentoID],RecebimentoConcreto[[#This Row],[RecebimentoID]])</f>
        <v>0.59027777777777779</v>
      </c>
      <c r="M746" s="37">
        <v>36892</v>
      </c>
      <c r="N746" s="5" t="s">
        <v>1801</v>
      </c>
      <c r="O746" s="9">
        <v>5.5</v>
      </c>
      <c r="P746" s="5" t="s">
        <v>26</v>
      </c>
      <c r="Q746" s="2">
        <v>4</v>
      </c>
      <c r="R746" s="5" t="s">
        <v>27</v>
      </c>
      <c r="S746" s="5" t="s">
        <v>32</v>
      </c>
      <c r="T746" s="39">
        <v>460</v>
      </c>
    </row>
    <row r="747" spans="1:20" ht="20.100000000000001" hidden="1" customHeight="1" x14ac:dyDescent="0.25">
      <c r="A747" s="26" t="str">
        <f>CONCATENATE(RIGHT(LEFT(RecebimentoConcreto[[#This Row],[Obra]],5),4),"RCBC",TEXT(RecebimentoConcreto[[#This Row],[Ordem]],"0000"))</f>
        <v>0184RCBC0373</v>
      </c>
      <c r="B747" s="1">
        <v>373</v>
      </c>
      <c r="C747" s="1" t="s">
        <v>21</v>
      </c>
      <c r="D747" s="35">
        <v>44804</v>
      </c>
      <c r="E747" s="1" t="s">
        <v>38</v>
      </c>
      <c r="F747" s="2">
        <v>14514</v>
      </c>
      <c r="G747" s="2">
        <v>5408</v>
      </c>
      <c r="H747" s="2">
        <v>16443</v>
      </c>
      <c r="J747" s="5">
        <v>0.44097222222222227</v>
      </c>
      <c r="K747" s="32">
        <f>_xlfn.MAXIFS(ConsumoConcreto[Fim do Bombeamento],ConsumoConcreto[RecebimentoID],RecebimentoConcreto[[#This Row],[RecebimentoID]])</f>
        <v>0.46527777777777773</v>
      </c>
      <c r="M747" s="37">
        <v>36892</v>
      </c>
      <c r="N747" s="5" t="s">
        <v>1801</v>
      </c>
      <c r="O747" s="9">
        <v>5.5</v>
      </c>
      <c r="P747" s="5" t="s">
        <v>26</v>
      </c>
      <c r="Q747" s="2">
        <v>4</v>
      </c>
      <c r="R747" s="5" t="s">
        <v>27</v>
      </c>
      <c r="S747" s="5" t="s">
        <v>32</v>
      </c>
      <c r="T747" s="39">
        <v>460</v>
      </c>
    </row>
    <row r="748" spans="1:20" ht="20.100000000000001" hidden="1" customHeight="1" x14ac:dyDescent="0.25">
      <c r="A748" s="26" t="str">
        <f>CONCATENATE(RIGHT(LEFT(RecebimentoConcreto[[#This Row],[Obra]],5),4),"RCBC",TEXT(RecebimentoConcreto[[#This Row],[Ordem]],"0000"))</f>
        <v>0184RCBC0374</v>
      </c>
      <c r="B748" s="1">
        <v>374</v>
      </c>
      <c r="C748" s="1" t="s">
        <v>21</v>
      </c>
      <c r="D748" s="35">
        <v>44804</v>
      </c>
      <c r="E748" s="1" t="s">
        <v>1848</v>
      </c>
      <c r="F748" s="2">
        <v>14510</v>
      </c>
      <c r="G748" s="2">
        <v>5408</v>
      </c>
      <c r="H748" s="2">
        <v>16439</v>
      </c>
      <c r="J748" s="5">
        <v>0.40277777777777773</v>
      </c>
      <c r="K748" s="32">
        <f>_xlfn.MAXIFS(ConsumoConcreto[Fim do Bombeamento],ConsumoConcreto[RecebimentoID],RecebimentoConcreto[[#This Row],[RecebimentoID]])</f>
        <v>0.43402777777777773</v>
      </c>
      <c r="M748" s="37">
        <v>36892</v>
      </c>
      <c r="N748" s="5" t="s">
        <v>1801</v>
      </c>
      <c r="O748" s="9">
        <v>5.5</v>
      </c>
      <c r="P748" s="5" t="s">
        <v>26</v>
      </c>
      <c r="Q748" s="2">
        <v>4</v>
      </c>
      <c r="R748" s="5" t="s">
        <v>27</v>
      </c>
      <c r="S748" s="5" t="s">
        <v>32</v>
      </c>
      <c r="T748" s="39">
        <v>460</v>
      </c>
    </row>
    <row r="749" spans="1:20" ht="20.100000000000001" hidden="1" customHeight="1" x14ac:dyDescent="0.25">
      <c r="A749" s="26" t="str">
        <f>CONCATENATE(RIGHT(LEFT(RecebimentoConcreto[[#This Row],[Obra]],5),4),"RCBC",TEXT(RecebimentoConcreto[[#This Row],[Ordem]],"0000"))</f>
        <v>0184RCBC0375</v>
      </c>
      <c r="B749" s="1">
        <v>375</v>
      </c>
      <c r="C749" s="1" t="s">
        <v>21</v>
      </c>
      <c r="D749" s="35">
        <v>44805</v>
      </c>
      <c r="E749" s="1" t="s">
        <v>208</v>
      </c>
      <c r="F749" s="2">
        <v>14538</v>
      </c>
      <c r="G749" s="2">
        <v>5408</v>
      </c>
      <c r="H749" s="2">
        <v>16467</v>
      </c>
      <c r="J749" s="5">
        <v>0.63888888888888895</v>
      </c>
      <c r="K749" s="32">
        <f>_xlfn.MAXIFS(ConsumoConcreto[Fim do Bombeamento],ConsumoConcreto[RecebimentoID],RecebimentoConcreto[[#This Row],[RecebimentoID]])</f>
        <v>0.66666666666666663</v>
      </c>
      <c r="M749" s="37">
        <v>36892</v>
      </c>
      <c r="N749" s="5" t="s">
        <v>1801</v>
      </c>
      <c r="O749" s="9">
        <v>5.5</v>
      </c>
      <c r="P749" s="5" t="s">
        <v>26</v>
      </c>
      <c r="Q749" s="2">
        <v>5</v>
      </c>
      <c r="R749" s="5" t="s">
        <v>27</v>
      </c>
      <c r="S749" s="5" t="s">
        <v>32</v>
      </c>
      <c r="T749" s="39">
        <v>460</v>
      </c>
    </row>
    <row r="750" spans="1:20" ht="20.100000000000001" hidden="1" customHeight="1" x14ac:dyDescent="0.25">
      <c r="A750" s="26" t="str">
        <f>CONCATENATE(RIGHT(LEFT(RecebimentoConcreto[[#This Row],[Obra]],5),4),"RCBC",TEXT(RecebimentoConcreto[[#This Row],[Ordem]],"0000"))</f>
        <v>0184RCBC0376</v>
      </c>
      <c r="B750" s="1">
        <v>376</v>
      </c>
      <c r="C750" s="1" t="s">
        <v>21</v>
      </c>
      <c r="D750" s="35">
        <v>44805</v>
      </c>
      <c r="E750" s="1" t="s">
        <v>1708</v>
      </c>
      <c r="F750" s="2">
        <v>14537</v>
      </c>
      <c r="G750" s="2">
        <v>5408</v>
      </c>
      <c r="H750" s="2">
        <v>16466</v>
      </c>
      <c r="J750" s="5">
        <v>0.59722222222222221</v>
      </c>
      <c r="K750" s="32">
        <f>_xlfn.MAXIFS(ConsumoConcreto[Fim do Bombeamento],ConsumoConcreto[RecebimentoID],RecebimentoConcreto[[#This Row],[RecebimentoID]])</f>
        <v>0.61805555555555558</v>
      </c>
      <c r="M750" s="37">
        <v>36892</v>
      </c>
      <c r="N750" s="5" t="s">
        <v>1801</v>
      </c>
      <c r="O750" s="9">
        <v>5.5</v>
      </c>
      <c r="P750" s="5" t="s">
        <v>26</v>
      </c>
      <c r="Q750" s="2">
        <v>5</v>
      </c>
      <c r="R750" s="5" t="s">
        <v>27</v>
      </c>
      <c r="S750" s="5" t="s">
        <v>32</v>
      </c>
      <c r="T750" s="39">
        <v>460</v>
      </c>
    </row>
    <row r="751" spans="1:20" ht="20.100000000000001" hidden="1" customHeight="1" x14ac:dyDescent="0.25">
      <c r="A751" s="26" t="str">
        <f>CONCATENATE(RIGHT(LEFT(RecebimentoConcreto[[#This Row],[Obra]],5),4),"RCBC",TEXT(RecebimentoConcreto[[#This Row],[Ordem]],"0000"))</f>
        <v>0184RCBC0377</v>
      </c>
      <c r="B751" s="1">
        <v>377</v>
      </c>
      <c r="C751" s="1" t="s">
        <v>21</v>
      </c>
      <c r="D751" s="35">
        <v>44805</v>
      </c>
      <c r="E751" s="1" t="s">
        <v>1708</v>
      </c>
      <c r="F751" s="2">
        <v>14534</v>
      </c>
      <c r="G751" s="2">
        <v>5408</v>
      </c>
      <c r="H751" s="2">
        <v>16463</v>
      </c>
      <c r="J751" s="5">
        <v>0.47916666666666669</v>
      </c>
      <c r="K751" s="32">
        <f>_xlfn.MAXIFS(ConsumoConcreto[Fim do Bombeamento],ConsumoConcreto[RecebimentoID],RecebimentoConcreto[[#This Row],[RecebimentoID]])</f>
        <v>0.5</v>
      </c>
      <c r="M751" s="37">
        <v>36892</v>
      </c>
      <c r="N751" s="5" t="s">
        <v>1801</v>
      </c>
      <c r="O751" s="9">
        <v>5.5</v>
      </c>
      <c r="P751" s="5" t="s">
        <v>26</v>
      </c>
      <c r="Q751" s="2">
        <v>5</v>
      </c>
      <c r="R751" s="5" t="s">
        <v>27</v>
      </c>
      <c r="S751" s="5" t="s">
        <v>32</v>
      </c>
      <c r="T751" s="39">
        <v>460</v>
      </c>
    </row>
    <row r="752" spans="1:20" ht="20.100000000000001" hidden="1" customHeight="1" x14ac:dyDescent="0.25">
      <c r="A752" s="26" t="str">
        <f>CONCATENATE(RIGHT(LEFT(RecebimentoConcreto[[#This Row],[Obra]],5),4),"RCBC",TEXT(RecebimentoConcreto[[#This Row],[Ordem]],"0000"))</f>
        <v>0184RCBC0378</v>
      </c>
      <c r="B752" s="1">
        <v>378</v>
      </c>
      <c r="C752" s="1" t="s">
        <v>21</v>
      </c>
      <c r="D752" s="35">
        <v>44805</v>
      </c>
      <c r="E752" s="1" t="s">
        <v>106</v>
      </c>
      <c r="F752" s="2">
        <v>14533</v>
      </c>
      <c r="G752" s="2">
        <v>5408</v>
      </c>
      <c r="H752" s="2">
        <v>16462</v>
      </c>
      <c r="J752" s="5">
        <v>0.42708333333333331</v>
      </c>
      <c r="K752" s="32">
        <f>_xlfn.MAXIFS(ConsumoConcreto[Fim do Bombeamento],ConsumoConcreto[RecebimentoID],RecebimentoConcreto[[#This Row],[RecebimentoID]])</f>
        <v>0.46527777777777773</v>
      </c>
      <c r="M752" s="37">
        <v>36892</v>
      </c>
      <c r="N752" s="5" t="s">
        <v>1801</v>
      </c>
      <c r="O752" s="9">
        <v>5.5</v>
      </c>
      <c r="P752" s="5" t="s">
        <v>26</v>
      </c>
      <c r="Q752" s="2">
        <v>5</v>
      </c>
      <c r="R752" s="5" t="s">
        <v>27</v>
      </c>
      <c r="S752" s="5" t="s">
        <v>32</v>
      </c>
      <c r="T752" s="39">
        <v>460</v>
      </c>
    </row>
    <row r="753" spans="1:20" ht="20.100000000000001" hidden="1" customHeight="1" x14ac:dyDescent="0.25">
      <c r="A753" s="26" t="str">
        <f>CONCATENATE(RIGHT(LEFT(RecebimentoConcreto[[#This Row],[Obra]],5),4),"RCBC",TEXT(RecebimentoConcreto[[#This Row],[Ordem]],"0000"))</f>
        <v>0184RCBC0379</v>
      </c>
      <c r="B753" s="1">
        <v>379</v>
      </c>
      <c r="C753" s="1" t="s">
        <v>21</v>
      </c>
      <c r="D753" s="35">
        <v>44806</v>
      </c>
      <c r="E753" s="1" t="s">
        <v>106</v>
      </c>
      <c r="F753" s="2">
        <v>14559</v>
      </c>
      <c r="G753" s="2">
        <v>5408</v>
      </c>
      <c r="H753" s="2">
        <v>16488</v>
      </c>
      <c r="J753" s="5">
        <v>0.58333333333333337</v>
      </c>
      <c r="K753" s="32">
        <f>_xlfn.MAXIFS(ConsumoConcreto[Fim do Bombeamento],ConsumoConcreto[RecebimentoID],RecebimentoConcreto[[#This Row],[RecebimentoID]])</f>
        <v>0.61111111111111105</v>
      </c>
      <c r="M753" s="37">
        <v>36892</v>
      </c>
      <c r="N753" s="5" t="s">
        <v>1801</v>
      </c>
      <c r="O753" s="9">
        <v>5.5</v>
      </c>
      <c r="P753" s="5" t="s">
        <v>26</v>
      </c>
      <c r="Q753" s="2">
        <v>5</v>
      </c>
      <c r="R753" s="5" t="s">
        <v>27</v>
      </c>
      <c r="S753" s="5" t="s">
        <v>32</v>
      </c>
      <c r="T753" s="39">
        <v>460</v>
      </c>
    </row>
    <row r="754" spans="1:20" ht="20.100000000000001" hidden="1" customHeight="1" x14ac:dyDescent="0.25">
      <c r="A754" s="26" t="str">
        <f>CONCATENATE(RIGHT(LEFT(RecebimentoConcreto[[#This Row],[Obra]],5),4),"RCBC",TEXT(RecebimentoConcreto[[#This Row],[Ordem]],"0000"))</f>
        <v>0184RCBC0410</v>
      </c>
      <c r="B754" s="1">
        <v>410</v>
      </c>
      <c r="C754" s="1" t="s">
        <v>21</v>
      </c>
      <c r="D754" s="35">
        <v>44902</v>
      </c>
      <c r="E754" s="1" t="s">
        <v>38</v>
      </c>
      <c r="F754" s="2">
        <v>12021</v>
      </c>
      <c r="G754" s="2">
        <v>5408</v>
      </c>
      <c r="H754" s="2">
        <v>18478</v>
      </c>
      <c r="I754" s="5">
        <v>0.6166666666666667</v>
      </c>
      <c r="K754" s="32">
        <f>_xlfn.MAXIFS(ConsumoConcreto[Fim do Bombeamento],ConsumoConcreto[RecebimentoID],RecebimentoConcreto[[#This Row],[RecebimentoID]])</f>
        <v>0</v>
      </c>
      <c r="L754" s="1">
        <v>13</v>
      </c>
      <c r="M754" s="37">
        <v>36892</v>
      </c>
      <c r="N754" s="5" t="s">
        <v>1801</v>
      </c>
      <c r="O754" s="9">
        <v>0.1</v>
      </c>
      <c r="P754" s="5" t="s">
        <v>26</v>
      </c>
      <c r="Q754" s="2">
        <v>7</v>
      </c>
      <c r="R754" s="5" t="s">
        <v>27</v>
      </c>
      <c r="S754" s="5" t="s">
        <v>32</v>
      </c>
      <c r="T754" s="39">
        <v>470</v>
      </c>
    </row>
    <row r="755" spans="1:20" ht="20.100000000000001" hidden="1" customHeight="1" x14ac:dyDescent="0.25">
      <c r="A755" s="26" t="str">
        <f>CONCATENATE(RIGHT(LEFT(RecebimentoConcreto[[#This Row],[Obra]],5),4),"RCBC",TEXT(RecebimentoConcreto[[#This Row],[Ordem]],"0000"))</f>
        <v>0184RCBC0411</v>
      </c>
      <c r="B755" s="1">
        <v>411</v>
      </c>
      <c r="C755" s="1" t="s">
        <v>21</v>
      </c>
      <c r="D755" s="35">
        <v>44902</v>
      </c>
      <c r="E755" s="1" t="s">
        <v>38</v>
      </c>
      <c r="F755" s="2">
        <v>12021</v>
      </c>
      <c r="G755" s="2">
        <v>5408</v>
      </c>
      <c r="H755" s="2">
        <v>18478</v>
      </c>
      <c r="I755" s="5">
        <v>0.6166666666666667</v>
      </c>
      <c r="K755" s="32">
        <f>_xlfn.MAXIFS(ConsumoConcreto[Fim do Bombeamento],ConsumoConcreto[RecebimentoID],RecebimentoConcreto[[#This Row],[RecebimentoID]])</f>
        <v>0</v>
      </c>
      <c r="L755" s="1">
        <v>13</v>
      </c>
      <c r="M755" s="37">
        <v>36892</v>
      </c>
      <c r="N755" s="5" t="s">
        <v>1801</v>
      </c>
      <c r="O755" s="9">
        <v>0.1</v>
      </c>
      <c r="P755" s="5" t="s">
        <v>26</v>
      </c>
      <c r="Q755" s="2">
        <v>7</v>
      </c>
      <c r="R755" s="5" t="s">
        <v>27</v>
      </c>
      <c r="S755" s="5" t="s">
        <v>32</v>
      </c>
      <c r="T755" s="39">
        <v>470</v>
      </c>
    </row>
    <row r="756" spans="1:20" ht="20.100000000000001" hidden="1" customHeight="1" x14ac:dyDescent="0.25">
      <c r="A756" s="26" t="str">
        <f>CONCATENATE(RIGHT(LEFT(RecebimentoConcreto[[#This Row],[Obra]],5),4),"RCBC",TEXT(RecebimentoConcreto[[#This Row],[Ordem]],"0000"))</f>
        <v>0184RCBC0412</v>
      </c>
      <c r="B756" s="1">
        <v>412</v>
      </c>
      <c r="C756" s="1" t="s">
        <v>21</v>
      </c>
      <c r="D756" s="35">
        <v>44902</v>
      </c>
      <c r="E756" s="1" t="s">
        <v>38</v>
      </c>
      <c r="F756" s="2">
        <v>12021</v>
      </c>
      <c r="G756" s="2">
        <v>5408</v>
      </c>
      <c r="H756" s="2">
        <v>18478</v>
      </c>
      <c r="I756" s="5">
        <v>0.6166666666666667</v>
      </c>
      <c r="K756" s="32">
        <f>_xlfn.MAXIFS(ConsumoConcreto[Fim do Bombeamento],ConsumoConcreto[RecebimentoID],RecebimentoConcreto[[#This Row],[RecebimentoID]])</f>
        <v>0</v>
      </c>
      <c r="L756" s="1">
        <v>13</v>
      </c>
      <c r="M756" s="37">
        <v>36892</v>
      </c>
      <c r="N756" s="5" t="s">
        <v>1801</v>
      </c>
      <c r="O756" s="9">
        <v>0.1</v>
      </c>
      <c r="P756" s="5" t="s">
        <v>26</v>
      </c>
      <c r="Q756" s="2">
        <v>7</v>
      </c>
      <c r="R756" s="5" t="s">
        <v>27</v>
      </c>
      <c r="S756" s="5" t="s">
        <v>32</v>
      </c>
      <c r="T756" s="39">
        <v>470</v>
      </c>
    </row>
    <row r="757" spans="1:20" ht="20.100000000000001" hidden="1" customHeight="1" x14ac:dyDescent="0.25">
      <c r="A757" s="26" t="str">
        <f>CONCATENATE(RIGHT(LEFT(RecebimentoConcreto[[#This Row],[Obra]],5),4),"RCBC",TEXT(RecebimentoConcreto[[#This Row],[Ordem]],"0000"))</f>
        <v>0184RCBC0413</v>
      </c>
      <c r="B757" s="1">
        <v>413</v>
      </c>
      <c r="C757" s="1" t="s">
        <v>21</v>
      </c>
      <c r="D757" s="35">
        <v>44825</v>
      </c>
      <c r="E757" s="1" t="s">
        <v>36</v>
      </c>
      <c r="F757" s="2">
        <v>10748</v>
      </c>
      <c r="G757" s="2">
        <v>5408</v>
      </c>
      <c r="H757" s="2">
        <v>16878</v>
      </c>
      <c r="I757" s="5">
        <v>0.57638888888888895</v>
      </c>
      <c r="J757" s="5">
        <v>0.59722222222222221</v>
      </c>
      <c r="K757" s="32">
        <f>_xlfn.MAXIFS(ConsumoConcreto[Fim do Bombeamento],ConsumoConcreto[RecebimentoID],RecebimentoConcreto[[#This Row],[RecebimentoID]])</f>
        <v>0.625</v>
      </c>
      <c r="L757" s="1">
        <v>13</v>
      </c>
      <c r="M757" s="37">
        <v>36892</v>
      </c>
      <c r="N757" s="5" t="s">
        <v>1801</v>
      </c>
      <c r="O757" s="9">
        <v>7</v>
      </c>
      <c r="P757" s="5" t="s">
        <v>26</v>
      </c>
      <c r="Q757" s="2">
        <v>5</v>
      </c>
      <c r="R757" s="5" t="s">
        <v>27</v>
      </c>
      <c r="S757" s="5" t="s">
        <v>32</v>
      </c>
      <c r="T757" s="39">
        <v>460</v>
      </c>
    </row>
    <row r="758" spans="1:20" ht="20.100000000000001" hidden="1" customHeight="1" x14ac:dyDescent="0.25">
      <c r="A758" s="26" t="str">
        <f>CONCATENATE(RIGHT(LEFT(RecebimentoConcreto[[#This Row],[Obra]],5),4),"RCBC",TEXT(RecebimentoConcreto[[#This Row],[Ordem]],"0000"))</f>
        <v>0184RCBC0414</v>
      </c>
      <c r="B758" s="1">
        <v>414</v>
      </c>
      <c r="C758" s="1" t="s">
        <v>21</v>
      </c>
      <c r="D758" s="35">
        <v>44830</v>
      </c>
      <c r="E758" s="1" t="s">
        <v>208</v>
      </c>
      <c r="F758" s="2">
        <v>8809</v>
      </c>
      <c r="G758" s="2">
        <v>5408</v>
      </c>
      <c r="H758" s="2">
        <v>16956</v>
      </c>
      <c r="I758" s="5">
        <v>0.4548611111111111</v>
      </c>
      <c r="J758" s="5">
        <v>0.47916666666666669</v>
      </c>
      <c r="K758" s="32">
        <f>_xlfn.MAXIFS(ConsumoConcreto[Fim do Bombeamento],ConsumoConcreto[RecebimentoID],RecebimentoConcreto[[#This Row],[RecebimentoID]])</f>
        <v>0.4236111111111111</v>
      </c>
      <c r="L758" s="1">
        <v>13</v>
      </c>
      <c r="M758" s="37">
        <v>36892</v>
      </c>
      <c r="N758" s="5" t="s">
        <v>1801</v>
      </c>
      <c r="O758" s="9">
        <v>7</v>
      </c>
      <c r="P758" s="5" t="s">
        <v>26</v>
      </c>
      <c r="Q758" s="2">
        <v>5</v>
      </c>
      <c r="R758" s="5" t="s">
        <v>27</v>
      </c>
      <c r="S758" s="5" t="s">
        <v>32</v>
      </c>
      <c r="T758" s="39">
        <v>460</v>
      </c>
    </row>
    <row r="759" spans="1:20" ht="20.100000000000001" hidden="1" customHeight="1" x14ac:dyDescent="0.25">
      <c r="A759" s="26" t="str">
        <f>CONCATENATE(RIGHT(LEFT(RecebimentoConcreto[[#This Row],[Obra]],5),4),"RCBC",TEXT(RecebimentoConcreto[[#This Row],[Ordem]],"0000"))</f>
        <v>0184RCBC0415</v>
      </c>
      <c r="B759" s="1">
        <v>415</v>
      </c>
      <c r="C759" s="1" t="s">
        <v>21</v>
      </c>
      <c r="D759" s="35">
        <v>44832</v>
      </c>
      <c r="E759" s="1" t="s">
        <v>1861</v>
      </c>
      <c r="F759" s="2">
        <v>8850</v>
      </c>
      <c r="G759" s="2">
        <v>5408</v>
      </c>
      <c r="H759" s="2">
        <v>16998</v>
      </c>
      <c r="I759" s="5">
        <v>0.63541666666666663</v>
      </c>
      <c r="J759" s="5">
        <v>0.65972222222222221</v>
      </c>
      <c r="K759" s="32">
        <f>_xlfn.MAXIFS(ConsumoConcreto[Fim do Bombeamento],ConsumoConcreto[RecebimentoID],RecebimentoConcreto[[#This Row],[RecebimentoID]])</f>
        <v>0.6875</v>
      </c>
      <c r="L759" s="1">
        <v>13</v>
      </c>
      <c r="M759" s="37">
        <v>36892</v>
      </c>
      <c r="N759" s="5" t="s">
        <v>1801</v>
      </c>
      <c r="O759" s="9">
        <v>7</v>
      </c>
      <c r="P759" s="5" t="s">
        <v>26</v>
      </c>
      <c r="Q759" s="2">
        <v>5</v>
      </c>
      <c r="R759" s="5" t="s">
        <v>27</v>
      </c>
      <c r="S759" s="5" t="s">
        <v>32</v>
      </c>
      <c r="T759" s="39">
        <v>460</v>
      </c>
    </row>
    <row r="760" spans="1:20" ht="20.100000000000001" hidden="1" customHeight="1" x14ac:dyDescent="0.25">
      <c r="A760" s="26" t="str">
        <f>CONCATENATE(RIGHT(LEFT(RecebimentoConcreto[[#This Row],[Obra]],5),4),"RCBC",TEXT(RecebimentoConcreto[[#This Row],[Ordem]],"0000"))</f>
        <v>0184RCBC0416</v>
      </c>
      <c r="B760" s="1">
        <v>416</v>
      </c>
      <c r="C760" s="1" t="s">
        <v>21</v>
      </c>
      <c r="D760" s="35">
        <v>44833</v>
      </c>
      <c r="E760" s="1" t="s">
        <v>1708</v>
      </c>
      <c r="F760" s="2">
        <v>8890</v>
      </c>
      <c r="G760" s="2">
        <v>5408</v>
      </c>
      <c r="H760" s="2">
        <v>17023</v>
      </c>
      <c r="I760" s="5">
        <v>0.55902777777777779</v>
      </c>
      <c r="J760" s="5">
        <v>0.59027777777777779</v>
      </c>
      <c r="K760" s="32">
        <f>_xlfn.MAXIFS(ConsumoConcreto[Fim do Bombeamento],ConsumoConcreto[RecebimentoID],RecebimentoConcreto[[#This Row],[RecebimentoID]])</f>
        <v>0.59513888888888888</v>
      </c>
      <c r="L760" s="1">
        <v>13</v>
      </c>
      <c r="M760" s="37">
        <v>36892</v>
      </c>
      <c r="N760" s="5" t="s">
        <v>1801</v>
      </c>
      <c r="O760" s="9">
        <v>7</v>
      </c>
      <c r="P760" s="5" t="s">
        <v>26</v>
      </c>
      <c r="Q760" s="2">
        <v>5</v>
      </c>
      <c r="R760" s="5" t="s">
        <v>27</v>
      </c>
      <c r="S760" s="5" t="s">
        <v>32</v>
      </c>
      <c r="T760" s="39">
        <v>460</v>
      </c>
    </row>
    <row r="761" spans="1:20" ht="20.100000000000001" hidden="1" customHeight="1" x14ac:dyDescent="0.25">
      <c r="A761" s="26" t="str">
        <f>CONCATENATE(RIGHT(LEFT(RecebimentoConcreto[[#This Row],[Obra]],5),4),"RCBC",TEXT(RecebimentoConcreto[[#This Row],[Ordem]],"0000"))</f>
        <v>0184RCBC0417</v>
      </c>
      <c r="B761" s="1">
        <v>417</v>
      </c>
      <c r="C761" s="1" t="s">
        <v>21</v>
      </c>
      <c r="D761" s="35">
        <v>44833</v>
      </c>
      <c r="E761" s="1" t="s">
        <v>1848</v>
      </c>
      <c r="F761" s="2">
        <v>8893</v>
      </c>
      <c r="G761" s="2">
        <v>5408</v>
      </c>
      <c r="H761" s="2">
        <v>17026</v>
      </c>
      <c r="I761" s="5">
        <v>0.59027777777777779</v>
      </c>
      <c r="J761" s="5">
        <v>0.60763888888888895</v>
      </c>
      <c r="K761" s="32">
        <f>_xlfn.MAXIFS(ConsumoConcreto[Fim do Bombeamento],ConsumoConcreto[RecebimentoID],RecebimentoConcreto[[#This Row],[RecebimentoID]])</f>
        <v>0.62361111111111112</v>
      </c>
      <c r="L761" s="1">
        <v>12.5</v>
      </c>
      <c r="M761" s="37">
        <v>36892</v>
      </c>
      <c r="N761" s="5" t="s">
        <v>1801</v>
      </c>
      <c r="O761" s="9">
        <v>7</v>
      </c>
      <c r="P761" s="5" t="s">
        <v>26</v>
      </c>
      <c r="Q761" s="2">
        <v>5</v>
      </c>
      <c r="R761" s="5" t="s">
        <v>27</v>
      </c>
      <c r="S761" s="5" t="s">
        <v>32</v>
      </c>
      <c r="T761" s="39">
        <v>460</v>
      </c>
    </row>
    <row r="762" spans="1:20" ht="20.100000000000001" hidden="1" customHeight="1" x14ac:dyDescent="0.25">
      <c r="A762" s="26" t="str">
        <f>CONCATENATE(RIGHT(LEFT(RecebimentoConcreto[[#This Row],[Obra]],5),4),"RCBC",TEXT(RecebimentoConcreto[[#This Row],[Ordem]],"0000"))</f>
        <v>0184RCBC0418</v>
      </c>
      <c r="B762" s="1">
        <v>418</v>
      </c>
      <c r="C762" s="1" t="s">
        <v>21</v>
      </c>
      <c r="D762" s="35">
        <v>44833</v>
      </c>
      <c r="E762" s="1" t="s">
        <v>1848</v>
      </c>
      <c r="F762" s="2">
        <v>10501</v>
      </c>
      <c r="G762" s="2">
        <v>5408</v>
      </c>
      <c r="H762" s="2">
        <v>17034</v>
      </c>
      <c r="I762" s="5">
        <v>0.66666666666666663</v>
      </c>
      <c r="J762" s="5">
        <v>0.68055555555555547</v>
      </c>
      <c r="K762" s="32">
        <f>_xlfn.MAXIFS(ConsumoConcreto[Fim do Bombeamento],ConsumoConcreto[RecebimentoID],RecebimentoConcreto[[#This Row],[RecebimentoID]])</f>
        <v>0.70486111111111116</v>
      </c>
      <c r="L762" s="1">
        <v>14</v>
      </c>
      <c r="M762" s="37">
        <v>36892</v>
      </c>
      <c r="N762" s="5" t="s">
        <v>1801</v>
      </c>
      <c r="O762" s="9">
        <v>7</v>
      </c>
      <c r="P762" s="5" t="s">
        <v>26</v>
      </c>
      <c r="Q762" s="2">
        <v>5</v>
      </c>
      <c r="R762" s="5" t="s">
        <v>27</v>
      </c>
      <c r="S762" s="5" t="s">
        <v>32</v>
      </c>
      <c r="T762" s="39">
        <v>460</v>
      </c>
    </row>
    <row r="763" spans="1:20" ht="20.100000000000001" hidden="1" customHeight="1" x14ac:dyDescent="0.25">
      <c r="A763" s="26" t="str">
        <f>CONCATENATE(RIGHT(LEFT(RecebimentoConcreto[[#This Row],[Obra]],5),4),"RCBC",TEXT(RecebimentoConcreto[[#This Row],[Ordem]],"0000"))</f>
        <v>0184RCBC0419</v>
      </c>
      <c r="B763" s="1">
        <v>419</v>
      </c>
      <c r="C763" s="1" t="s">
        <v>21</v>
      </c>
      <c r="D763" s="35">
        <v>44833</v>
      </c>
      <c r="E763" s="1" t="s">
        <v>1859</v>
      </c>
      <c r="F763" s="2">
        <v>8897</v>
      </c>
      <c r="G763" s="2">
        <v>5408</v>
      </c>
      <c r="H763" s="2">
        <v>17030</v>
      </c>
      <c r="I763" s="5">
        <v>0.63541666666666663</v>
      </c>
      <c r="J763" s="5">
        <v>0.70833333333333337</v>
      </c>
      <c r="K763" s="32">
        <f>_xlfn.MAXIFS(ConsumoConcreto[Fim do Bombeamento],ConsumoConcreto[RecebimentoID],RecebimentoConcreto[[#This Row],[RecebimentoID]])</f>
        <v>0.71875</v>
      </c>
      <c r="L763" s="1">
        <v>14</v>
      </c>
      <c r="M763" s="37">
        <v>36892</v>
      </c>
      <c r="N763" s="5" t="s">
        <v>1801</v>
      </c>
      <c r="O763" s="9">
        <v>7</v>
      </c>
      <c r="P763" s="5" t="s">
        <v>26</v>
      </c>
      <c r="Q763" s="2">
        <v>5</v>
      </c>
      <c r="R763" s="5" t="s">
        <v>27</v>
      </c>
      <c r="S763" s="5" t="s">
        <v>32</v>
      </c>
      <c r="T763" s="39">
        <v>460</v>
      </c>
    </row>
    <row r="764" spans="1:20" ht="20.100000000000001" hidden="1" customHeight="1" x14ac:dyDescent="0.25">
      <c r="A764" s="26" t="str">
        <f>CONCATENATE(RIGHT(LEFT(RecebimentoConcreto[[#This Row],[Obra]],5),4),"RCBC",TEXT(RecebimentoConcreto[[#This Row],[Ordem]],"0000"))</f>
        <v>0184RCBC0420</v>
      </c>
      <c r="B764" s="1">
        <v>420</v>
      </c>
      <c r="C764" s="1" t="s">
        <v>21</v>
      </c>
      <c r="D764" s="35">
        <v>44838</v>
      </c>
      <c r="E764" s="1" t="s">
        <v>36</v>
      </c>
      <c r="F764" s="2">
        <v>10598</v>
      </c>
      <c r="G764" s="2">
        <v>5408</v>
      </c>
      <c r="H764" s="2">
        <v>17135</v>
      </c>
      <c r="I764" s="5">
        <v>0.59722222222222221</v>
      </c>
      <c r="J764" s="5">
        <v>0.61805555555555558</v>
      </c>
      <c r="K764" s="32">
        <f>_xlfn.MAXIFS(ConsumoConcreto[Fim do Bombeamento],ConsumoConcreto[RecebimentoID],RecebimentoConcreto[[#This Row],[RecebimentoID]])</f>
        <v>0.63402777777777775</v>
      </c>
      <c r="L764" s="1">
        <v>13</v>
      </c>
      <c r="M764" s="37">
        <v>36892</v>
      </c>
      <c r="N764" s="5" t="s">
        <v>1801</v>
      </c>
      <c r="O764" s="9">
        <v>5</v>
      </c>
      <c r="P764" s="5" t="s">
        <v>26</v>
      </c>
      <c r="Q764" s="2">
        <v>6</v>
      </c>
      <c r="R764" s="5" t="s">
        <v>27</v>
      </c>
      <c r="S764" s="5" t="s">
        <v>32</v>
      </c>
      <c r="T764" s="39">
        <v>460</v>
      </c>
    </row>
    <row r="765" spans="1:20" ht="20.100000000000001" hidden="1" customHeight="1" x14ac:dyDescent="0.25">
      <c r="A765" s="26" t="str">
        <f>CONCATENATE(RIGHT(LEFT(RecebimentoConcreto[[#This Row],[Obra]],5),4),"RCBC",TEXT(RecebimentoConcreto[[#This Row],[Ordem]],"0000"))</f>
        <v>0184RCBC0421</v>
      </c>
      <c r="B765" s="1">
        <v>421</v>
      </c>
      <c r="C765" s="1" t="s">
        <v>21</v>
      </c>
      <c r="D765" s="35">
        <v>44838</v>
      </c>
      <c r="E765" s="1" t="s">
        <v>1708</v>
      </c>
      <c r="F765" s="2">
        <v>8601</v>
      </c>
      <c r="G765" s="2">
        <v>5408</v>
      </c>
      <c r="H765" s="2">
        <v>17143</v>
      </c>
      <c r="I765" s="5">
        <v>0.64583333333333337</v>
      </c>
      <c r="J765" s="5">
        <v>0.68055555555555547</v>
      </c>
      <c r="K765" s="32">
        <f>_xlfn.MAXIFS(ConsumoConcreto[Fim do Bombeamento],ConsumoConcreto[RecebimentoID],RecebimentoConcreto[[#This Row],[RecebimentoID]])</f>
        <v>0.70833333333333337</v>
      </c>
      <c r="L765" s="1">
        <v>13</v>
      </c>
      <c r="M765" s="37">
        <v>36892</v>
      </c>
      <c r="N765" s="5" t="s">
        <v>1801</v>
      </c>
      <c r="O765" s="9">
        <v>6</v>
      </c>
      <c r="P765" s="5" t="s">
        <v>26</v>
      </c>
      <c r="Q765" s="2">
        <v>6</v>
      </c>
      <c r="R765" s="5" t="s">
        <v>27</v>
      </c>
      <c r="S765" s="5" t="s">
        <v>32</v>
      </c>
      <c r="T765" s="39">
        <v>460</v>
      </c>
    </row>
    <row r="766" spans="1:20" ht="20.100000000000001" hidden="1" customHeight="1" x14ac:dyDescent="0.25">
      <c r="A766" s="26" t="str">
        <f>CONCATENATE(RIGHT(LEFT(RecebimentoConcreto[[#This Row],[Obra]],5),4),"RCBC",TEXT(RecebimentoConcreto[[#This Row],[Ordem]],"0000"))</f>
        <v>0184RCBC0422</v>
      </c>
      <c r="B766" s="1">
        <v>422</v>
      </c>
      <c r="C766" s="1" t="s">
        <v>21</v>
      </c>
      <c r="D766" s="35">
        <v>44839</v>
      </c>
      <c r="E766" s="1" t="s">
        <v>208</v>
      </c>
      <c r="F766" s="2">
        <v>8633</v>
      </c>
      <c r="G766" s="2">
        <v>5408</v>
      </c>
      <c r="H766" s="2">
        <v>17171</v>
      </c>
      <c r="I766" s="5">
        <v>0.54861111111111105</v>
      </c>
      <c r="J766" s="5">
        <v>0.56597222222222221</v>
      </c>
      <c r="K766" s="32">
        <f>_xlfn.MAXIFS(ConsumoConcreto[Fim do Bombeamento],ConsumoConcreto[RecebimentoID],RecebimentoConcreto[[#This Row],[RecebimentoID]])</f>
        <v>0.58888888888888891</v>
      </c>
      <c r="L766" s="1">
        <v>13.5</v>
      </c>
      <c r="M766" s="37">
        <v>36892</v>
      </c>
      <c r="N766" s="5" t="s">
        <v>1801</v>
      </c>
      <c r="O766" s="9">
        <v>5.5</v>
      </c>
      <c r="P766" s="5" t="s">
        <v>26</v>
      </c>
      <c r="Q766" s="2">
        <v>6</v>
      </c>
      <c r="R766" s="5" t="s">
        <v>27</v>
      </c>
      <c r="S766" s="5" t="s">
        <v>32</v>
      </c>
      <c r="T766" s="39">
        <v>460</v>
      </c>
    </row>
    <row r="767" spans="1:20" ht="20.100000000000001" hidden="1" customHeight="1" x14ac:dyDescent="0.25">
      <c r="A767" s="26" t="str">
        <f>CONCATENATE(RIGHT(LEFT(RecebimentoConcreto[[#This Row],[Obra]],5),4),"RCBC",TEXT(RecebimentoConcreto[[#This Row],[Ordem]],"0000"))</f>
        <v>0184RCBC0423</v>
      </c>
      <c r="B767" s="1">
        <v>423</v>
      </c>
      <c r="C767" s="1" t="s">
        <v>21</v>
      </c>
      <c r="D767" s="35">
        <v>44839</v>
      </c>
      <c r="E767" s="1" t="s">
        <v>208</v>
      </c>
      <c r="F767" s="2">
        <v>8639</v>
      </c>
      <c r="G767" s="2">
        <v>5408</v>
      </c>
      <c r="H767" s="2">
        <v>17177</v>
      </c>
      <c r="I767" s="5">
        <v>0.63194444444444442</v>
      </c>
      <c r="J767" s="5">
        <v>0.65625</v>
      </c>
      <c r="K767" s="32">
        <f>_xlfn.MAXIFS(ConsumoConcreto[Fim do Bombeamento],ConsumoConcreto[RecebimentoID],RecebimentoConcreto[[#This Row],[RecebimentoID]])</f>
        <v>0.67499999999999993</v>
      </c>
      <c r="L767" s="1">
        <v>14</v>
      </c>
      <c r="M767" s="37">
        <v>36892</v>
      </c>
      <c r="N767" s="5" t="s">
        <v>1801</v>
      </c>
      <c r="O767" s="9">
        <v>5.5</v>
      </c>
      <c r="P767" s="5" t="s">
        <v>26</v>
      </c>
      <c r="Q767" s="2">
        <v>6</v>
      </c>
      <c r="R767" s="5" t="s">
        <v>27</v>
      </c>
      <c r="S767" s="5" t="s">
        <v>32</v>
      </c>
      <c r="T767" s="39">
        <v>460</v>
      </c>
    </row>
    <row r="768" spans="1:20" ht="20.100000000000001" hidden="1" customHeight="1" x14ac:dyDescent="0.25">
      <c r="A768" s="26" t="str">
        <f>CONCATENATE(RIGHT(LEFT(RecebimentoConcreto[[#This Row],[Obra]],5),4),"RCBC",TEXT(RecebimentoConcreto[[#This Row],[Ordem]],"0000"))</f>
        <v>0184RCBC0424</v>
      </c>
      <c r="B768" s="1">
        <v>424</v>
      </c>
      <c r="C768" s="1" t="s">
        <v>21</v>
      </c>
      <c r="D768" s="35">
        <v>44839</v>
      </c>
      <c r="E768" s="1" t="s">
        <v>106</v>
      </c>
      <c r="F768" s="2">
        <v>8644</v>
      </c>
      <c r="G768" s="2">
        <v>5408</v>
      </c>
      <c r="H768" s="2">
        <v>17182</v>
      </c>
      <c r="I768" s="5">
        <v>0.69097222222222221</v>
      </c>
      <c r="J768" s="5">
        <v>0.70833333333333337</v>
      </c>
      <c r="K768" s="32">
        <f>_xlfn.MAXIFS(ConsumoConcreto[Fim do Bombeamento],ConsumoConcreto[RecebimentoID],RecebimentoConcreto[[#This Row],[RecebimentoID]])</f>
        <v>0.72916666666666663</v>
      </c>
      <c r="L768" s="1">
        <v>13</v>
      </c>
      <c r="M768" s="37">
        <v>36892</v>
      </c>
      <c r="N768" s="5" t="s">
        <v>1801</v>
      </c>
      <c r="O768" s="9">
        <v>5.5</v>
      </c>
      <c r="P768" s="5" t="s">
        <v>26</v>
      </c>
      <c r="Q768" s="2">
        <v>6</v>
      </c>
      <c r="R768" s="5" t="s">
        <v>27</v>
      </c>
      <c r="S768" s="5" t="s">
        <v>32</v>
      </c>
      <c r="T768" s="39">
        <v>460</v>
      </c>
    </row>
    <row r="769" spans="1:20" ht="20.100000000000001" hidden="1" customHeight="1" x14ac:dyDescent="0.25">
      <c r="A769" s="26" t="str">
        <f>CONCATENATE(RIGHT(LEFT(RecebimentoConcreto[[#This Row],[Obra]],5),4),"RCBC",TEXT(RecebimentoConcreto[[#This Row],[Ordem]],"0000"))</f>
        <v>0184RCBC0425</v>
      </c>
      <c r="B769" s="1">
        <v>425</v>
      </c>
      <c r="C769" s="1" t="s">
        <v>21</v>
      </c>
      <c r="D769" s="35">
        <v>44840</v>
      </c>
      <c r="E769" s="1" t="s">
        <v>1859</v>
      </c>
      <c r="F769" s="2">
        <v>8658</v>
      </c>
      <c r="G769" s="2">
        <v>5408</v>
      </c>
      <c r="H769" s="2">
        <v>17196</v>
      </c>
      <c r="I769" s="5">
        <v>0.45833333333333331</v>
      </c>
      <c r="J769" s="5">
        <v>0.47569444444444442</v>
      </c>
      <c r="K769" s="32">
        <f>_xlfn.MAXIFS(ConsumoConcreto[Fim do Bombeamento],ConsumoConcreto[RecebimentoID],RecebimentoConcreto[[#This Row],[RecebimentoID]])</f>
        <v>0.49652777777777773</v>
      </c>
      <c r="L769" s="1">
        <v>14</v>
      </c>
      <c r="M769" s="37">
        <v>36892</v>
      </c>
      <c r="N769" s="5" t="s">
        <v>1801</v>
      </c>
      <c r="O769" s="9">
        <v>5.5</v>
      </c>
      <c r="P769" s="5" t="s">
        <v>26</v>
      </c>
      <c r="Q769" s="2">
        <v>6</v>
      </c>
      <c r="R769" s="5" t="s">
        <v>27</v>
      </c>
      <c r="S769" s="5" t="s">
        <v>32</v>
      </c>
      <c r="T769" s="39">
        <v>460</v>
      </c>
    </row>
    <row r="770" spans="1:20" ht="20.100000000000001" hidden="1" customHeight="1" x14ac:dyDescent="0.25">
      <c r="A770" s="26" t="str">
        <f>CONCATENATE(RIGHT(LEFT(RecebimentoConcreto[[#This Row],[Obra]],5),4),"RCBC",TEXT(RecebimentoConcreto[[#This Row],[Ordem]],"0000"))</f>
        <v>0184RCBC0426</v>
      </c>
      <c r="B770" s="1">
        <v>426</v>
      </c>
      <c r="C770" s="1" t="s">
        <v>21</v>
      </c>
      <c r="D770" s="35">
        <v>44840</v>
      </c>
      <c r="E770" s="1" t="s">
        <v>208</v>
      </c>
      <c r="F770" s="2">
        <v>8652</v>
      </c>
      <c r="G770" s="2">
        <v>5408</v>
      </c>
      <c r="H770" s="2">
        <v>17190</v>
      </c>
      <c r="I770" s="5">
        <v>0.3611111111111111</v>
      </c>
      <c r="J770" s="5">
        <v>0.40277777777777773</v>
      </c>
      <c r="K770" s="32">
        <f>_xlfn.MAXIFS(ConsumoConcreto[Fim do Bombeamento],ConsumoConcreto[RecebimentoID],RecebimentoConcreto[[#This Row],[RecebimentoID]])</f>
        <v>0.41666666666666669</v>
      </c>
      <c r="L770" s="1">
        <v>13</v>
      </c>
      <c r="M770" s="37">
        <v>36892</v>
      </c>
      <c r="N770" s="5" t="s">
        <v>1801</v>
      </c>
      <c r="O770" s="9">
        <v>5.5</v>
      </c>
      <c r="P770" s="5" t="s">
        <v>26</v>
      </c>
      <c r="Q770" s="2">
        <v>6</v>
      </c>
      <c r="R770" s="5" t="s">
        <v>27</v>
      </c>
      <c r="S770" s="5" t="s">
        <v>32</v>
      </c>
      <c r="T770" s="39">
        <v>460</v>
      </c>
    </row>
    <row r="771" spans="1:20" ht="20.100000000000001" hidden="1" customHeight="1" x14ac:dyDescent="0.25">
      <c r="A771" s="26" t="str">
        <f>CONCATENATE(RIGHT(LEFT(RecebimentoConcreto[[#This Row],[Obra]],5),4),"RCBC",TEXT(RecebimentoConcreto[[#This Row],[Ordem]],"0000"))</f>
        <v>0184RCBC0442</v>
      </c>
      <c r="B771" s="1">
        <v>442</v>
      </c>
      <c r="C771" s="1" t="s">
        <v>21</v>
      </c>
      <c r="D771" s="35">
        <v>44848</v>
      </c>
      <c r="E771" s="1" t="s">
        <v>106</v>
      </c>
      <c r="F771" s="2">
        <v>8098</v>
      </c>
      <c r="G771" s="2">
        <v>5408</v>
      </c>
      <c r="H771" s="2">
        <v>17344</v>
      </c>
      <c r="I771" s="5">
        <v>0.36458333333333331</v>
      </c>
      <c r="J771" s="5">
        <v>0.3888888888888889</v>
      </c>
      <c r="K771" s="32">
        <f>_xlfn.MAXIFS(ConsumoConcreto[Fim do Bombeamento],ConsumoConcreto[RecebimentoID],RecebimentoConcreto[[#This Row],[RecebimentoID]])</f>
        <v>0.4513888888888889</v>
      </c>
      <c r="L771" s="1">
        <v>13</v>
      </c>
      <c r="M771" s="37">
        <v>36892</v>
      </c>
      <c r="N771" s="5" t="s">
        <v>1801</v>
      </c>
      <c r="O771" s="9">
        <v>7</v>
      </c>
      <c r="P771" s="5" t="s">
        <v>26</v>
      </c>
      <c r="Q771" s="2">
        <v>6</v>
      </c>
      <c r="R771" s="5" t="s">
        <v>27</v>
      </c>
      <c r="S771" s="5" t="s">
        <v>32</v>
      </c>
      <c r="T771" s="39">
        <v>460</v>
      </c>
    </row>
    <row r="772" spans="1:20" ht="20.100000000000001" hidden="1" customHeight="1" x14ac:dyDescent="0.25">
      <c r="A772" s="26" t="str">
        <f>CONCATENATE(RIGHT(LEFT(RecebimentoConcreto[[#This Row],[Obra]],5),4),"RCBC",TEXT(RecebimentoConcreto[[#This Row],[Ordem]],"0000"))</f>
        <v>0184RCBC0443</v>
      </c>
      <c r="B772" s="1">
        <v>443</v>
      </c>
      <c r="C772" s="1" t="s">
        <v>21</v>
      </c>
      <c r="D772" s="35">
        <v>44848</v>
      </c>
      <c r="E772" s="1" t="s">
        <v>37</v>
      </c>
      <c r="F772" s="2">
        <v>7411</v>
      </c>
      <c r="G772" s="2">
        <v>5408</v>
      </c>
      <c r="H772" s="2">
        <v>17355</v>
      </c>
      <c r="I772" s="5">
        <v>0.63541666666666663</v>
      </c>
      <c r="J772" s="5">
        <v>0.66666666666666663</v>
      </c>
      <c r="K772" s="32">
        <f>_xlfn.MAXIFS(ConsumoConcreto[Fim do Bombeamento],ConsumoConcreto[RecebimentoID],RecebimentoConcreto[[#This Row],[RecebimentoID]])</f>
        <v>0.69097222222222221</v>
      </c>
      <c r="L772" s="1">
        <v>14</v>
      </c>
      <c r="M772" s="37">
        <v>36892</v>
      </c>
      <c r="N772" s="5" t="s">
        <v>1801</v>
      </c>
      <c r="O772" s="9">
        <v>5.5</v>
      </c>
      <c r="P772" s="5" t="s">
        <v>26</v>
      </c>
      <c r="Q772" s="2">
        <v>6</v>
      </c>
      <c r="R772" s="5" t="s">
        <v>27</v>
      </c>
      <c r="S772" s="5" t="s">
        <v>32</v>
      </c>
      <c r="T772" s="39">
        <v>460</v>
      </c>
    </row>
    <row r="773" spans="1:20" ht="20.100000000000001" hidden="1" customHeight="1" x14ac:dyDescent="0.25">
      <c r="A773" s="26" t="str">
        <f>CONCATENATE(RIGHT(LEFT(RecebimentoConcreto[[#This Row],[Obra]],5),4),"RCBC",TEXT(RecebimentoConcreto[[#This Row],[Ordem]],"0000"))</f>
        <v>0184RCBC0444</v>
      </c>
      <c r="B773" s="1">
        <v>444</v>
      </c>
      <c r="C773" s="1" t="s">
        <v>21</v>
      </c>
      <c r="D773" s="35">
        <v>44848</v>
      </c>
      <c r="E773" s="1" t="s">
        <v>1708</v>
      </c>
      <c r="F773" s="2">
        <v>8096</v>
      </c>
      <c r="G773" s="2">
        <v>5408</v>
      </c>
      <c r="H773" s="2">
        <v>17345</v>
      </c>
      <c r="I773" s="5">
        <v>0.375</v>
      </c>
      <c r="J773" s="5">
        <v>0.45833333333333331</v>
      </c>
      <c r="K773" s="32">
        <f>_xlfn.MAXIFS(ConsumoConcreto[Fim do Bombeamento],ConsumoConcreto[RecebimentoID],RecebimentoConcreto[[#This Row],[RecebimentoID]])</f>
        <v>0.4916666666666667</v>
      </c>
      <c r="L773" s="1">
        <v>13.5</v>
      </c>
      <c r="M773" s="37">
        <v>36892</v>
      </c>
      <c r="N773" s="5" t="s">
        <v>1801</v>
      </c>
      <c r="O773" s="9">
        <v>7</v>
      </c>
      <c r="P773" s="5" t="s">
        <v>26</v>
      </c>
      <c r="Q773" s="2">
        <v>6</v>
      </c>
      <c r="R773" s="5" t="s">
        <v>27</v>
      </c>
      <c r="S773" s="5" t="s">
        <v>32</v>
      </c>
      <c r="T773" s="39">
        <v>460</v>
      </c>
    </row>
    <row r="774" spans="1:20" ht="20.100000000000001" hidden="1" customHeight="1" x14ac:dyDescent="0.25">
      <c r="A774" s="26" t="str">
        <f>CONCATENATE(RIGHT(LEFT(RecebimentoConcreto[[#This Row],[Obra]],5),4),"RCBC",TEXT(RecebimentoConcreto[[#This Row],[Ordem]],"0000"))</f>
        <v>0184RCBC0445</v>
      </c>
      <c r="B774" s="1">
        <v>445</v>
      </c>
      <c r="C774" s="1" t="s">
        <v>21</v>
      </c>
      <c r="D774" s="35">
        <v>44848</v>
      </c>
      <c r="E774" s="1" t="s">
        <v>1860</v>
      </c>
      <c r="F774" s="2">
        <v>10916</v>
      </c>
      <c r="G774" s="2">
        <v>5408</v>
      </c>
      <c r="H774" s="2">
        <v>17460</v>
      </c>
      <c r="I774" s="5">
        <v>0.43055555555555558</v>
      </c>
      <c r="J774" s="5">
        <v>0.45694444444444443</v>
      </c>
      <c r="K774" s="32">
        <f>_xlfn.MAXIFS(ConsumoConcreto[Fim do Bombeamento],ConsumoConcreto[RecebimentoID],RecebimentoConcreto[[#This Row],[RecebimentoID]])</f>
        <v>0.4826388888888889</v>
      </c>
      <c r="L774" s="1">
        <v>13.5</v>
      </c>
      <c r="M774" s="37">
        <v>36892</v>
      </c>
      <c r="N774" s="5" t="s">
        <v>1801</v>
      </c>
      <c r="O774" s="9">
        <v>7</v>
      </c>
      <c r="P774" s="5" t="s">
        <v>26</v>
      </c>
      <c r="Q774" s="2">
        <v>6</v>
      </c>
      <c r="R774" s="5" t="s">
        <v>27</v>
      </c>
      <c r="S774" s="5" t="s">
        <v>32</v>
      </c>
      <c r="T774" s="39">
        <v>460</v>
      </c>
    </row>
    <row r="775" spans="1:20" ht="20.100000000000001" hidden="1" customHeight="1" x14ac:dyDescent="0.25">
      <c r="A775" s="26" t="str">
        <f>CONCATENATE(RIGHT(LEFT(RecebimentoConcreto[[#This Row],[Obra]],5),4),"RCBC",TEXT(RecebimentoConcreto[[#This Row],[Ordem]],"0000"))</f>
        <v>0184RCBC0446</v>
      </c>
      <c r="B775" s="1">
        <v>446</v>
      </c>
      <c r="C775" s="1" t="s">
        <v>21</v>
      </c>
      <c r="D775" s="35">
        <v>44851</v>
      </c>
      <c r="E775" s="1" t="s">
        <v>1860</v>
      </c>
      <c r="F775" s="2">
        <v>7458</v>
      </c>
      <c r="G775" s="2">
        <v>5408</v>
      </c>
      <c r="H775" s="2">
        <v>17402</v>
      </c>
      <c r="I775" s="5">
        <v>0.4861111111111111</v>
      </c>
      <c r="J775" s="5">
        <v>0.52083333333333337</v>
      </c>
      <c r="K775" s="32">
        <f>_xlfn.MAXIFS(ConsumoConcreto[Fim do Bombeamento],ConsumoConcreto[RecebimentoID],RecebimentoConcreto[[#This Row],[RecebimentoID]])</f>
        <v>0.54513888888888895</v>
      </c>
      <c r="L775" s="1">
        <v>13</v>
      </c>
      <c r="M775" s="37">
        <v>36892</v>
      </c>
      <c r="N775" s="5" t="s">
        <v>1801</v>
      </c>
      <c r="O775" s="9">
        <v>5.5</v>
      </c>
      <c r="P775" s="5" t="s">
        <v>26</v>
      </c>
      <c r="Q775" s="2">
        <v>6</v>
      </c>
      <c r="R775" s="5" t="s">
        <v>27</v>
      </c>
      <c r="S775" s="5" t="s">
        <v>32</v>
      </c>
      <c r="T775" s="39">
        <v>460</v>
      </c>
    </row>
    <row r="776" spans="1:20" ht="20.100000000000001" hidden="1" customHeight="1" x14ac:dyDescent="0.25">
      <c r="A776" s="26" t="str">
        <f>CONCATENATE(RIGHT(LEFT(RecebimentoConcreto[[#This Row],[Obra]],5),4),"RCBC",TEXT(RecebimentoConcreto[[#This Row],[Ordem]],"0000"))</f>
        <v>0184RCBC0447</v>
      </c>
      <c r="B776" s="1">
        <v>447</v>
      </c>
      <c r="C776" s="1" t="s">
        <v>21</v>
      </c>
      <c r="D776" s="35">
        <v>44851</v>
      </c>
      <c r="E776" s="1" t="s">
        <v>106</v>
      </c>
      <c r="F776" s="2">
        <v>7459</v>
      </c>
      <c r="G776" s="2">
        <v>5408</v>
      </c>
      <c r="H776" s="2">
        <v>17405</v>
      </c>
      <c r="I776" s="5">
        <v>0.51041666666666663</v>
      </c>
      <c r="J776" s="5">
        <v>0.52083333333333337</v>
      </c>
      <c r="K776" s="32">
        <f>_xlfn.MAXIFS(ConsumoConcreto[Fim do Bombeamento],ConsumoConcreto[RecebimentoID],RecebimentoConcreto[[#This Row],[RecebimentoID]])</f>
        <v>0.5625</v>
      </c>
      <c r="L776" s="1">
        <v>13</v>
      </c>
      <c r="M776" s="37">
        <v>36892</v>
      </c>
      <c r="N776" s="5" t="s">
        <v>1801</v>
      </c>
      <c r="O776" s="9">
        <v>5.5</v>
      </c>
      <c r="P776" s="5" t="s">
        <v>26</v>
      </c>
      <c r="Q776" s="2">
        <v>7</v>
      </c>
      <c r="R776" s="5" t="s">
        <v>27</v>
      </c>
      <c r="S776" s="5" t="s">
        <v>32</v>
      </c>
      <c r="T776" s="39">
        <v>460</v>
      </c>
    </row>
    <row r="777" spans="1:20" ht="20.100000000000001" hidden="1" customHeight="1" x14ac:dyDescent="0.25">
      <c r="A777" s="26" t="str">
        <f>CONCATENATE(RIGHT(LEFT(RecebimentoConcreto[[#This Row],[Obra]],5),4),"RCBC",TEXT(RecebimentoConcreto[[#This Row],[Ordem]],"0000"))</f>
        <v>0184RCBC0448</v>
      </c>
      <c r="B777" s="1">
        <v>448</v>
      </c>
      <c r="C777" s="1" t="s">
        <v>21</v>
      </c>
      <c r="D777" s="35">
        <v>44852</v>
      </c>
      <c r="E777" s="1" t="s">
        <v>106</v>
      </c>
      <c r="F777" s="2">
        <v>7494</v>
      </c>
      <c r="G777" s="2">
        <v>5408</v>
      </c>
      <c r="H777" s="2">
        <v>17438</v>
      </c>
      <c r="I777" s="5">
        <v>0.65625</v>
      </c>
      <c r="J777" s="5">
        <v>0.68055555555555547</v>
      </c>
      <c r="K777" s="32">
        <f>_xlfn.MAXIFS(ConsumoConcreto[Fim do Bombeamento],ConsumoConcreto[RecebimentoID],RecebimentoConcreto[[#This Row],[RecebimentoID]])</f>
        <v>0.70833333333333337</v>
      </c>
      <c r="L777" s="1">
        <v>14</v>
      </c>
      <c r="M777" s="37">
        <v>36892</v>
      </c>
      <c r="N777" s="5" t="s">
        <v>1801</v>
      </c>
      <c r="O777" s="9">
        <v>7</v>
      </c>
      <c r="P777" s="5" t="s">
        <v>26</v>
      </c>
      <c r="Q777" s="2">
        <v>6</v>
      </c>
      <c r="R777" s="5" t="s">
        <v>27</v>
      </c>
      <c r="S777" s="5" t="s">
        <v>32</v>
      </c>
      <c r="T777" s="39">
        <v>460</v>
      </c>
    </row>
    <row r="778" spans="1:20" ht="20.100000000000001" hidden="1" customHeight="1" x14ac:dyDescent="0.25">
      <c r="A778" s="26" t="str">
        <f>CONCATENATE(RIGHT(LEFT(RecebimentoConcreto[[#This Row],[Obra]],5),4),"RCBC",TEXT(RecebimentoConcreto[[#This Row],[Ordem]],"0000"))</f>
        <v>0184RCBC0449</v>
      </c>
      <c r="B778" s="1">
        <v>449</v>
      </c>
      <c r="C778" s="1" t="s">
        <v>21</v>
      </c>
      <c r="D778" s="35">
        <v>44853</v>
      </c>
      <c r="E778" s="1" t="s">
        <v>1861</v>
      </c>
      <c r="F778" s="2">
        <v>10924</v>
      </c>
      <c r="G778" s="2">
        <v>5408</v>
      </c>
      <c r="H778" s="2">
        <v>17468</v>
      </c>
      <c r="I778" s="5">
        <v>0.57986111111111105</v>
      </c>
      <c r="J778" s="5">
        <v>0.60069444444444442</v>
      </c>
      <c r="K778" s="32">
        <f>_xlfn.MAXIFS(ConsumoConcreto[Fim do Bombeamento],ConsumoConcreto[RecebimentoID],RecebimentoConcreto[[#This Row],[RecebimentoID]])</f>
        <v>0.63194444444444442</v>
      </c>
      <c r="L778" s="1">
        <v>13</v>
      </c>
      <c r="M778" s="37">
        <v>36892</v>
      </c>
      <c r="N778" s="5" t="s">
        <v>1801</v>
      </c>
      <c r="O778" s="9">
        <v>7</v>
      </c>
      <c r="P778" s="5" t="s">
        <v>26</v>
      </c>
      <c r="Q778" s="2">
        <v>6</v>
      </c>
      <c r="R778" s="5" t="s">
        <v>27</v>
      </c>
      <c r="S778" s="5" t="s">
        <v>32</v>
      </c>
      <c r="T778" s="39">
        <v>460</v>
      </c>
    </row>
    <row r="779" spans="1:20" ht="20.100000000000001" hidden="1" customHeight="1" x14ac:dyDescent="0.25">
      <c r="A779" s="26" t="str">
        <f>CONCATENATE(RIGHT(LEFT(RecebimentoConcreto[[#This Row],[Obra]],5),4),"RCBC",TEXT(RecebimentoConcreto[[#This Row],[Ordem]],"0000"))</f>
        <v>0184RCBC0450</v>
      </c>
      <c r="B779" s="1">
        <v>450</v>
      </c>
      <c r="C779" s="1" t="s">
        <v>21</v>
      </c>
      <c r="D779" s="35">
        <v>44853</v>
      </c>
      <c r="E779" s="1" t="s">
        <v>1860</v>
      </c>
      <c r="F779" s="2">
        <v>10918</v>
      </c>
      <c r="G779" s="2">
        <v>5408</v>
      </c>
      <c r="H779" s="2">
        <v>17472</v>
      </c>
      <c r="I779" s="5">
        <v>0.65625</v>
      </c>
      <c r="J779" s="5">
        <v>0.67361111111111116</v>
      </c>
      <c r="K779" s="32">
        <f>_xlfn.MAXIFS(ConsumoConcreto[Fim do Bombeamento],ConsumoConcreto[RecebimentoID],RecebimentoConcreto[[#This Row],[RecebimentoID]])</f>
        <v>0.70138888888888884</v>
      </c>
      <c r="M779" s="37">
        <v>36892</v>
      </c>
      <c r="N779" s="5" t="s">
        <v>1801</v>
      </c>
      <c r="O779" s="9">
        <v>7</v>
      </c>
      <c r="P779" s="5" t="s">
        <v>26</v>
      </c>
      <c r="Q779" s="2">
        <v>6</v>
      </c>
      <c r="R779" s="5" t="s">
        <v>27</v>
      </c>
      <c r="S779" s="5" t="s">
        <v>32</v>
      </c>
      <c r="T779" s="39">
        <v>460</v>
      </c>
    </row>
    <row r="780" spans="1:20" ht="20.100000000000001" hidden="1" customHeight="1" x14ac:dyDescent="0.25">
      <c r="A780" s="26" t="str">
        <f>CONCATENATE(RIGHT(LEFT(RecebimentoConcreto[[#This Row],[Obra]],5),4),"RCBC",TEXT(RecebimentoConcreto[[#This Row],[Ordem]],"0000"))</f>
        <v>0184RCBC0451</v>
      </c>
      <c r="B780" s="1">
        <v>451</v>
      </c>
      <c r="C780" s="1" t="s">
        <v>21</v>
      </c>
      <c r="D780" s="35">
        <v>44853</v>
      </c>
      <c r="E780" s="1" t="s">
        <v>106</v>
      </c>
      <c r="F780" s="2">
        <v>10913</v>
      </c>
      <c r="G780" s="2">
        <v>5408</v>
      </c>
      <c r="H780" s="2">
        <v>17457</v>
      </c>
      <c r="I780" s="5">
        <v>0.39583333333333331</v>
      </c>
      <c r="J780" s="5">
        <v>0.41319444444444442</v>
      </c>
      <c r="K780" s="32">
        <f>_xlfn.MAXIFS(ConsumoConcreto[Fim do Bombeamento],ConsumoConcreto[RecebimentoID],RecebimentoConcreto[[#This Row],[RecebimentoID]])</f>
        <v>0.4375</v>
      </c>
      <c r="L780" s="1">
        <v>14</v>
      </c>
      <c r="M780" s="37">
        <v>36892</v>
      </c>
      <c r="N780" s="5" t="s">
        <v>1801</v>
      </c>
      <c r="O780" s="9">
        <v>7</v>
      </c>
      <c r="P780" s="5" t="s">
        <v>26</v>
      </c>
      <c r="Q780" s="2">
        <v>6</v>
      </c>
      <c r="R780" s="5" t="s">
        <v>27</v>
      </c>
      <c r="S780" s="5" t="s">
        <v>32</v>
      </c>
      <c r="T780" s="39">
        <v>460</v>
      </c>
    </row>
    <row r="781" spans="1:20" ht="20.100000000000001" hidden="1" customHeight="1" x14ac:dyDescent="0.25">
      <c r="A781" s="26" t="str">
        <f>CONCATENATE(RIGHT(LEFT(RecebimentoConcreto[[#This Row],[Obra]],5),4),"RCBC",TEXT(RecebimentoConcreto[[#This Row],[Ordem]],"0000"))</f>
        <v>0184RCBC0452</v>
      </c>
      <c r="B781" s="1">
        <v>452</v>
      </c>
      <c r="C781" s="1" t="s">
        <v>21</v>
      </c>
      <c r="D781" s="35">
        <v>44875</v>
      </c>
      <c r="E781" s="1" t="s">
        <v>36</v>
      </c>
      <c r="F781" s="2">
        <v>18882</v>
      </c>
      <c r="G781" s="2">
        <v>5408</v>
      </c>
      <c r="H781" s="2">
        <v>17935</v>
      </c>
      <c r="I781" s="5">
        <v>0.63541666666666663</v>
      </c>
      <c r="J781" s="5">
        <v>0.67361111111111116</v>
      </c>
      <c r="K781" s="32">
        <f>_xlfn.MAXIFS(ConsumoConcreto[Fim do Bombeamento],ConsumoConcreto[RecebimentoID],RecebimentoConcreto[[#This Row],[RecebimentoID]])</f>
        <v>0.70138888888888884</v>
      </c>
      <c r="L781" s="1">
        <v>13</v>
      </c>
      <c r="M781" s="37">
        <v>36892</v>
      </c>
      <c r="N781" s="5" t="s">
        <v>1801</v>
      </c>
      <c r="O781" s="9">
        <v>7</v>
      </c>
      <c r="P781" s="5" t="s">
        <v>26</v>
      </c>
      <c r="Q781" s="2">
        <v>6</v>
      </c>
      <c r="R781" s="5" t="s">
        <v>27</v>
      </c>
      <c r="S781" s="5" t="s">
        <v>32</v>
      </c>
      <c r="T781" s="39">
        <v>470</v>
      </c>
    </row>
    <row r="782" spans="1:20" ht="20.100000000000001" hidden="1" customHeight="1" x14ac:dyDescent="0.25">
      <c r="A782" s="26" t="str">
        <f>CONCATENATE(RIGHT(LEFT(RecebimentoConcreto[[#This Row],[Obra]],5),4),"RCBC",TEXT(RecebimentoConcreto[[#This Row],[Ordem]],"0000"))</f>
        <v>0184RCBC0453</v>
      </c>
      <c r="B782" s="1">
        <v>453</v>
      </c>
      <c r="C782" s="1" t="s">
        <v>21</v>
      </c>
      <c r="D782" s="35">
        <v>44877</v>
      </c>
      <c r="E782" s="1" t="s">
        <v>1861</v>
      </c>
      <c r="F782" s="2">
        <v>13039</v>
      </c>
      <c r="G782" s="2">
        <v>5408</v>
      </c>
      <c r="H782" s="2">
        <v>17993</v>
      </c>
      <c r="I782" s="5">
        <v>0.61458333333333337</v>
      </c>
      <c r="J782" s="5">
        <v>0.70138888888888884</v>
      </c>
      <c r="K782" s="32">
        <f>_xlfn.MAXIFS(ConsumoConcreto[Fim do Bombeamento],ConsumoConcreto[RecebimentoID],RecebimentoConcreto[[#This Row],[RecebimentoID]])</f>
        <v>0.72222222222222221</v>
      </c>
      <c r="L782" s="1">
        <v>13</v>
      </c>
      <c r="M782" s="37">
        <v>36892</v>
      </c>
      <c r="N782" s="5" t="s">
        <v>1801</v>
      </c>
      <c r="O782" s="9">
        <v>7</v>
      </c>
      <c r="P782" s="5" t="s">
        <v>26</v>
      </c>
      <c r="Q782" s="2">
        <v>6</v>
      </c>
      <c r="R782" s="5" t="s">
        <v>27</v>
      </c>
      <c r="S782" s="5" t="s">
        <v>32</v>
      </c>
      <c r="T782" s="39">
        <v>470</v>
      </c>
    </row>
    <row r="783" spans="1:20" ht="20.100000000000001" hidden="1" customHeight="1" x14ac:dyDescent="0.25">
      <c r="A783" s="26" t="str">
        <f>CONCATENATE(RIGHT(LEFT(RecebimentoConcreto[[#This Row],[Obra]],5),4),"RCBC",TEXT(RecebimentoConcreto[[#This Row],[Ordem]],"0000"))</f>
        <v>0184RCBC0454</v>
      </c>
      <c r="B783" s="1">
        <v>454</v>
      </c>
      <c r="C783" s="1" t="s">
        <v>21</v>
      </c>
      <c r="D783" s="35">
        <v>44877</v>
      </c>
      <c r="E783" s="1" t="s">
        <v>36</v>
      </c>
      <c r="F783" s="2">
        <v>13024</v>
      </c>
      <c r="G783" s="2">
        <v>5408</v>
      </c>
      <c r="H783" s="2">
        <v>17978</v>
      </c>
      <c r="I783" s="5">
        <v>0.40972222222222227</v>
      </c>
      <c r="J783" s="5">
        <v>0.43541666666666662</v>
      </c>
      <c r="K783" s="32">
        <f>_xlfn.MAXIFS(ConsumoConcreto[Fim do Bombeamento],ConsumoConcreto[RecebimentoID],RecebimentoConcreto[[#This Row],[RecebimentoID]])</f>
        <v>0.46527777777777773</v>
      </c>
      <c r="L783" s="1">
        <v>12</v>
      </c>
      <c r="M783" s="37">
        <v>36892</v>
      </c>
      <c r="N783" s="5" t="s">
        <v>1801</v>
      </c>
      <c r="O783" s="9">
        <v>7.5</v>
      </c>
      <c r="P783" s="5" t="s">
        <v>26</v>
      </c>
      <c r="Q783" s="2">
        <v>7</v>
      </c>
      <c r="R783" s="5" t="s">
        <v>27</v>
      </c>
      <c r="S783" s="5" t="s">
        <v>32</v>
      </c>
      <c r="T783" s="39">
        <v>470</v>
      </c>
    </row>
    <row r="784" spans="1:20" ht="20.100000000000001" hidden="1" customHeight="1" x14ac:dyDescent="0.25">
      <c r="A784" s="26" t="str">
        <f>CONCATENATE(RIGHT(LEFT(RecebimentoConcreto[[#This Row],[Obra]],5),4),"RCBC",TEXT(RecebimentoConcreto[[#This Row],[Ordem]],"0000"))</f>
        <v>0184RCBC0455</v>
      </c>
      <c r="B784" s="1">
        <v>455</v>
      </c>
      <c r="C784" s="1" t="s">
        <v>21</v>
      </c>
      <c r="D784" s="35">
        <v>44877</v>
      </c>
      <c r="E784" s="1" t="s">
        <v>37</v>
      </c>
      <c r="F784" s="2">
        <v>13030</v>
      </c>
      <c r="G784" s="2">
        <v>5408</v>
      </c>
      <c r="H784" s="2">
        <v>17984</v>
      </c>
      <c r="I784" s="5">
        <v>0.4861111111111111</v>
      </c>
      <c r="J784" s="5">
        <v>0.51041666666666663</v>
      </c>
      <c r="K784" s="32">
        <f>_xlfn.MAXIFS(ConsumoConcreto[Fim do Bombeamento],ConsumoConcreto[RecebimentoID],RecebimentoConcreto[[#This Row],[RecebimentoID]])</f>
        <v>0.52430555555555558</v>
      </c>
      <c r="L784" s="1">
        <v>13</v>
      </c>
      <c r="M784" s="37">
        <v>36892</v>
      </c>
      <c r="N784" s="5" t="s">
        <v>1801</v>
      </c>
      <c r="O784" s="9">
        <v>7</v>
      </c>
      <c r="P784" s="5" t="s">
        <v>26</v>
      </c>
      <c r="Q784" s="2">
        <v>7</v>
      </c>
      <c r="R784" s="5" t="s">
        <v>27</v>
      </c>
      <c r="S784" s="5" t="s">
        <v>32</v>
      </c>
      <c r="T784" s="39">
        <v>470</v>
      </c>
    </row>
    <row r="785" spans="1:20" ht="20.100000000000001" hidden="1" customHeight="1" x14ac:dyDescent="0.25">
      <c r="A785" s="26" t="str">
        <f>CONCATENATE(RIGHT(LEFT(RecebimentoConcreto[[#This Row],[Obra]],5),4),"RCBC",TEXT(RecebimentoConcreto[[#This Row],[Ordem]],"0000"))</f>
        <v>0184RCBC0469</v>
      </c>
      <c r="B785" s="1">
        <v>469</v>
      </c>
      <c r="C785" s="1" t="s">
        <v>21</v>
      </c>
      <c r="D785" s="35">
        <v>44854</v>
      </c>
      <c r="E785" s="1" t="s">
        <v>36</v>
      </c>
      <c r="F785" s="2">
        <v>10957</v>
      </c>
      <c r="G785" s="2">
        <v>5408</v>
      </c>
      <c r="H785" s="2">
        <v>17502</v>
      </c>
      <c r="I785" s="5">
        <v>0.67708333333333337</v>
      </c>
      <c r="J785" s="5">
        <v>0.69444444444444453</v>
      </c>
      <c r="K785" s="32">
        <f>_xlfn.MAXIFS(ConsumoConcreto[Fim do Bombeamento],ConsumoConcreto[RecebimentoID],RecebimentoConcreto[[#This Row],[RecebimentoID]])</f>
        <v>0.72083333333333333</v>
      </c>
      <c r="L785" s="1">
        <v>13</v>
      </c>
      <c r="M785" s="37">
        <v>36892</v>
      </c>
      <c r="N785" s="5" t="s">
        <v>1801</v>
      </c>
      <c r="O785" s="9">
        <v>7</v>
      </c>
      <c r="P785" s="5" t="s">
        <v>26</v>
      </c>
      <c r="Q785" s="2">
        <v>6</v>
      </c>
      <c r="R785" s="5" t="s">
        <v>27</v>
      </c>
      <c r="S785" s="5" t="s">
        <v>32</v>
      </c>
      <c r="T785" s="39">
        <v>460</v>
      </c>
    </row>
    <row r="786" spans="1:20" ht="20.100000000000001" hidden="1" customHeight="1" x14ac:dyDescent="0.25">
      <c r="A786" s="26" t="str">
        <f>CONCATENATE(RIGHT(LEFT(RecebimentoConcreto[[#This Row],[Obra]],5),4),"RCBC",TEXT(RecebimentoConcreto[[#This Row],[Ordem]],"0000"))</f>
        <v>0184RCBC0470</v>
      </c>
      <c r="B786" s="1">
        <v>470</v>
      </c>
      <c r="C786" s="1" t="s">
        <v>21</v>
      </c>
      <c r="D786" s="35">
        <v>44854</v>
      </c>
      <c r="E786" s="1" t="s">
        <v>1861</v>
      </c>
      <c r="F786" s="2">
        <v>10950</v>
      </c>
      <c r="G786" s="2">
        <v>5408</v>
      </c>
      <c r="H786" s="2">
        <v>17494</v>
      </c>
      <c r="I786" s="5">
        <v>0.56944444444444442</v>
      </c>
      <c r="J786" s="5">
        <v>0.60416666666666663</v>
      </c>
      <c r="K786" s="32">
        <f>_xlfn.MAXIFS(ConsumoConcreto[Fim do Bombeamento],ConsumoConcreto[RecebimentoID],RecebimentoConcreto[[#This Row],[RecebimentoID]])</f>
        <v>0.63194444444444442</v>
      </c>
      <c r="L786" s="1">
        <v>12</v>
      </c>
      <c r="M786" s="37">
        <v>36892</v>
      </c>
      <c r="N786" s="5" t="s">
        <v>1801</v>
      </c>
      <c r="O786" s="9">
        <v>5.5</v>
      </c>
      <c r="P786" s="5" t="s">
        <v>26</v>
      </c>
      <c r="Q786" s="2">
        <v>6</v>
      </c>
      <c r="R786" s="5" t="s">
        <v>27</v>
      </c>
      <c r="S786" s="5" t="s">
        <v>32</v>
      </c>
      <c r="T786" s="39">
        <v>460</v>
      </c>
    </row>
    <row r="787" spans="1:20" ht="20.100000000000001" hidden="1" customHeight="1" x14ac:dyDescent="0.25">
      <c r="A787" s="26" t="str">
        <f>CONCATENATE(RIGHT(LEFT(RecebimentoConcreto[[#This Row],[Obra]],5),4),"RCBC",TEXT(RecebimentoConcreto[[#This Row],[Ordem]],"0000"))</f>
        <v>0184RCBC0471</v>
      </c>
      <c r="B787" s="1">
        <v>471</v>
      </c>
      <c r="C787" s="1" t="s">
        <v>21</v>
      </c>
      <c r="D787" s="35">
        <v>44854</v>
      </c>
      <c r="E787" s="1" t="s">
        <v>1859</v>
      </c>
      <c r="F787" s="2">
        <v>10944</v>
      </c>
      <c r="G787" s="2">
        <v>5408</v>
      </c>
      <c r="H787" s="2">
        <v>17488</v>
      </c>
      <c r="I787" s="5">
        <v>0.40625</v>
      </c>
      <c r="J787" s="5">
        <v>0.4375</v>
      </c>
      <c r="K787" s="32">
        <f>_xlfn.MAXIFS(ConsumoConcreto[Fim do Bombeamento],ConsumoConcreto[RecebimentoID],RecebimentoConcreto[[#This Row],[RecebimentoID]])</f>
        <v>0.46527777777777773</v>
      </c>
      <c r="L787" s="1">
        <v>14</v>
      </c>
      <c r="M787" s="37">
        <v>36892</v>
      </c>
      <c r="N787" s="5" t="s">
        <v>1801</v>
      </c>
      <c r="O787" s="9">
        <v>5.5</v>
      </c>
      <c r="P787" s="5" t="s">
        <v>26</v>
      </c>
      <c r="Q787" s="2">
        <v>6</v>
      </c>
      <c r="R787" s="5" t="s">
        <v>27</v>
      </c>
      <c r="S787" s="5" t="s">
        <v>32</v>
      </c>
      <c r="T787" s="39">
        <v>460</v>
      </c>
    </row>
    <row r="788" spans="1:20" ht="20.100000000000001" hidden="1" customHeight="1" x14ac:dyDescent="0.25">
      <c r="A788" s="26" t="str">
        <f>CONCATENATE(RIGHT(LEFT(RecebimentoConcreto[[#This Row],[Obra]],5),4),"RCBC",TEXT(RecebimentoConcreto[[#This Row],[Ordem]],"0000"))</f>
        <v>0184RCBC0472</v>
      </c>
      <c r="B788" s="1">
        <v>472</v>
      </c>
      <c r="C788" s="1" t="s">
        <v>21</v>
      </c>
      <c r="D788" s="35">
        <v>44854</v>
      </c>
      <c r="E788" s="1" t="s">
        <v>38</v>
      </c>
      <c r="F788" s="2">
        <v>10948</v>
      </c>
      <c r="G788" s="2">
        <v>5408</v>
      </c>
      <c r="H788" s="2">
        <v>17492</v>
      </c>
      <c r="I788" s="5">
        <v>0.46527777777777773</v>
      </c>
      <c r="J788" s="5">
        <v>0.47916666666666669</v>
      </c>
      <c r="K788" s="32">
        <f>_xlfn.MAXIFS(ConsumoConcreto[Fim do Bombeamento],ConsumoConcreto[RecebimentoID],RecebimentoConcreto[[#This Row],[RecebimentoID]])</f>
        <v>0.50694444444444442</v>
      </c>
      <c r="L788" s="1">
        <v>13</v>
      </c>
      <c r="M788" s="37">
        <v>36892</v>
      </c>
      <c r="N788" s="5" t="s">
        <v>1801</v>
      </c>
      <c r="O788" s="9">
        <v>5.5</v>
      </c>
      <c r="P788" s="5" t="s">
        <v>26</v>
      </c>
      <c r="Q788" s="2">
        <v>6</v>
      </c>
      <c r="R788" s="5" t="s">
        <v>27</v>
      </c>
      <c r="S788" s="5" t="s">
        <v>32</v>
      </c>
      <c r="T788" s="39">
        <v>460</v>
      </c>
    </row>
    <row r="789" spans="1:20" ht="20.100000000000001" hidden="1" customHeight="1" x14ac:dyDescent="0.25">
      <c r="A789" s="26" t="str">
        <f>CONCATENATE(RIGHT(LEFT(RecebimentoConcreto[[#This Row],[Obra]],5),4),"RCBC",TEXT(RecebimentoConcreto[[#This Row],[Ordem]],"0000"))</f>
        <v>0184RCBC0473</v>
      </c>
      <c r="B789" s="1">
        <v>473</v>
      </c>
      <c r="C789" s="1" t="s">
        <v>21</v>
      </c>
      <c r="D789" s="35">
        <v>44855</v>
      </c>
      <c r="E789" s="1" t="s">
        <v>36</v>
      </c>
      <c r="F789" s="2">
        <v>10980</v>
      </c>
      <c r="G789" s="2">
        <v>5408</v>
      </c>
      <c r="H789" s="2">
        <v>17525</v>
      </c>
      <c r="I789" s="5">
        <v>0.54861111111111105</v>
      </c>
      <c r="J789" s="5">
        <v>0.56944444444444442</v>
      </c>
      <c r="K789" s="32">
        <f>_xlfn.MAXIFS(ConsumoConcreto[Fim do Bombeamento],ConsumoConcreto[RecebimentoID],RecebimentoConcreto[[#This Row],[RecebimentoID]])</f>
        <v>0.59583333333333333</v>
      </c>
      <c r="L789" s="1">
        <v>8</v>
      </c>
      <c r="M789" s="37">
        <v>36892</v>
      </c>
      <c r="N789" s="5" t="s">
        <v>1801</v>
      </c>
      <c r="O789" s="9">
        <v>5.5</v>
      </c>
      <c r="P789" s="5" t="s">
        <v>26</v>
      </c>
      <c r="Q789" s="2">
        <v>6</v>
      </c>
      <c r="R789" s="5" t="s">
        <v>27</v>
      </c>
      <c r="S789" s="5" t="s">
        <v>32</v>
      </c>
      <c r="T789" s="39">
        <v>460</v>
      </c>
    </row>
    <row r="790" spans="1:20" ht="20.100000000000001" hidden="1" customHeight="1" x14ac:dyDescent="0.25">
      <c r="A790" s="26" t="str">
        <f>CONCATENATE(RIGHT(LEFT(RecebimentoConcreto[[#This Row],[Obra]],5),4),"RCBC",TEXT(RecebimentoConcreto[[#This Row],[Ordem]],"0000"))</f>
        <v>0184RCBC0474</v>
      </c>
      <c r="B790" s="1">
        <v>474</v>
      </c>
      <c r="C790" s="1" t="s">
        <v>21</v>
      </c>
      <c r="D790" s="35">
        <v>44855</v>
      </c>
      <c r="E790" s="1" t="s">
        <v>1859</v>
      </c>
      <c r="F790" s="2">
        <v>10983</v>
      </c>
      <c r="G790" s="2">
        <v>5408</v>
      </c>
      <c r="H790" s="2">
        <v>17528</v>
      </c>
      <c r="I790" s="5">
        <v>0.58333333333333337</v>
      </c>
      <c r="J790" s="5">
        <v>0.60416666666666663</v>
      </c>
      <c r="K790" s="32">
        <f>_xlfn.MAXIFS(ConsumoConcreto[Fim do Bombeamento],ConsumoConcreto[RecebimentoID],RecebimentoConcreto[[#This Row],[RecebimentoID]])</f>
        <v>0.625</v>
      </c>
      <c r="L790" s="1">
        <v>12</v>
      </c>
      <c r="M790" s="37">
        <v>36892</v>
      </c>
      <c r="N790" s="5" t="s">
        <v>1801</v>
      </c>
      <c r="O790" s="9">
        <v>5.5</v>
      </c>
      <c r="P790" s="5" t="s">
        <v>26</v>
      </c>
      <c r="Q790" s="2">
        <v>6</v>
      </c>
      <c r="R790" s="5" t="s">
        <v>27</v>
      </c>
      <c r="S790" s="5" t="s">
        <v>32</v>
      </c>
      <c r="T790" s="39">
        <v>460</v>
      </c>
    </row>
    <row r="791" spans="1:20" ht="20.100000000000001" hidden="1" customHeight="1" x14ac:dyDescent="0.25">
      <c r="A791" s="26" t="str">
        <f>CONCATENATE(RIGHT(LEFT(RecebimentoConcreto[[#This Row],[Obra]],5),4),"RCBC",TEXT(RecebimentoConcreto[[#This Row],[Ordem]],"0000"))</f>
        <v>0184RCBC0475</v>
      </c>
      <c r="B791" s="1">
        <v>475</v>
      </c>
      <c r="C791" s="1" t="s">
        <v>21</v>
      </c>
      <c r="D791" s="35">
        <v>44855</v>
      </c>
      <c r="E791" s="1" t="s">
        <v>1859</v>
      </c>
      <c r="F791" s="2">
        <v>10987</v>
      </c>
      <c r="G791" s="2">
        <v>5408</v>
      </c>
      <c r="H791" s="2">
        <v>17532</v>
      </c>
      <c r="I791" s="5">
        <v>0.66666666666666663</v>
      </c>
      <c r="J791" s="5">
        <v>0.68055555555555547</v>
      </c>
      <c r="K791" s="32">
        <f>_xlfn.MAXIFS(ConsumoConcreto[Fim do Bombeamento],ConsumoConcreto[RecebimentoID],RecebimentoConcreto[[#This Row],[RecebimentoID]])</f>
        <v>0.70138888888888884</v>
      </c>
      <c r="L791" s="1">
        <v>13</v>
      </c>
      <c r="M791" s="37">
        <v>36892</v>
      </c>
      <c r="N791" s="5" t="s">
        <v>1801</v>
      </c>
      <c r="O791" s="9">
        <v>5.5</v>
      </c>
      <c r="P791" s="5" t="s">
        <v>26</v>
      </c>
      <c r="Q791" s="2">
        <v>6</v>
      </c>
      <c r="R791" s="5" t="s">
        <v>27</v>
      </c>
      <c r="S791" s="5" t="s">
        <v>32</v>
      </c>
      <c r="T791" s="39">
        <v>460</v>
      </c>
    </row>
    <row r="792" spans="1:20" ht="20.100000000000001" hidden="1" customHeight="1" x14ac:dyDescent="0.25">
      <c r="A792" s="26" t="str">
        <f>CONCATENATE(RIGHT(LEFT(RecebimentoConcreto[[#This Row],[Obra]],5),4),"RCBC",TEXT(RecebimentoConcreto[[#This Row],[Ordem]],"0000"))</f>
        <v>0184RCBC0476</v>
      </c>
      <c r="B792" s="1">
        <v>476</v>
      </c>
      <c r="C792" s="1" t="s">
        <v>21</v>
      </c>
      <c r="D792" s="35">
        <v>44858</v>
      </c>
      <c r="E792" s="1" t="s">
        <v>36</v>
      </c>
      <c r="F792" s="2">
        <v>10325</v>
      </c>
      <c r="G792" s="2">
        <v>5408</v>
      </c>
      <c r="H792" s="2">
        <v>17571</v>
      </c>
      <c r="I792" s="5">
        <v>0.3888888888888889</v>
      </c>
      <c r="J792" s="5">
        <v>0.43055555555555558</v>
      </c>
      <c r="K792" s="32">
        <f>_xlfn.MAXIFS(ConsumoConcreto[Fim do Bombeamento],ConsumoConcreto[RecebimentoID],RecebimentoConcreto[[#This Row],[RecebimentoID]])</f>
        <v>0.44444444444444442</v>
      </c>
      <c r="L792" s="1">
        <v>13</v>
      </c>
      <c r="M792" s="37">
        <v>36892</v>
      </c>
      <c r="N792" s="5" t="s">
        <v>1801</v>
      </c>
      <c r="O792" s="9">
        <v>5.5</v>
      </c>
      <c r="P792" s="5" t="s">
        <v>26</v>
      </c>
      <c r="Q792" s="2">
        <v>6</v>
      </c>
      <c r="R792" s="5" t="s">
        <v>27</v>
      </c>
      <c r="S792" s="5" t="s">
        <v>32</v>
      </c>
      <c r="T792" s="39">
        <v>460</v>
      </c>
    </row>
    <row r="793" spans="1:20" ht="20.100000000000001" hidden="1" customHeight="1" x14ac:dyDescent="0.25">
      <c r="A793" s="26" t="str">
        <f>CONCATENATE(RIGHT(LEFT(RecebimentoConcreto[[#This Row],[Obra]],5),4),"RCBC",TEXT(RecebimentoConcreto[[#This Row],[Ordem]],"0000"))</f>
        <v>0184RCBC0477</v>
      </c>
      <c r="B793" s="1">
        <v>477</v>
      </c>
      <c r="C793" s="1" t="s">
        <v>21</v>
      </c>
      <c r="D793" s="35">
        <v>44858</v>
      </c>
      <c r="E793" s="1" t="s">
        <v>106</v>
      </c>
      <c r="F793" s="2">
        <v>10328</v>
      </c>
      <c r="G793" s="2">
        <v>5408</v>
      </c>
      <c r="H793" s="2">
        <v>17575</v>
      </c>
      <c r="I793" s="5">
        <v>0.45833333333333331</v>
      </c>
      <c r="J793" s="5">
        <v>0.47916666666666669</v>
      </c>
      <c r="K793" s="32">
        <f>_xlfn.MAXIFS(ConsumoConcreto[Fim do Bombeamento],ConsumoConcreto[RecebimentoID],RecebimentoConcreto[[#This Row],[RecebimentoID]])</f>
        <v>0.51041666666666663</v>
      </c>
      <c r="L793" s="1">
        <v>14</v>
      </c>
      <c r="M793" s="37">
        <v>36892</v>
      </c>
      <c r="N793" s="5" t="s">
        <v>1801</v>
      </c>
      <c r="O793" s="9">
        <v>5.5</v>
      </c>
      <c r="P793" s="5" t="s">
        <v>26</v>
      </c>
      <c r="Q793" s="2">
        <v>6</v>
      </c>
      <c r="R793" s="5" t="s">
        <v>27</v>
      </c>
      <c r="S793" s="5" t="s">
        <v>32</v>
      </c>
      <c r="T793" s="39">
        <v>460</v>
      </c>
    </row>
    <row r="794" spans="1:20" ht="20.100000000000001" hidden="1" customHeight="1" x14ac:dyDescent="0.25">
      <c r="A794" s="26" t="str">
        <f>CONCATENATE(RIGHT(LEFT(RecebimentoConcreto[[#This Row],[Obra]],5),4),"RCBC",TEXT(RecebimentoConcreto[[#This Row],[Ordem]],"0000"))</f>
        <v>0184RCBC0478</v>
      </c>
      <c r="B794" s="1">
        <v>478</v>
      </c>
      <c r="C794" s="1" t="s">
        <v>21</v>
      </c>
      <c r="D794" s="35">
        <v>44858</v>
      </c>
      <c r="E794" s="1" t="s">
        <v>1861</v>
      </c>
      <c r="F794" s="2">
        <v>10341</v>
      </c>
      <c r="G794" s="2">
        <v>5408</v>
      </c>
      <c r="H794" s="2">
        <v>17584</v>
      </c>
      <c r="I794" s="5">
        <v>0.65625</v>
      </c>
      <c r="J794" s="5">
        <v>0.67708333333333337</v>
      </c>
      <c r="K794" s="32">
        <f>_xlfn.MAXIFS(ConsumoConcreto[Fim do Bombeamento],ConsumoConcreto[RecebimentoID],RecebimentoConcreto[[#This Row],[RecebimentoID]])</f>
        <v>0.69444444444444453</v>
      </c>
      <c r="L794" s="1">
        <v>14</v>
      </c>
      <c r="M794" s="37">
        <v>36892</v>
      </c>
      <c r="N794" s="5" t="s">
        <v>1801</v>
      </c>
      <c r="O794" s="9">
        <v>5.5</v>
      </c>
      <c r="P794" s="5" t="s">
        <v>26</v>
      </c>
      <c r="Q794" s="2">
        <v>6</v>
      </c>
      <c r="R794" s="5" t="s">
        <v>27</v>
      </c>
      <c r="S794" s="5" t="s">
        <v>32</v>
      </c>
      <c r="T794" s="39">
        <v>460</v>
      </c>
    </row>
    <row r="795" spans="1:20" ht="20.100000000000001" hidden="1" customHeight="1" x14ac:dyDescent="0.25">
      <c r="A795" s="26" t="str">
        <f>CONCATENATE(RIGHT(LEFT(RecebimentoConcreto[[#This Row],[Obra]],5),4),"RCBC",TEXT(RecebimentoConcreto[[#This Row],[Ordem]],"0000"))</f>
        <v>0184RCBC0479</v>
      </c>
      <c r="B795" s="1">
        <v>479</v>
      </c>
      <c r="C795" s="1" t="s">
        <v>21</v>
      </c>
      <c r="D795" s="35">
        <v>44858</v>
      </c>
      <c r="E795" s="1" t="s">
        <v>208</v>
      </c>
      <c r="F795" s="2">
        <v>10344</v>
      </c>
      <c r="G795" s="2">
        <v>5408</v>
      </c>
      <c r="H795" s="2">
        <v>17587</v>
      </c>
      <c r="I795" s="5">
        <v>0.69444444444444453</v>
      </c>
      <c r="J795" s="5">
        <v>0.71527777777777779</v>
      </c>
      <c r="K795" s="32">
        <f>_xlfn.MAXIFS(ConsumoConcreto[Fim do Bombeamento],ConsumoConcreto[RecebimentoID],RecebimentoConcreto[[#This Row],[RecebimentoID]])</f>
        <v>0.72916666666666663</v>
      </c>
      <c r="L795" s="1">
        <v>13</v>
      </c>
      <c r="M795" s="37">
        <v>36892</v>
      </c>
      <c r="N795" s="5" t="s">
        <v>1801</v>
      </c>
      <c r="O795" s="9">
        <v>5.5</v>
      </c>
      <c r="P795" s="5" t="s">
        <v>26</v>
      </c>
      <c r="Q795" s="2">
        <v>6</v>
      </c>
      <c r="R795" s="5" t="s">
        <v>27</v>
      </c>
      <c r="S795" s="5" t="s">
        <v>32</v>
      </c>
      <c r="T795" s="39">
        <v>460</v>
      </c>
    </row>
    <row r="796" spans="1:20" ht="20.100000000000001" hidden="1" customHeight="1" x14ac:dyDescent="0.25">
      <c r="A796" s="26" t="str">
        <f>CONCATENATE(RIGHT(LEFT(RecebimentoConcreto[[#This Row],[Obra]],5),4),"RCBC",TEXT(RecebimentoConcreto[[#This Row],[Ordem]],"0000"))</f>
        <v>0184RCBC0480</v>
      </c>
      <c r="B796" s="1">
        <v>480</v>
      </c>
      <c r="C796" s="1" t="s">
        <v>21</v>
      </c>
      <c r="D796" s="35">
        <v>44860</v>
      </c>
      <c r="E796" s="1" t="s">
        <v>1708</v>
      </c>
      <c r="F796" s="2">
        <v>10334</v>
      </c>
      <c r="G796" s="2">
        <v>5408</v>
      </c>
      <c r="H796" s="2">
        <v>17634</v>
      </c>
      <c r="I796" s="5">
        <v>0.3923611111111111</v>
      </c>
      <c r="J796" s="5">
        <v>0.40972222222222227</v>
      </c>
      <c r="K796" s="32">
        <f>_xlfn.MAXIFS(ConsumoConcreto[Fim do Bombeamento],ConsumoConcreto[RecebimentoID],RecebimentoConcreto[[#This Row],[RecebimentoID]])</f>
        <v>0.44305555555555554</v>
      </c>
      <c r="L796" s="1">
        <v>14</v>
      </c>
      <c r="M796" s="37">
        <v>36892</v>
      </c>
      <c r="N796" s="5" t="s">
        <v>1801</v>
      </c>
      <c r="O796" s="9">
        <v>7</v>
      </c>
      <c r="P796" s="5" t="s">
        <v>26</v>
      </c>
      <c r="Q796" s="2">
        <v>6</v>
      </c>
      <c r="R796" s="5" t="s">
        <v>27</v>
      </c>
      <c r="S796" s="5" t="s">
        <v>32</v>
      </c>
      <c r="T796" s="39">
        <v>470</v>
      </c>
    </row>
    <row r="797" spans="1:20" ht="20.100000000000001" hidden="1" customHeight="1" x14ac:dyDescent="0.25">
      <c r="A797" s="26" t="str">
        <f>CONCATENATE(RIGHT(LEFT(RecebimentoConcreto[[#This Row],[Obra]],5),4),"RCBC",TEXT(RecebimentoConcreto[[#This Row],[Ordem]],"0000"))</f>
        <v>0184RCBC0481</v>
      </c>
      <c r="B797" s="1">
        <v>481</v>
      </c>
      <c r="C797" s="1" t="s">
        <v>21</v>
      </c>
      <c r="D797" s="35">
        <v>44860</v>
      </c>
      <c r="E797" s="1" t="s">
        <v>106</v>
      </c>
      <c r="F797" s="2">
        <v>10386</v>
      </c>
      <c r="G797" s="2">
        <v>5408</v>
      </c>
      <c r="H797" s="2">
        <v>17636</v>
      </c>
      <c r="I797" s="5">
        <v>0.4236111111111111</v>
      </c>
      <c r="J797" s="5">
        <v>0.45694444444444443</v>
      </c>
      <c r="K797" s="32">
        <f>_xlfn.MAXIFS(ConsumoConcreto[Fim do Bombeamento],ConsumoConcreto[RecebimentoID],RecebimentoConcreto[[#This Row],[RecebimentoID]])</f>
        <v>0.4861111111111111</v>
      </c>
      <c r="L797" s="1">
        <v>12</v>
      </c>
      <c r="M797" s="37">
        <v>36892</v>
      </c>
      <c r="N797" s="5" t="s">
        <v>1801</v>
      </c>
      <c r="O797" s="9">
        <v>7</v>
      </c>
      <c r="P797" s="5" t="s">
        <v>26</v>
      </c>
      <c r="Q797" s="2">
        <v>6</v>
      </c>
      <c r="R797" s="5" t="s">
        <v>27</v>
      </c>
      <c r="S797" s="5" t="s">
        <v>32</v>
      </c>
      <c r="T797" s="39">
        <v>470</v>
      </c>
    </row>
    <row r="798" spans="1:20" ht="20.100000000000001" hidden="1" customHeight="1" x14ac:dyDescent="0.25">
      <c r="A798" s="26" t="str">
        <f>CONCATENATE(RIGHT(LEFT(RecebimentoConcreto[[#This Row],[Obra]],5),4),"RCBC",TEXT(RecebimentoConcreto[[#This Row],[Ordem]],"0000"))</f>
        <v>0184RCBC0482</v>
      </c>
      <c r="B798" s="1">
        <v>482</v>
      </c>
      <c r="C798" s="1" t="s">
        <v>21</v>
      </c>
      <c r="D798" s="35">
        <v>44860</v>
      </c>
      <c r="E798" s="1" t="s">
        <v>1859</v>
      </c>
      <c r="F798" s="2">
        <v>10387</v>
      </c>
      <c r="G798" s="2">
        <v>5408</v>
      </c>
      <c r="H798" s="2">
        <v>17637</v>
      </c>
      <c r="I798" s="5">
        <v>0.43402777777777773</v>
      </c>
      <c r="J798" s="5">
        <v>0.47222222222222227</v>
      </c>
      <c r="K798" s="32">
        <f>_xlfn.MAXIFS(ConsumoConcreto[Fim do Bombeamento],ConsumoConcreto[RecebimentoID],RecebimentoConcreto[[#This Row],[RecebimentoID]])</f>
        <v>0.49305555555555558</v>
      </c>
      <c r="L798" s="1">
        <v>14</v>
      </c>
      <c r="M798" s="37">
        <v>36892</v>
      </c>
      <c r="N798" s="5" t="s">
        <v>1801</v>
      </c>
      <c r="O798" s="9">
        <v>7</v>
      </c>
      <c r="P798" s="5" t="s">
        <v>26</v>
      </c>
      <c r="Q798" s="2">
        <v>6</v>
      </c>
      <c r="R798" s="5" t="s">
        <v>27</v>
      </c>
      <c r="S798" s="5" t="s">
        <v>32</v>
      </c>
      <c r="T798" s="39">
        <v>470</v>
      </c>
    </row>
    <row r="799" spans="1:20" ht="20.100000000000001" hidden="1" customHeight="1" x14ac:dyDescent="0.25">
      <c r="A799" s="26" t="str">
        <f>CONCATENATE(RIGHT(LEFT(RecebimentoConcreto[[#This Row],[Obra]],5),4),"RCBC",TEXT(RecebimentoConcreto[[#This Row],[Ordem]],"0000"))</f>
        <v>0184RCBC0483</v>
      </c>
      <c r="B799" s="1">
        <v>483</v>
      </c>
      <c r="C799" s="1" t="s">
        <v>21</v>
      </c>
      <c r="D799" s="35">
        <v>44860</v>
      </c>
      <c r="E799" s="1" t="s">
        <v>207</v>
      </c>
      <c r="F799" s="2">
        <v>10393</v>
      </c>
      <c r="G799" s="2">
        <v>5408</v>
      </c>
      <c r="H799" s="2">
        <v>17644</v>
      </c>
      <c r="I799" s="5">
        <v>0.57638888888888895</v>
      </c>
      <c r="J799" s="5">
        <v>0.59027777777777779</v>
      </c>
      <c r="K799" s="32">
        <f>_xlfn.MAXIFS(ConsumoConcreto[Fim do Bombeamento],ConsumoConcreto[RecebimentoID],RecebimentoConcreto[[#This Row],[RecebimentoID]])</f>
        <v>0.62847222222222221</v>
      </c>
      <c r="L799" s="1">
        <v>12</v>
      </c>
      <c r="M799" s="37">
        <v>36892</v>
      </c>
      <c r="N799" s="5" t="s">
        <v>1801</v>
      </c>
      <c r="O799" s="9">
        <v>7</v>
      </c>
      <c r="P799" s="5" t="s">
        <v>26</v>
      </c>
      <c r="Q799" s="2">
        <v>6</v>
      </c>
      <c r="R799" s="5" t="s">
        <v>27</v>
      </c>
      <c r="S799" s="5" t="s">
        <v>32</v>
      </c>
      <c r="T799" s="39">
        <v>470</v>
      </c>
    </row>
    <row r="800" spans="1:20" ht="20.100000000000001" hidden="1" customHeight="1" x14ac:dyDescent="0.25">
      <c r="A800" s="26" t="str">
        <f>CONCATENATE(RIGHT(LEFT(RecebimentoConcreto[[#This Row],[Obra]],5),4),"RCBC",TEXT(RecebimentoConcreto[[#This Row],[Ordem]],"0000"))</f>
        <v>0184RCBC0484</v>
      </c>
      <c r="B800" s="1">
        <v>484</v>
      </c>
      <c r="C800" s="1" t="s">
        <v>21</v>
      </c>
      <c r="D800" s="35">
        <v>44860</v>
      </c>
      <c r="E800" s="1" t="s">
        <v>1860</v>
      </c>
      <c r="F800" s="2">
        <v>10601</v>
      </c>
      <c r="G800" s="2">
        <v>5408</v>
      </c>
      <c r="H800" s="2">
        <v>17651</v>
      </c>
      <c r="I800" s="5">
        <v>0.66319444444444442</v>
      </c>
      <c r="J800" s="5">
        <v>0.6875</v>
      </c>
      <c r="K800" s="32">
        <f>_xlfn.MAXIFS(ConsumoConcreto[Fim do Bombeamento],ConsumoConcreto[RecebimentoID],RecebimentoConcreto[[#This Row],[RecebimentoID]])</f>
        <v>0.71527777777777779</v>
      </c>
      <c r="L800" s="1">
        <v>13.5</v>
      </c>
      <c r="M800" s="37">
        <v>36892</v>
      </c>
      <c r="N800" s="5" t="s">
        <v>1801</v>
      </c>
      <c r="O800" s="9">
        <v>7</v>
      </c>
      <c r="P800" s="5" t="s">
        <v>26</v>
      </c>
      <c r="Q800" s="2">
        <v>6</v>
      </c>
      <c r="R800" s="5" t="s">
        <v>27</v>
      </c>
      <c r="S800" s="5" t="s">
        <v>32</v>
      </c>
      <c r="T800" s="39">
        <v>470</v>
      </c>
    </row>
    <row r="801" spans="1:20" ht="20.100000000000001" hidden="1" customHeight="1" x14ac:dyDescent="0.25">
      <c r="A801" s="26" t="str">
        <f>CONCATENATE(RIGHT(LEFT(RecebimentoConcreto[[#This Row],[Obra]],5),4),"RCBC",TEXT(RecebimentoConcreto[[#This Row],[Ordem]],"0000"))</f>
        <v>0184RCBC0485</v>
      </c>
      <c r="B801" s="1">
        <v>485</v>
      </c>
      <c r="C801" s="1" t="s">
        <v>21</v>
      </c>
      <c r="D801" s="35">
        <v>44861</v>
      </c>
      <c r="E801" s="1" t="s">
        <v>36</v>
      </c>
      <c r="F801" s="2">
        <v>10623</v>
      </c>
      <c r="G801" s="2">
        <v>5408</v>
      </c>
      <c r="H801" s="2">
        <v>17674</v>
      </c>
      <c r="I801" s="5">
        <v>0.63194444444444442</v>
      </c>
      <c r="J801" s="5">
        <v>0.64583333333333337</v>
      </c>
      <c r="K801" s="32">
        <f>_xlfn.MAXIFS(ConsumoConcreto[Fim do Bombeamento],ConsumoConcreto[RecebimentoID],RecebimentoConcreto[[#This Row],[RecebimentoID]])</f>
        <v>0.66666666666666663</v>
      </c>
      <c r="L801" s="1">
        <v>13</v>
      </c>
      <c r="M801" s="37">
        <v>36892</v>
      </c>
      <c r="N801" s="5" t="s">
        <v>1801</v>
      </c>
      <c r="O801" s="9">
        <v>7</v>
      </c>
      <c r="P801" s="5" t="s">
        <v>26</v>
      </c>
      <c r="Q801" s="2">
        <v>6</v>
      </c>
      <c r="R801" s="5" t="s">
        <v>27</v>
      </c>
      <c r="S801" s="5" t="s">
        <v>32</v>
      </c>
      <c r="T801" s="39">
        <v>470</v>
      </c>
    </row>
    <row r="802" spans="1:20" ht="20.100000000000001" hidden="1" customHeight="1" x14ac:dyDescent="0.25">
      <c r="A802" s="26" t="str">
        <f>CONCATENATE(RIGHT(LEFT(RecebimentoConcreto[[#This Row],[Obra]],5),4),"RCBC",TEXT(RecebimentoConcreto[[#This Row],[Ordem]],"0000"))</f>
        <v>0184RCBC0486</v>
      </c>
      <c r="B802" s="1">
        <v>486</v>
      </c>
      <c r="C802" s="1" t="s">
        <v>21</v>
      </c>
      <c r="D802" s="35">
        <v>44862</v>
      </c>
      <c r="E802" s="1" t="s">
        <v>1861</v>
      </c>
      <c r="F802" s="2">
        <v>10644</v>
      </c>
      <c r="G802" s="2">
        <v>5408</v>
      </c>
      <c r="H802" s="2">
        <v>17695</v>
      </c>
      <c r="I802" s="5">
        <v>0.3611111111111111</v>
      </c>
      <c r="J802" s="5">
        <v>0.38194444444444442</v>
      </c>
      <c r="K802" s="32">
        <f>_xlfn.MAXIFS(ConsumoConcreto[Fim do Bombeamento],ConsumoConcreto[RecebimentoID],RecebimentoConcreto[[#This Row],[RecebimentoID]])</f>
        <v>0.40625</v>
      </c>
      <c r="L802" s="1">
        <v>13</v>
      </c>
      <c r="M802" s="37">
        <v>36892</v>
      </c>
      <c r="N802" s="5" t="s">
        <v>1801</v>
      </c>
      <c r="O802" s="9">
        <v>7</v>
      </c>
      <c r="P802" s="5" t="s">
        <v>26</v>
      </c>
      <c r="Q802" s="2">
        <v>7</v>
      </c>
      <c r="R802" s="5" t="s">
        <v>27</v>
      </c>
      <c r="S802" s="5" t="s">
        <v>32</v>
      </c>
      <c r="T802" s="39">
        <v>470</v>
      </c>
    </row>
    <row r="803" spans="1:20" ht="20.100000000000001" hidden="1" customHeight="1" x14ac:dyDescent="0.25">
      <c r="A803" s="26" t="str">
        <f>CONCATENATE(RIGHT(LEFT(RecebimentoConcreto[[#This Row],[Obra]],5),4),"RCBC",TEXT(RecebimentoConcreto[[#This Row],[Ordem]],"0000"))</f>
        <v>0184RCBC0487</v>
      </c>
      <c r="B803" s="1">
        <v>487</v>
      </c>
      <c r="C803" s="1" t="s">
        <v>21</v>
      </c>
      <c r="D803" s="35">
        <v>44862</v>
      </c>
      <c r="E803" s="1" t="s">
        <v>1862</v>
      </c>
      <c r="F803" s="2">
        <v>10645</v>
      </c>
      <c r="G803" s="2">
        <v>5408</v>
      </c>
      <c r="H803" s="2">
        <v>17696</v>
      </c>
      <c r="I803" s="5">
        <v>0.37152777777777773</v>
      </c>
      <c r="J803" s="5">
        <v>0.43055555555555558</v>
      </c>
      <c r="K803" s="32">
        <f>_xlfn.MAXIFS(ConsumoConcreto[Fim do Bombeamento],ConsumoConcreto[RecebimentoID],RecebimentoConcreto[[#This Row],[RecebimentoID]])</f>
        <v>0.46875</v>
      </c>
      <c r="L803" s="1">
        <v>12</v>
      </c>
      <c r="M803" s="37">
        <v>36892</v>
      </c>
      <c r="N803" s="5" t="s">
        <v>1801</v>
      </c>
      <c r="O803" s="9">
        <v>7</v>
      </c>
      <c r="P803" s="5" t="s">
        <v>26</v>
      </c>
      <c r="Q803" s="2">
        <v>7</v>
      </c>
      <c r="R803" s="5" t="s">
        <v>27</v>
      </c>
      <c r="S803" s="5" t="s">
        <v>32</v>
      </c>
      <c r="T803" s="39">
        <v>470</v>
      </c>
    </row>
    <row r="804" spans="1:20" ht="20.100000000000001" hidden="1" customHeight="1" x14ac:dyDescent="0.25">
      <c r="A804" s="26" t="str">
        <f>CONCATENATE(RIGHT(LEFT(RecebimentoConcreto[[#This Row],[Obra]],5),4),"RCBC",TEXT(RecebimentoConcreto[[#This Row],[Ordem]],"0000"))</f>
        <v>0184RCBC0488</v>
      </c>
      <c r="B804" s="1">
        <v>488</v>
      </c>
      <c r="C804" s="1" t="s">
        <v>21</v>
      </c>
      <c r="D804" s="35">
        <v>44862</v>
      </c>
      <c r="E804" s="1" t="s">
        <v>36</v>
      </c>
      <c r="F804" s="2">
        <v>10651</v>
      </c>
      <c r="G804" s="2">
        <v>5408</v>
      </c>
      <c r="H804" s="2">
        <v>17703</v>
      </c>
      <c r="I804" s="5">
        <v>0.44791666666666669</v>
      </c>
      <c r="J804" s="5">
        <v>0.47222222222222227</v>
      </c>
      <c r="K804" s="32">
        <f>_xlfn.MAXIFS(ConsumoConcreto[Fim do Bombeamento],ConsumoConcreto[RecebimentoID],RecebimentoConcreto[[#This Row],[RecebimentoID]])</f>
        <v>0.50694444444444442</v>
      </c>
      <c r="L804" s="1">
        <v>13</v>
      </c>
      <c r="M804" s="37">
        <v>36892</v>
      </c>
      <c r="N804" s="5" t="s">
        <v>1801</v>
      </c>
      <c r="O804" s="9">
        <v>7</v>
      </c>
      <c r="P804" s="5" t="s">
        <v>26</v>
      </c>
      <c r="Q804" s="2">
        <v>7</v>
      </c>
      <c r="R804" s="5" t="s">
        <v>27</v>
      </c>
      <c r="S804" s="5" t="s">
        <v>32</v>
      </c>
      <c r="T804" s="39">
        <v>470</v>
      </c>
    </row>
    <row r="805" spans="1:20" ht="20.100000000000001" hidden="1" customHeight="1" x14ac:dyDescent="0.25">
      <c r="A805" s="26" t="str">
        <f>CONCATENATE(RIGHT(LEFT(RecebimentoConcreto[[#This Row],[Obra]],5),4),"RCBC",TEXT(RecebimentoConcreto[[#This Row],[Ordem]],"0000"))</f>
        <v>0184RCBC0489</v>
      </c>
      <c r="B805" s="1">
        <v>489</v>
      </c>
      <c r="C805" s="1" t="s">
        <v>21</v>
      </c>
      <c r="D805" s="35">
        <v>44862</v>
      </c>
      <c r="E805" s="1" t="s">
        <v>1859</v>
      </c>
      <c r="F805" s="2">
        <v>10660</v>
      </c>
      <c r="G805" s="2">
        <v>5408</v>
      </c>
      <c r="H805" s="2">
        <v>17712</v>
      </c>
      <c r="I805" s="5">
        <v>0.63541666666666663</v>
      </c>
      <c r="J805" s="5">
        <v>0.65277777777777779</v>
      </c>
      <c r="K805" s="32">
        <f>_xlfn.MAXIFS(ConsumoConcreto[Fim do Bombeamento],ConsumoConcreto[RecebimentoID],RecebimentoConcreto[[#This Row],[RecebimentoID]])</f>
        <v>0.68402777777777779</v>
      </c>
      <c r="L805" s="1">
        <v>14</v>
      </c>
      <c r="M805" s="37">
        <v>36892</v>
      </c>
      <c r="N805" s="5" t="s">
        <v>1801</v>
      </c>
      <c r="O805" s="9">
        <v>7</v>
      </c>
      <c r="P805" s="5" t="s">
        <v>26</v>
      </c>
      <c r="Q805" s="2">
        <v>7</v>
      </c>
      <c r="R805" s="5" t="s">
        <v>27</v>
      </c>
      <c r="S805" s="5" t="s">
        <v>32</v>
      </c>
      <c r="T805" s="39">
        <v>470</v>
      </c>
    </row>
    <row r="806" spans="1:20" ht="20.100000000000001" hidden="1" customHeight="1" x14ac:dyDescent="0.25">
      <c r="A806" s="26" t="str">
        <f>CONCATENATE(RIGHT(LEFT(RecebimentoConcreto[[#This Row],[Obra]],5),4),"RCBC",TEXT(RecebimentoConcreto[[#This Row],[Ordem]],"0000"))</f>
        <v>0184RCBC0490</v>
      </c>
      <c r="B806" s="1">
        <v>490</v>
      </c>
      <c r="C806" s="1" t="s">
        <v>21</v>
      </c>
      <c r="D806" s="35">
        <v>44868</v>
      </c>
      <c r="E806" s="1" t="s">
        <v>37</v>
      </c>
      <c r="F806" s="2">
        <v>7603</v>
      </c>
      <c r="G806" s="2">
        <v>5408</v>
      </c>
      <c r="H806" s="2">
        <v>17778</v>
      </c>
      <c r="I806" s="5">
        <v>0.41666666666666669</v>
      </c>
      <c r="J806" s="5">
        <v>0.44097222222222227</v>
      </c>
      <c r="K806" s="32">
        <f>_xlfn.MAXIFS(ConsumoConcreto[Fim do Bombeamento],ConsumoConcreto[RecebimentoID],RecebimentoConcreto[[#This Row],[RecebimentoID]])</f>
        <v>0.4861111111111111</v>
      </c>
      <c r="L806" s="1">
        <v>13.5</v>
      </c>
      <c r="M806" s="37">
        <v>36892</v>
      </c>
      <c r="N806" s="5" t="s">
        <v>1801</v>
      </c>
      <c r="O806" s="9">
        <v>7</v>
      </c>
      <c r="P806" s="5" t="s">
        <v>26</v>
      </c>
      <c r="Q806" s="2">
        <v>7</v>
      </c>
      <c r="R806" s="5" t="s">
        <v>27</v>
      </c>
      <c r="S806" s="5" t="s">
        <v>32</v>
      </c>
      <c r="T806" s="39">
        <v>470</v>
      </c>
    </row>
    <row r="807" spans="1:20" ht="20.100000000000001" hidden="1" customHeight="1" x14ac:dyDescent="0.25">
      <c r="A807" s="26" t="str">
        <f>CONCATENATE(RIGHT(LEFT(RecebimentoConcreto[[#This Row],[Obra]],5),4),"RCBC",TEXT(RecebimentoConcreto[[#This Row],[Ordem]],"0000"))</f>
        <v>0184RCBC0491</v>
      </c>
      <c r="B807" s="1">
        <v>491</v>
      </c>
      <c r="C807" s="1" t="s">
        <v>21</v>
      </c>
      <c r="D807" s="35">
        <v>44868</v>
      </c>
      <c r="E807" s="1" t="s">
        <v>1861</v>
      </c>
      <c r="F807" s="2">
        <v>7613</v>
      </c>
      <c r="G807" s="2">
        <v>5408</v>
      </c>
      <c r="H807" s="2">
        <v>17787</v>
      </c>
      <c r="I807" s="5">
        <v>0.60763888888888895</v>
      </c>
      <c r="J807" s="5">
        <v>0.63194444444444442</v>
      </c>
      <c r="K807" s="32">
        <f>_xlfn.MAXIFS(ConsumoConcreto[Fim do Bombeamento],ConsumoConcreto[RecebimentoID],RecebimentoConcreto[[#This Row],[RecebimentoID]])</f>
        <v>0.66666666666666663</v>
      </c>
      <c r="L807" s="1">
        <v>12</v>
      </c>
      <c r="M807" s="37">
        <v>36892</v>
      </c>
      <c r="N807" s="5" t="s">
        <v>1801</v>
      </c>
      <c r="O807" s="9">
        <v>7</v>
      </c>
      <c r="P807" s="5" t="s">
        <v>26</v>
      </c>
      <c r="Q807" s="2">
        <v>7</v>
      </c>
      <c r="R807" s="5" t="s">
        <v>27</v>
      </c>
      <c r="S807" s="5" t="s">
        <v>32</v>
      </c>
      <c r="T807" s="39">
        <v>470</v>
      </c>
    </row>
    <row r="808" spans="1:20" ht="20.100000000000001" hidden="1" customHeight="1" x14ac:dyDescent="0.25">
      <c r="A808" s="26" t="str">
        <f>CONCATENATE(RIGHT(LEFT(RecebimentoConcreto[[#This Row],[Obra]],5),4),"RCBC",TEXT(RecebimentoConcreto[[#This Row],[Ordem]],"0000"))</f>
        <v>0184RCBC0492</v>
      </c>
      <c r="B808" s="1">
        <v>492</v>
      </c>
      <c r="C808" s="1" t="s">
        <v>21</v>
      </c>
      <c r="D808" s="35">
        <v>44902</v>
      </c>
      <c r="E808" s="1" t="s">
        <v>38</v>
      </c>
      <c r="F808" s="2">
        <v>12021</v>
      </c>
      <c r="G808" s="2">
        <v>5408</v>
      </c>
      <c r="H808" s="2">
        <v>18478</v>
      </c>
      <c r="I808" s="5">
        <v>0.6166666666666667</v>
      </c>
      <c r="J808" s="5">
        <v>0.64930555555555558</v>
      </c>
      <c r="K808" s="32">
        <f>_xlfn.MAXIFS(ConsumoConcreto[Fim do Bombeamento],ConsumoConcreto[RecebimentoID],RecebimentoConcreto[[#This Row],[RecebimentoID]])</f>
        <v>0.66666666666666663</v>
      </c>
      <c r="L808" s="1">
        <v>13</v>
      </c>
      <c r="M808" s="37">
        <v>36892</v>
      </c>
      <c r="N808" s="5" t="s">
        <v>1801</v>
      </c>
      <c r="O808" s="9">
        <v>5.5</v>
      </c>
      <c r="P808" s="5" t="s">
        <v>26</v>
      </c>
      <c r="Q808" s="2">
        <v>7</v>
      </c>
      <c r="R808" s="5" t="s">
        <v>27</v>
      </c>
      <c r="S808" s="5" t="s">
        <v>32</v>
      </c>
      <c r="T808" s="39">
        <v>470</v>
      </c>
    </row>
    <row r="809" spans="1:20" ht="20.100000000000001" hidden="1" customHeight="1" x14ac:dyDescent="0.25">
      <c r="A809" s="26" t="str">
        <f>CONCATENATE(RIGHT(LEFT(RecebimentoConcreto[[#This Row],[Obra]],5),4),"RCBC",TEXT(RecebimentoConcreto[[#This Row],[Ordem]],"0000"))</f>
        <v>0184RCBC0493</v>
      </c>
      <c r="B809" s="1">
        <v>493</v>
      </c>
      <c r="C809" s="1" t="s">
        <v>21</v>
      </c>
      <c r="D809" s="35">
        <v>44902</v>
      </c>
      <c r="E809" s="1" t="s">
        <v>208</v>
      </c>
      <c r="F809" s="2">
        <v>12022</v>
      </c>
      <c r="G809" s="2">
        <v>5408</v>
      </c>
      <c r="H809" s="2">
        <v>18479</v>
      </c>
      <c r="I809" s="5">
        <v>0.63194444444444442</v>
      </c>
      <c r="J809" s="5">
        <v>0.67361111111111116</v>
      </c>
      <c r="K809" s="32">
        <f>_xlfn.MAXIFS(ConsumoConcreto[Fim do Bombeamento],ConsumoConcreto[RecebimentoID],RecebimentoConcreto[[#This Row],[RecebimentoID]])</f>
        <v>0.69444444444444453</v>
      </c>
      <c r="L809" s="1">
        <v>13</v>
      </c>
      <c r="M809" s="37">
        <v>36892</v>
      </c>
      <c r="N809" s="5" t="s">
        <v>1801</v>
      </c>
      <c r="O809" s="9">
        <v>5.5</v>
      </c>
      <c r="P809" s="5" t="s">
        <v>26</v>
      </c>
      <c r="Q809" s="2">
        <v>7</v>
      </c>
      <c r="R809" s="5" t="s">
        <v>27</v>
      </c>
      <c r="S809" s="5" t="s">
        <v>32</v>
      </c>
      <c r="T809" s="39">
        <v>470</v>
      </c>
    </row>
    <row r="810" spans="1:20" ht="20.100000000000001" hidden="1" customHeight="1" x14ac:dyDescent="0.25">
      <c r="A810" s="26" t="str">
        <f>CONCATENATE(RIGHT(LEFT(RecebimentoConcreto[[#This Row],[Obra]],5),4),"RCBC",TEXT(RecebimentoConcreto[[#This Row],[Ordem]],"0000"))</f>
        <v>0184RCBC0494</v>
      </c>
      <c r="B810" s="1">
        <v>494</v>
      </c>
      <c r="C810" s="1" t="s">
        <v>21</v>
      </c>
      <c r="D810" s="35">
        <v>44903</v>
      </c>
      <c r="E810" s="1" t="s">
        <v>38</v>
      </c>
      <c r="F810" s="2">
        <v>12058</v>
      </c>
      <c r="G810" s="2">
        <v>5408</v>
      </c>
      <c r="H810" s="2">
        <v>18513</v>
      </c>
      <c r="I810" s="5">
        <v>0.69791666666666663</v>
      </c>
      <c r="J810" s="5">
        <v>0.71527777777777779</v>
      </c>
      <c r="K810" s="32">
        <f>_xlfn.MAXIFS(ConsumoConcreto[Fim do Bombeamento],ConsumoConcreto[RecebimentoID],RecebimentoConcreto[[#This Row],[RecebimentoID]])</f>
        <v>0.73472222222222217</v>
      </c>
      <c r="L810" s="1">
        <v>13</v>
      </c>
      <c r="M810" s="37">
        <v>36892</v>
      </c>
      <c r="N810" s="5" t="s">
        <v>1801</v>
      </c>
      <c r="O810" s="9">
        <v>5.5</v>
      </c>
      <c r="P810" s="5" t="s">
        <v>26</v>
      </c>
      <c r="Q810" s="2">
        <v>7</v>
      </c>
      <c r="R810" s="5" t="s">
        <v>27</v>
      </c>
      <c r="S810" s="5" t="s">
        <v>32</v>
      </c>
      <c r="T810" s="39">
        <v>470</v>
      </c>
    </row>
    <row r="811" spans="1:20" ht="20.100000000000001" hidden="1" customHeight="1" x14ac:dyDescent="0.25">
      <c r="A811" s="26" t="str">
        <f>CONCATENATE(RIGHT(LEFT(RecebimentoConcreto[[#This Row],[Obra]],5),4),"RCBC",TEXT(RecebimentoConcreto[[#This Row],[Ordem]],"0000"))</f>
        <v>0184RCBC0495</v>
      </c>
      <c r="B811" s="1">
        <v>495</v>
      </c>
      <c r="C811" s="1" t="s">
        <v>21</v>
      </c>
      <c r="D811" s="35">
        <v>44903</v>
      </c>
      <c r="E811" s="1" t="s">
        <v>1860</v>
      </c>
      <c r="F811" s="2">
        <v>12034</v>
      </c>
      <c r="G811" s="2">
        <v>5408</v>
      </c>
      <c r="H811" s="2">
        <v>18490</v>
      </c>
      <c r="I811" s="5">
        <v>0.37152777777777773</v>
      </c>
      <c r="J811" s="5">
        <v>0.41041666666666665</v>
      </c>
      <c r="K811" s="32">
        <f>_xlfn.MAXIFS(ConsumoConcreto[Fim do Bombeamento],ConsumoConcreto[RecebimentoID],RecebimentoConcreto[[#This Row],[RecebimentoID]])</f>
        <v>0.4236111111111111</v>
      </c>
      <c r="L811" s="1">
        <v>13</v>
      </c>
      <c r="M811" s="37">
        <v>36892</v>
      </c>
      <c r="N811" s="5" t="s">
        <v>1801</v>
      </c>
      <c r="O811" s="9">
        <v>5.5</v>
      </c>
      <c r="P811" s="5" t="s">
        <v>26</v>
      </c>
      <c r="Q811" s="2">
        <v>7</v>
      </c>
      <c r="R811" s="5" t="s">
        <v>27</v>
      </c>
      <c r="S811" s="5" t="s">
        <v>32</v>
      </c>
      <c r="T811" s="39">
        <v>470</v>
      </c>
    </row>
    <row r="812" spans="1:20" ht="20.100000000000001" hidden="1" customHeight="1" x14ac:dyDescent="0.25">
      <c r="A812" s="26" t="str">
        <f>CONCATENATE(RIGHT(LEFT(RecebimentoConcreto[[#This Row],[Obra]],5),4),"RCBC",TEXT(RecebimentoConcreto[[#This Row],[Ordem]],"0000"))</f>
        <v>0184RCBC0496</v>
      </c>
      <c r="B812" s="1">
        <v>496</v>
      </c>
      <c r="C812" s="1" t="s">
        <v>21</v>
      </c>
      <c r="D812" s="35">
        <v>44903</v>
      </c>
      <c r="E812" s="1" t="s">
        <v>208</v>
      </c>
      <c r="F812" s="2">
        <v>12057</v>
      </c>
      <c r="G812" s="2">
        <v>5408</v>
      </c>
      <c r="H812" s="2">
        <v>18512</v>
      </c>
      <c r="I812" s="5">
        <v>0.66666666666666663</v>
      </c>
      <c r="J812" s="5">
        <v>0.68194444444444446</v>
      </c>
      <c r="K812" s="32">
        <f>_xlfn.MAXIFS(ConsumoConcreto[Fim do Bombeamento],ConsumoConcreto[RecebimentoID],RecebimentoConcreto[[#This Row],[RecebimentoID]])</f>
        <v>0.69791666666666663</v>
      </c>
      <c r="L812" s="1">
        <v>13</v>
      </c>
      <c r="M812" s="37">
        <v>36892</v>
      </c>
      <c r="N812" s="5" t="s">
        <v>1801</v>
      </c>
      <c r="O812" s="9">
        <v>5.5</v>
      </c>
      <c r="P812" s="5" t="s">
        <v>26</v>
      </c>
      <c r="Q812" s="2">
        <v>7</v>
      </c>
      <c r="R812" s="5" t="s">
        <v>27</v>
      </c>
      <c r="S812" s="5" t="s">
        <v>32</v>
      </c>
      <c r="T812" s="39">
        <v>470</v>
      </c>
    </row>
    <row r="813" spans="1:20" ht="20.100000000000001" hidden="1" customHeight="1" x14ac:dyDescent="0.25">
      <c r="A813" s="26" t="str">
        <f>CONCATENATE(RIGHT(LEFT(RecebimentoConcreto[[#This Row],[Obra]],5),4),"RCBC",TEXT(RecebimentoConcreto[[#This Row],[Ordem]],"0000"))</f>
        <v>0184RCBC0497</v>
      </c>
      <c r="B813" s="1">
        <v>497</v>
      </c>
      <c r="C813" s="1" t="s">
        <v>21</v>
      </c>
      <c r="D813" s="35">
        <v>44903</v>
      </c>
      <c r="E813" s="1" t="s">
        <v>37</v>
      </c>
      <c r="F813" s="2">
        <v>12036</v>
      </c>
      <c r="G813" s="2">
        <v>5408</v>
      </c>
      <c r="H813" s="2">
        <v>18492</v>
      </c>
      <c r="I813" s="5">
        <v>0.39583333333333331</v>
      </c>
      <c r="J813" s="5">
        <v>0.44444444444444442</v>
      </c>
      <c r="K813" s="32">
        <f>_xlfn.MAXIFS(ConsumoConcreto[Fim do Bombeamento],ConsumoConcreto[RecebimentoID],RecebimentoConcreto[[#This Row],[RecebimentoID]])</f>
        <v>0.47222222222222227</v>
      </c>
      <c r="L813" s="1">
        <v>13</v>
      </c>
      <c r="M813" s="37">
        <v>36892</v>
      </c>
      <c r="N813" s="5" t="s">
        <v>1801</v>
      </c>
      <c r="O813" s="9">
        <v>5.5</v>
      </c>
      <c r="P813" s="5" t="s">
        <v>26</v>
      </c>
      <c r="Q813" s="2">
        <v>7</v>
      </c>
      <c r="R813" s="5" t="s">
        <v>27</v>
      </c>
      <c r="S813" s="5" t="s">
        <v>32</v>
      </c>
      <c r="T813" s="39">
        <v>470</v>
      </c>
    </row>
    <row r="814" spans="1:20" ht="20.100000000000001" hidden="1" customHeight="1" x14ac:dyDescent="0.25">
      <c r="A814" s="26" t="str">
        <f>CONCATENATE(RIGHT(LEFT(RecebimentoConcreto[[#This Row],[Obra]],5),4),"RCBC",TEXT(RecebimentoConcreto[[#This Row],[Ordem]],"0000"))</f>
        <v>0184RCBC0498</v>
      </c>
      <c r="B814" s="1">
        <v>498</v>
      </c>
      <c r="C814" s="1" t="s">
        <v>21</v>
      </c>
      <c r="D814" s="35">
        <v>44903</v>
      </c>
      <c r="E814" s="1" t="s">
        <v>1863</v>
      </c>
      <c r="F814" s="2">
        <v>12045</v>
      </c>
      <c r="G814" s="2">
        <v>5408</v>
      </c>
      <c r="H814" s="2">
        <v>18501</v>
      </c>
      <c r="I814" s="5">
        <v>0.51041666666666663</v>
      </c>
      <c r="J814" s="5">
        <v>0.55208333333333337</v>
      </c>
      <c r="K814" s="32">
        <f>_xlfn.MAXIFS(ConsumoConcreto[Fim do Bombeamento],ConsumoConcreto[RecebimentoID],RecebimentoConcreto[[#This Row],[RecebimentoID]])</f>
        <v>0.56944444444444442</v>
      </c>
      <c r="L814" s="1">
        <v>13</v>
      </c>
      <c r="M814" s="37">
        <v>36892</v>
      </c>
      <c r="N814" s="5" t="s">
        <v>1801</v>
      </c>
      <c r="O814" s="9">
        <v>5.5</v>
      </c>
      <c r="P814" s="5" t="s">
        <v>26</v>
      </c>
      <c r="Q814" s="2">
        <v>7</v>
      </c>
      <c r="R814" s="5" t="s">
        <v>27</v>
      </c>
      <c r="S814" s="5" t="s">
        <v>32</v>
      </c>
      <c r="T814" s="39">
        <v>470</v>
      </c>
    </row>
    <row r="815" spans="1:20" ht="20.100000000000001" hidden="1" customHeight="1" x14ac:dyDescent="0.25">
      <c r="A815" s="26" t="str">
        <f>CONCATENATE(RIGHT(LEFT(RecebimentoConcreto[[#This Row],[Obra]],5),4),"RCBC",TEXT(RecebimentoConcreto[[#This Row],[Ordem]],"0000"))</f>
        <v>0184RCBC0499</v>
      </c>
      <c r="B815" s="1">
        <v>499</v>
      </c>
      <c r="C815" s="1" t="s">
        <v>21</v>
      </c>
      <c r="D815" s="35">
        <v>44905</v>
      </c>
      <c r="E815" s="1" t="s">
        <v>1861</v>
      </c>
      <c r="F815" s="2">
        <v>12094</v>
      </c>
      <c r="G815" s="2">
        <v>5408</v>
      </c>
      <c r="H815" s="2">
        <v>18548</v>
      </c>
      <c r="I815" s="5">
        <v>0.59722222222222221</v>
      </c>
      <c r="J815" s="5">
        <v>0.61111111111111105</v>
      </c>
      <c r="K815" s="32">
        <f>_xlfn.MAXIFS(ConsumoConcreto[Fim do Bombeamento],ConsumoConcreto[RecebimentoID],RecebimentoConcreto[[#This Row],[RecebimentoID]])</f>
        <v>0.64236111111111105</v>
      </c>
      <c r="L815" s="1">
        <v>12</v>
      </c>
      <c r="M815" s="37">
        <v>36892</v>
      </c>
      <c r="N815" s="5" t="s">
        <v>1801</v>
      </c>
      <c r="O815" s="9">
        <v>6</v>
      </c>
      <c r="P815" s="5" t="s">
        <v>26</v>
      </c>
      <c r="Q815" s="2">
        <v>7</v>
      </c>
      <c r="R815" s="5" t="s">
        <v>27</v>
      </c>
      <c r="S815" s="5" t="s">
        <v>32</v>
      </c>
      <c r="T815" s="39">
        <v>470</v>
      </c>
    </row>
    <row r="816" spans="1:20" ht="20.100000000000001" hidden="1" customHeight="1" x14ac:dyDescent="0.25">
      <c r="A816" s="26" t="str">
        <f>CONCATENATE(RIGHT(LEFT(RecebimentoConcreto[[#This Row],[Obra]],5),4),"RCBC",TEXT(RecebimentoConcreto[[#This Row],[Ordem]],"0000"))</f>
        <v>0184RCBC0500</v>
      </c>
      <c r="B816" s="1">
        <v>500</v>
      </c>
      <c r="C816" s="1" t="s">
        <v>21</v>
      </c>
      <c r="D816" s="35">
        <v>44905</v>
      </c>
      <c r="E816" s="1" t="s">
        <v>37</v>
      </c>
      <c r="F816" s="2">
        <v>12088</v>
      </c>
      <c r="G816" s="2">
        <v>5408</v>
      </c>
      <c r="H816" s="2">
        <v>18543</v>
      </c>
      <c r="I816" s="5">
        <v>0.47916666666666669</v>
      </c>
      <c r="J816" s="5">
        <v>0.53749999999999998</v>
      </c>
      <c r="K816" s="32">
        <f>_xlfn.MAXIFS(ConsumoConcreto[Fim do Bombeamento],ConsumoConcreto[RecebimentoID],RecebimentoConcreto[[#This Row],[RecebimentoID]])</f>
        <v>0.57291666666666663</v>
      </c>
      <c r="L816" s="1">
        <v>13</v>
      </c>
      <c r="M816" s="37">
        <v>36892</v>
      </c>
      <c r="N816" s="5" t="s">
        <v>1801</v>
      </c>
      <c r="O816" s="9">
        <v>5.5</v>
      </c>
      <c r="P816" s="5" t="s">
        <v>26</v>
      </c>
      <c r="Q816" s="2">
        <v>7</v>
      </c>
      <c r="R816" s="5" t="s">
        <v>27</v>
      </c>
      <c r="S816" s="5" t="s">
        <v>32</v>
      </c>
      <c r="T816" s="39">
        <v>470</v>
      </c>
    </row>
    <row r="817" spans="1:20" ht="20.100000000000001" hidden="1" customHeight="1" x14ac:dyDescent="0.25">
      <c r="A817" s="26" t="str">
        <f>CONCATENATE(RIGHT(LEFT(RecebimentoConcreto[[#This Row],[Obra]],5),4),"RCBC",TEXT(RecebimentoConcreto[[#This Row],[Ordem]],"0000"))</f>
        <v>0184RCBC0535</v>
      </c>
      <c r="B817" s="1">
        <v>535</v>
      </c>
      <c r="C817" s="1" t="s">
        <v>21</v>
      </c>
      <c r="D817" s="35">
        <v>45077</v>
      </c>
      <c r="E817" s="1" t="s">
        <v>1864</v>
      </c>
      <c r="F817" s="2" t="s">
        <v>1865</v>
      </c>
      <c r="G817" s="2">
        <v>5746</v>
      </c>
      <c r="H817" s="2" t="s">
        <v>1866</v>
      </c>
      <c r="I817" s="5" t="s">
        <v>1867</v>
      </c>
      <c r="J817" s="5">
        <v>0.71180555555555547</v>
      </c>
      <c r="K817" s="32">
        <f>_xlfn.MAXIFS(ConsumoConcreto[Fim do Bombeamento],ConsumoConcreto[RecebimentoID],RecebimentoConcreto[[#This Row],[RecebimentoID]])</f>
        <v>0.74513888888888891</v>
      </c>
      <c r="L817" s="1" t="s">
        <v>1868</v>
      </c>
      <c r="M817" s="37">
        <v>36892</v>
      </c>
      <c r="N817" s="5" t="s">
        <v>1801</v>
      </c>
      <c r="O817" s="9">
        <v>9.5</v>
      </c>
      <c r="P817" s="5" t="s">
        <v>26</v>
      </c>
      <c r="Q817" s="2"/>
      <c r="R817" s="5" t="s">
        <v>27</v>
      </c>
      <c r="S817" s="5" t="s">
        <v>500</v>
      </c>
      <c r="T817" s="39">
        <v>470</v>
      </c>
    </row>
    <row r="818" spans="1:20" ht="20.100000000000001" hidden="1" customHeight="1" x14ac:dyDescent="0.25">
      <c r="A818" s="26" t="str">
        <f>CONCATENATE(RIGHT(LEFT(RecebimentoConcreto[[#This Row],[Obra]],5),4),"RCBC",TEXT(RecebimentoConcreto[[#This Row],[Ordem]],"0000"))</f>
        <v>0184RCBC0537</v>
      </c>
      <c r="B818" s="1">
        <v>537</v>
      </c>
      <c r="C818" s="1" t="s">
        <v>21</v>
      </c>
      <c r="D818" s="35">
        <v>44859</v>
      </c>
      <c r="E818" s="1" t="s">
        <v>1708</v>
      </c>
      <c r="F818" s="2" t="s">
        <v>1869</v>
      </c>
      <c r="G818" s="2" t="s">
        <v>1870</v>
      </c>
      <c r="H818" s="2" t="s">
        <v>1871</v>
      </c>
      <c r="I818" s="5" t="s">
        <v>1872</v>
      </c>
      <c r="J818" s="5" t="s">
        <v>1873</v>
      </c>
      <c r="K818" s="32">
        <f>_xlfn.MAXIFS(ConsumoConcreto[Fim do Bombeamento],ConsumoConcreto[RecebimentoID],RecebimentoConcreto[[#This Row],[RecebimentoID]])</f>
        <v>0</v>
      </c>
      <c r="L818" s="1" t="s">
        <v>1874</v>
      </c>
      <c r="M818" s="37">
        <v>36892</v>
      </c>
      <c r="N818" s="5" t="s">
        <v>1801</v>
      </c>
      <c r="O818" s="9" t="s">
        <v>1875</v>
      </c>
      <c r="P818" s="5" t="s">
        <v>26</v>
      </c>
      <c r="Q818" s="2" t="s">
        <v>1876</v>
      </c>
      <c r="R818" s="5" t="s">
        <v>27</v>
      </c>
      <c r="S818" s="5" t="s">
        <v>32</v>
      </c>
      <c r="T818" s="39" t="s">
        <v>1877</v>
      </c>
    </row>
    <row r="819" spans="1:20" ht="20.100000000000001" hidden="1" customHeight="1" x14ac:dyDescent="0.25">
      <c r="A819" s="26" t="str">
        <f>CONCATENATE(RIGHT(LEFT(RecebimentoConcreto[[#This Row],[Obra]],5),4),"RCBC",TEXT(RecebimentoConcreto[[#This Row],[Ordem]],"0000"))</f>
        <v>0184RCBC0538</v>
      </c>
      <c r="B819" s="1">
        <v>538</v>
      </c>
      <c r="C819" s="1" t="s">
        <v>21</v>
      </c>
      <c r="D819" s="35" t="s">
        <v>1878</v>
      </c>
      <c r="E819" s="1" t="s">
        <v>1859</v>
      </c>
      <c r="F819" s="2">
        <v>10374</v>
      </c>
      <c r="G819" s="2">
        <v>5408</v>
      </c>
      <c r="H819" s="2">
        <v>17620</v>
      </c>
      <c r="I819" s="5">
        <v>0.66666666666666663</v>
      </c>
      <c r="J819" s="5">
        <v>0.6875</v>
      </c>
      <c r="K819" s="32">
        <f>_xlfn.MAXIFS(ConsumoConcreto[Fim do Bombeamento],ConsumoConcreto[RecebimentoID],RecebimentoConcreto[[#This Row],[RecebimentoID]])</f>
        <v>0.71527777777777779</v>
      </c>
      <c r="L819" s="1">
        <v>14</v>
      </c>
      <c r="M819" s="37">
        <v>36892</v>
      </c>
      <c r="N819" s="5" t="s">
        <v>1801</v>
      </c>
      <c r="O819" s="9">
        <v>7</v>
      </c>
      <c r="P819" s="5" t="s">
        <v>26</v>
      </c>
      <c r="Q819" s="2">
        <v>6</v>
      </c>
      <c r="R819" s="5" t="s">
        <v>27</v>
      </c>
      <c r="S819" s="5" t="s">
        <v>32</v>
      </c>
      <c r="T819" s="39">
        <v>460</v>
      </c>
    </row>
    <row r="820" spans="1:20" ht="20.100000000000001" hidden="1" customHeight="1" x14ac:dyDescent="0.25">
      <c r="A820" s="26" t="str">
        <f>CONCATENATE(RIGHT(LEFT(RecebimentoConcreto[[#This Row],[Obra]],5),4),"RCBC",TEXT(RecebimentoConcreto[[#This Row],[Ordem]],"0000"))</f>
        <v>0184RCBC0539</v>
      </c>
      <c r="B820" s="1">
        <v>539</v>
      </c>
      <c r="C820" s="1" t="s">
        <v>21</v>
      </c>
      <c r="D820" s="35" t="s">
        <v>1878</v>
      </c>
      <c r="E820" s="1" t="s">
        <v>207</v>
      </c>
      <c r="F820" s="2">
        <v>10366</v>
      </c>
      <c r="G820" s="2">
        <v>5408</v>
      </c>
      <c r="H820" s="2">
        <v>17609</v>
      </c>
      <c r="I820" s="5">
        <v>0.46875</v>
      </c>
      <c r="J820" s="5">
        <v>0.47569444444444442</v>
      </c>
      <c r="K820" s="32">
        <f>_xlfn.MAXIFS(ConsumoConcreto[Fim do Bombeamento],ConsumoConcreto[RecebimentoID],RecebimentoConcreto[[#This Row],[RecebimentoID]])</f>
        <v>0.52430555555555558</v>
      </c>
      <c r="L820" s="1">
        <v>12</v>
      </c>
      <c r="M820" s="37">
        <v>36892</v>
      </c>
      <c r="N820" s="5" t="s">
        <v>1801</v>
      </c>
      <c r="O820" s="9">
        <v>5.5</v>
      </c>
      <c r="P820" s="5" t="s">
        <v>26</v>
      </c>
      <c r="Q820" s="2">
        <v>6</v>
      </c>
      <c r="R820" s="5" t="s">
        <v>27</v>
      </c>
      <c r="S820" s="5" t="s">
        <v>32</v>
      </c>
      <c r="T820" s="39">
        <v>460</v>
      </c>
    </row>
    <row r="821" spans="1:20" ht="20.100000000000001" hidden="1" customHeight="1" x14ac:dyDescent="0.25">
      <c r="A821" s="26" t="str">
        <f>CONCATENATE(RIGHT(LEFT(RecebimentoConcreto[[#This Row],[Obra]],5),4),"RCBC",TEXT(RecebimentoConcreto[[#This Row],[Ordem]],"0000"))</f>
        <v>0184RCBC0541</v>
      </c>
      <c r="B821" s="1">
        <v>541</v>
      </c>
      <c r="C821" s="1" t="s">
        <v>21</v>
      </c>
      <c r="D821" s="35">
        <v>44581</v>
      </c>
      <c r="E821" s="1">
        <v>4069</v>
      </c>
      <c r="F821" s="2">
        <v>3684306</v>
      </c>
      <c r="G821" s="2">
        <v>54855</v>
      </c>
      <c r="H821" s="2">
        <v>27360</v>
      </c>
      <c r="K821" s="32">
        <f>_xlfn.MAXIFS(ConsumoConcreto[Fim do Bombeamento],ConsumoConcreto[RecebimentoID],RecebimentoConcreto[[#This Row],[RecebimentoID]])</f>
        <v>0</v>
      </c>
      <c r="M821" s="37">
        <v>36892</v>
      </c>
      <c r="N821" s="5" t="s">
        <v>1801</v>
      </c>
      <c r="O821" s="9">
        <v>7</v>
      </c>
      <c r="P821" s="5" t="s">
        <v>26</v>
      </c>
      <c r="Q821" s="2"/>
      <c r="R821" s="5" t="s">
        <v>27</v>
      </c>
      <c r="S821" s="5" t="s">
        <v>28</v>
      </c>
      <c r="T821" s="39">
        <v>390</v>
      </c>
    </row>
    <row r="822" spans="1:20" ht="20.100000000000001" hidden="1" customHeight="1" x14ac:dyDescent="0.25">
      <c r="A822" s="26" t="str">
        <f>CONCATENATE(RIGHT(LEFT(RecebimentoConcreto[[#This Row],[Obra]],5),4),"RCBC",TEXT(RecebimentoConcreto[[#This Row],[Ordem]],"0000"))</f>
        <v>0184RCBC0542</v>
      </c>
      <c r="B822" s="1">
        <v>542</v>
      </c>
      <c r="C822" s="1" t="s">
        <v>21</v>
      </c>
      <c r="D822" s="35">
        <v>44581</v>
      </c>
      <c r="E822" s="1">
        <v>4069</v>
      </c>
      <c r="F822" s="2">
        <v>3684311</v>
      </c>
      <c r="G822" s="2">
        <v>54855</v>
      </c>
      <c r="H822" s="2">
        <v>27366</v>
      </c>
      <c r="K822" s="32">
        <f>_xlfn.MAXIFS(ConsumoConcreto[Fim do Bombeamento],ConsumoConcreto[RecebimentoID],RecebimentoConcreto[[#This Row],[RecebimentoID]])</f>
        <v>0</v>
      </c>
      <c r="M822" s="37">
        <v>36892</v>
      </c>
      <c r="N822" s="5" t="s">
        <v>1801</v>
      </c>
      <c r="O822" s="9">
        <v>7</v>
      </c>
      <c r="P822" s="5" t="s">
        <v>26</v>
      </c>
      <c r="Q822" s="2"/>
      <c r="R822" s="5" t="s">
        <v>27</v>
      </c>
      <c r="S822" s="5" t="s">
        <v>28</v>
      </c>
      <c r="T822" s="39">
        <v>390</v>
      </c>
    </row>
    <row r="823" spans="1:20" ht="20.100000000000001" hidden="1" customHeight="1" x14ac:dyDescent="0.25">
      <c r="A823" s="26" t="str">
        <f>CONCATENATE(RIGHT(LEFT(RecebimentoConcreto[[#This Row],[Obra]],5),4),"RCBC",TEXT(RecebimentoConcreto[[#This Row],[Ordem]],"0000"))</f>
        <v>0184RCBC0543</v>
      </c>
      <c r="B823" s="1">
        <v>543</v>
      </c>
      <c r="C823" s="1" t="s">
        <v>21</v>
      </c>
      <c r="D823" s="35">
        <v>44581</v>
      </c>
      <c r="E823" s="1">
        <v>3587</v>
      </c>
      <c r="F823" s="2">
        <v>3684292</v>
      </c>
      <c r="G823" s="2">
        <v>54855</v>
      </c>
      <c r="H823" s="2">
        <v>27369</v>
      </c>
      <c r="K823" s="32">
        <f>_xlfn.MAXIFS(ConsumoConcreto[Fim do Bombeamento],ConsumoConcreto[RecebimentoID],RecebimentoConcreto[[#This Row],[RecebimentoID]])</f>
        <v>0</v>
      </c>
      <c r="M823" s="37">
        <v>36892</v>
      </c>
      <c r="N823" s="5" t="s">
        <v>1801</v>
      </c>
      <c r="O823" s="9">
        <v>7</v>
      </c>
      <c r="P823" s="5" t="s">
        <v>26</v>
      </c>
      <c r="Q823" s="2"/>
      <c r="R823" s="5" t="s">
        <v>27</v>
      </c>
      <c r="S823" s="5" t="s">
        <v>28</v>
      </c>
      <c r="T823" s="39">
        <v>390</v>
      </c>
    </row>
    <row r="824" spans="1:20" ht="20.100000000000001" hidden="1" customHeight="1" x14ac:dyDescent="0.25">
      <c r="A824" s="26" t="str">
        <f>CONCATENATE(RIGHT(LEFT(RecebimentoConcreto[[#This Row],[Obra]],5),4),"RCBC",TEXT(RecebimentoConcreto[[#This Row],[Ordem]],"0000"))</f>
        <v>0184RCBC0544</v>
      </c>
      <c r="B824" s="1">
        <v>544</v>
      </c>
      <c r="C824" s="1" t="s">
        <v>21</v>
      </c>
      <c r="D824" s="35">
        <v>44582</v>
      </c>
      <c r="E824" s="1">
        <v>4089</v>
      </c>
      <c r="F824" s="2">
        <v>3684006</v>
      </c>
      <c r="G824" s="2">
        <v>54855</v>
      </c>
      <c r="H824" s="2">
        <v>27377</v>
      </c>
      <c r="K824" s="32">
        <f>_xlfn.MAXIFS(ConsumoConcreto[Fim do Bombeamento],ConsumoConcreto[RecebimentoID],RecebimentoConcreto[[#This Row],[RecebimentoID]])</f>
        <v>0</v>
      </c>
      <c r="M824" s="37">
        <v>36892</v>
      </c>
      <c r="N824" s="5" t="s">
        <v>1801</v>
      </c>
      <c r="O824" s="9">
        <v>7</v>
      </c>
      <c r="P824" s="5" t="s">
        <v>26</v>
      </c>
      <c r="Q824" s="2"/>
      <c r="R824" s="5" t="s">
        <v>27</v>
      </c>
      <c r="S824" s="5" t="s">
        <v>28</v>
      </c>
      <c r="T824" s="39">
        <v>390</v>
      </c>
    </row>
    <row r="825" spans="1:20" ht="20.100000000000001" hidden="1" customHeight="1" x14ac:dyDescent="0.25">
      <c r="A825" s="26" t="str">
        <f>CONCATENATE(RIGHT(LEFT(RecebimentoConcreto[[#This Row],[Obra]],5),4),"RCBC",TEXT(RecebimentoConcreto[[#This Row],[Ordem]],"0000"))</f>
        <v>0184RCBC0545</v>
      </c>
      <c r="B825" s="1">
        <v>545</v>
      </c>
      <c r="C825" s="1" t="s">
        <v>21</v>
      </c>
      <c r="D825" s="35">
        <v>44592</v>
      </c>
      <c r="E825" s="1" t="s">
        <v>1879</v>
      </c>
      <c r="F825" s="2">
        <v>9344</v>
      </c>
      <c r="G825" s="2">
        <v>55162</v>
      </c>
      <c r="H825" s="2">
        <v>9625</v>
      </c>
      <c r="K825" s="32">
        <f>_xlfn.MAXIFS(ConsumoConcreto[Fim do Bombeamento],ConsumoConcreto[RecebimentoID],RecebimentoConcreto[[#This Row],[RecebimentoID]])</f>
        <v>0</v>
      </c>
      <c r="M825" s="37">
        <v>36892</v>
      </c>
      <c r="N825" s="5" t="s">
        <v>1801</v>
      </c>
      <c r="O825" s="9">
        <v>5.5</v>
      </c>
      <c r="P825" s="5" t="s">
        <v>26</v>
      </c>
      <c r="Q825" s="2"/>
      <c r="R825" s="5" t="s">
        <v>27</v>
      </c>
      <c r="S825" s="5" t="s">
        <v>32</v>
      </c>
      <c r="T825" s="39">
        <v>390</v>
      </c>
    </row>
    <row r="826" spans="1:20" ht="20.100000000000001" hidden="1" customHeight="1" x14ac:dyDescent="0.25">
      <c r="A826" s="26" t="str">
        <f>CONCATENATE(RIGHT(LEFT(RecebimentoConcreto[[#This Row],[Obra]],5),4),"RCBC",TEXT(RecebimentoConcreto[[#This Row],[Ordem]],"0000"))</f>
        <v>0184RCBC0546</v>
      </c>
      <c r="B826" s="1">
        <v>546</v>
      </c>
      <c r="C826" s="1" t="s">
        <v>21</v>
      </c>
      <c r="D826" s="35">
        <v>44592</v>
      </c>
      <c r="E826" s="1" t="s">
        <v>1880</v>
      </c>
      <c r="F826" s="2">
        <v>9341</v>
      </c>
      <c r="G826" s="2">
        <v>55162</v>
      </c>
      <c r="H826" s="2">
        <v>9622</v>
      </c>
      <c r="K826" s="32">
        <f>_xlfn.MAXIFS(ConsumoConcreto[Fim do Bombeamento],ConsumoConcreto[RecebimentoID],RecebimentoConcreto[[#This Row],[RecebimentoID]])</f>
        <v>0</v>
      </c>
      <c r="M826" s="37">
        <v>36892</v>
      </c>
      <c r="N826" s="5" t="s">
        <v>1801</v>
      </c>
      <c r="O826" s="9">
        <v>5.5</v>
      </c>
      <c r="P826" s="5" t="s">
        <v>26</v>
      </c>
      <c r="Q826" s="2"/>
      <c r="R826" s="5" t="s">
        <v>27</v>
      </c>
      <c r="S826" s="5" t="s">
        <v>32</v>
      </c>
      <c r="T826" s="39">
        <v>390</v>
      </c>
    </row>
    <row r="827" spans="1:20" ht="20.100000000000001" hidden="1" customHeight="1" x14ac:dyDescent="0.25">
      <c r="A827" s="26" t="str">
        <f>CONCATENATE(RIGHT(LEFT(RecebimentoConcreto[[#This Row],[Obra]],5),4),"RCBC",TEXT(RecebimentoConcreto[[#This Row],[Ordem]],"0000"))</f>
        <v>0184RCBC0547</v>
      </c>
      <c r="B827" s="1">
        <v>547</v>
      </c>
      <c r="C827" s="1" t="s">
        <v>21</v>
      </c>
      <c r="D827" s="35">
        <v>44592</v>
      </c>
      <c r="E827" s="1" t="s">
        <v>1881</v>
      </c>
      <c r="F827" s="2">
        <v>9332</v>
      </c>
      <c r="G827" s="2">
        <v>55162</v>
      </c>
      <c r="H827" s="2">
        <v>9613</v>
      </c>
      <c r="K827" s="32">
        <f>_xlfn.MAXIFS(ConsumoConcreto[Fim do Bombeamento],ConsumoConcreto[RecebimentoID],RecebimentoConcreto[[#This Row],[RecebimentoID]])</f>
        <v>0</v>
      </c>
      <c r="M827" s="37">
        <v>36892</v>
      </c>
      <c r="N827" s="5" t="s">
        <v>1801</v>
      </c>
      <c r="O827" s="9">
        <v>5.5</v>
      </c>
      <c r="P827" s="5" t="s">
        <v>26</v>
      </c>
      <c r="Q827" s="2"/>
      <c r="R827" s="5" t="s">
        <v>27</v>
      </c>
      <c r="S827" s="5" t="s">
        <v>32</v>
      </c>
      <c r="T827" s="39">
        <v>390</v>
      </c>
    </row>
    <row r="828" spans="1:20" ht="20.100000000000001" hidden="1" customHeight="1" x14ac:dyDescent="0.25">
      <c r="A828" s="26" t="str">
        <f>CONCATENATE(RIGHT(LEFT(RecebimentoConcreto[[#This Row],[Obra]],5),4),"RCBC",TEXT(RecebimentoConcreto[[#This Row],[Ordem]],"0000"))</f>
        <v>0184RCBC0548</v>
      </c>
      <c r="B828" s="1">
        <v>548</v>
      </c>
      <c r="C828" s="1" t="s">
        <v>21</v>
      </c>
      <c r="D828" s="35">
        <v>44593</v>
      </c>
      <c r="E828" s="1" t="s">
        <v>1882</v>
      </c>
      <c r="F828" s="2">
        <v>9375</v>
      </c>
      <c r="G828" s="2">
        <v>5408</v>
      </c>
      <c r="H828" s="2">
        <v>9657</v>
      </c>
      <c r="K828" s="32">
        <f>_xlfn.MAXIFS(ConsumoConcreto[Fim do Bombeamento],ConsumoConcreto[RecebimentoID],RecebimentoConcreto[[#This Row],[RecebimentoID]])</f>
        <v>0</v>
      </c>
      <c r="M828" s="37">
        <v>36892</v>
      </c>
      <c r="N828" s="5" t="s">
        <v>1801</v>
      </c>
      <c r="O828" s="9">
        <v>7</v>
      </c>
      <c r="P828" s="5" t="s">
        <v>26</v>
      </c>
      <c r="Q828" s="2">
        <v>1</v>
      </c>
      <c r="R828" s="5" t="s">
        <v>27</v>
      </c>
      <c r="S828" s="5" t="s">
        <v>32</v>
      </c>
      <c r="T828" s="39">
        <v>385.2</v>
      </c>
    </row>
    <row r="829" spans="1:20" ht="20.100000000000001" hidden="1" customHeight="1" x14ac:dyDescent="0.25">
      <c r="A829" s="26" t="str">
        <f>CONCATENATE(RIGHT(LEFT(RecebimentoConcreto[[#This Row],[Obra]],5),4),"RCBC",TEXT(RecebimentoConcreto[[#This Row],[Ordem]],"0000"))</f>
        <v>0184RCBC0549</v>
      </c>
      <c r="B829" s="1">
        <v>549</v>
      </c>
      <c r="C829" s="1" t="s">
        <v>21</v>
      </c>
      <c r="D829" s="35">
        <v>44593</v>
      </c>
      <c r="E829" s="1" t="s">
        <v>1882</v>
      </c>
      <c r="F829" s="2">
        <v>9366</v>
      </c>
      <c r="G829" s="2">
        <v>5408</v>
      </c>
      <c r="H829" s="2">
        <v>9647</v>
      </c>
      <c r="K829" s="32">
        <f>_xlfn.MAXIFS(ConsumoConcreto[Fim do Bombeamento],ConsumoConcreto[RecebimentoID],RecebimentoConcreto[[#This Row],[RecebimentoID]])</f>
        <v>0</v>
      </c>
      <c r="M829" s="37">
        <v>36892</v>
      </c>
      <c r="N829" s="5" t="s">
        <v>1801</v>
      </c>
      <c r="O829" s="9">
        <v>7</v>
      </c>
      <c r="P829" s="5" t="s">
        <v>26</v>
      </c>
      <c r="Q829" s="2">
        <v>1</v>
      </c>
      <c r="R829" s="5" t="s">
        <v>27</v>
      </c>
      <c r="S829" s="5" t="s">
        <v>32</v>
      </c>
      <c r="T829" s="39">
        <v>385.2</v>
      </c>
    </row>
    <row r="830" spans="1:20" ht="20.100000000000001" hidden="1" customHeight="1" x14ac:dyDescent="0.25">
      <c r="A830" s="26" t="str">
        <f>CONCATENATE(RIGHT(LEFT(RecebimentoConcreto[[#This Row],[Obra]],5),4),"RCBC",TEXT(RecebimentoConcreto[[#This Row],[Ordem]],"0000"))</f>
        <v>0184RCBC0550</v>
      </c>
      <c r="B830" s="1">
        <v>550</v>
      </c>
      <c r="C830" s="1" t="s">
        <v>21</v>
      </c>
      <c r="D830" s="35">
        <v>44593</v>
      </c>
      <c r="E830" s="1" t="s">
        <v>1882</v>
      </c>
      <c r="F830" s="2">
        <v>9554</v>
      </c>
      <c r="G830" s="2">
        <v>5408</v>
      </c>
      <c r="H830" s="2">
        <v>9635</v>
      </c>
      <c r="K830" s="32">
        <f>_xlfn.MAXIFS(ConsumoConcreto[Fim do Bombeamento],ConsumoConcreto[RecebimentoID],RecebimentoConcreto[[#This Row],[RecebimentoID]])</f>
        <v>0</v>
      </c>
      <c r="M830" s="37">
        <v>36892</v>
      </c>
      <c r="N830" s="5" t="s">
        <v>1801</v>
      </c>
      <c r="O830" s="9">
        <v>5.5</v>
      </c>
      <c r="P830" s="5" t="s">
        <v>26</v>
      </c>
      <c r="Q830" s="2">
        <v>1</v>
      </c>
      <c r="R830" s="5" t="s">
        <v>27</v>
      </c>
      <c r="S830" s="5" t="s">
        <v>32</v>
      </c>
      <c r="T830" s="39">
        <v>400</v>
      </c>
    </row>
    <row r="831" spans="1:20" ht="20.100000000000001" hidden="1" customHeight="1" x14ac:dyDescent="0.25">
      <c r="A831" s="26" t="str">
        <f>CONCATENATE(RIGHT(LEFT(RecebimentoConcreto[[#This Row],[Obra]],5),4),"RCBC",TEXT(RecebimentoConcreto[[#This Row],[Ordem]],"0000"))</f>
        <v>0184RCBC0551</v>
      </c>
      <c r="B831" s="1">
        <v>551</v>
      </c>
      <c r="C831" s="1" t="s">
        <v>21</v>
      </c>
      <c r="D831" s="35">
        <v>44594</v>
      </c>
      <c r="E831" s="1" t="s">
        <v>1883</v>
      </c>
      <c r="F831" s="2">
        <v>9399</v>
      </c>
      <c r="G831" s="2">
        <v>5408</v>
      </c>
      <c r="H831" s="2">
        <v>9684</v>
      </c>
      <c r="K831" s="32">
        <f>_xlfn.MAXIFS(ConsumoConcreto[Fim do Bombeamento],ConsumoConcreto[RecebimentoID],RecebimentoConcreto[[#This Row],[RecebimentoID]])</f>
        <v>0</v>
      </c>
      <c r="M831" s="37">
        <v>36892</v>
      </c>
      <c r="N831" s="5" t="s">
        <v>1801</v>
      </c>
      <c r="O831" s="9">
        <v>7</v>
      </c>
      <c r="P831" s="5" t="s">
        <v>26</v>
      </c>
      <c r="Q831" s="2">
        <v>1</v>
      </c>
      <c r="R831" s="5" t="s">
        <v>27</v>
      </c>
      <c r="S831" s="5" t="s">
        <v>32</v>
      </c>
      <c r="T831" s="39">
        <v>400</v>
      </c>
    </row>
    <row r="832" spans="1:20" ht="20.100000000000001" hidden="1" customHeight="1" x14ac:dyDescent="0.25">
      <c r="A832" s="26" t="str">
        <f>CONCATENATE(RIGHT(LEFT(RecebimentoConcreto[[#This Row],[Obra]],5),4),"RCBC",TEXT(RecebimentoConcreto[[#This Row],[Ordem]],"0000"))</f>
        <v>0184RCBC0552</v>
      </c>
      <c r="B832" s="1">
        <v>552</v>
      </c>
      <c r="C832" s="1" t="s">
        <v>21</v>
      </c>
      <c r="D832" s="35">
        <v>44594</v>
      </c>
      <c r="E832" s="1" t="s">
        <v>1883</v>
      </c>
      <c r="F832" s="2">
        <v>9386</v>
      </c>
      <c r="G832" s="2">
        <v>5408</v>
      </c>
      <c r="H832" s="2">
        <v>9681</v>
      </c>
      <c r="K832" s="32">
        <f>_xlfn.MAXIFS(ConsumoConcreto[Fim do Bombeamento],ConsumoConcreto[RecebimentoID],RecebimentoConcreto[[#This Row],[RecebimentoID]])</f>
        <v>0</v>
      </c>
      <c r="M832" s="37">
        <v>36892</v>
      </c>
      <c r="N832" s="5" t="s">
        <v>1801</v>
      </c>
      <c r="O832" s="9">
        <v>7</v>
      </c>
      <c r="P832" s="5" t="s">
        <v>26</v>
      </c>
      <c r="Q832" s="2">
        <v>1</v>
      </c>
      <c r="R832" s="5" t="s">
        <v>27</v>
      </c>
      <c r="S832" s="5" t="s">
        <v>32</v>
      </c>
      <c r="T832" s="39">
        <v>400</v>
      </c>
    </row>
    <row r="833" spans="1:20" ht="20.100000000000001" hidden="1" customHeight="1" x14ac:dyDescent="0.25">
      <c r="A833" s="26" t="str">
        <f>CONCATENATE(RIGHT(LEFT(RecebimentoConcreto[[#This Row],[Obra]],5),4),"RCBC",TEXT(RecebimentoConcreto[[#This Row],[Ordem]],"0000"))</f>
        <v>0184RCBC0553</v>
      </c>
      <c r="B833" s="1">
        <v>553</v>
      </c>
      <c r="C833" s="1" t="s">
        <v>21</v>
      </c>
      <c r="D833" s="35">
        <v>44595</v>
      </c>
      <c r="E833" s="1" t="s">
        <v>1884</v>
      </c>
      <c r="F833" s="2">
        <v>16916</v>
      </c>
      <c r="G833" s="2">
        <v>5408</v>
      </c>
      <c r="H833" s="2">
        <v>9701</v>
      </c>
      <c r="K833" s="32">
        <f>_xlfn.MAXIFS(ConsumoConcreto[Fim do Bombeamento],ConsumoConcreto[RecebimentoID],RecebimentoConcreto[[#This Row],[RecebimentoID]])</f>
        <v>0</v>
      </c>
      <c r="M833" s="37">
        <v>36892</v>
      </c>
      <c r="N833" s="5" t="s">
        <v>1801</v>
      </c>
      <c r="O833" s="9">
        <v>7</v>
      </c>
      <c r="P833" s="5" t="s">
        <v>26</v>
      </c>
      <c r="Q833" s="2">
        <v>1</v>
      </c>
      <c r="R833" s="5" t="s">
        <v>27</v>
      </c>
      <c r="S833" s="5" t="s">
        <v>32</v>
      </c>
      <c r="T833" s="39">
        <v>400</v>
      </c>
    </row>
    <row r="834" spans="1:20" ht="20.100000000000001" hidden="1" customHeight="1" x14ac:dyDescent="0.25">
      <c r="A834" s="26" t="str">
        <f>CONCATENATE(RIGHT(LEFT(RecebimentoConcreto[[#This Row],[Obra]],5),4),"RCBC",TEXT(RecebimentoConcreto[[#This Row],[Ordem]],"0000"))</f>
        <v>0184RCBC0554</v>
      </c>
      <c r="B834" s="1">
        <v>554</v>
      </c>
      <c r="C834" s="1" t="s">
        <v>21</v>
      </c>
      <c r="D834" s="35">
        <v>44595</v>
      </c>
      <c r="E834" s="1" t="s">
        <v>1883</v>
      </c>
      <c r="F834" s="2">
        <v>16910</v>
      </c>
      <c r="G834" s="2">
        <v>5408</v>
      </c>
      <c r="H834" s="2">
        <v>9695</v>
      </c>
      <c r="K834" s="32">
        <f>_xlfn.MAXIFS(ConsumoConcreto[Fim do Bombeamento],ConsumoConcreto[RecebimentoID],RecebimentoConcreto[[#This Row],[RecebimentoID]])</f>
        <v>0</v>
      </c>
      <c r="M834" s="37">
        <v>36892</v>
      </c>
      <c r="N834" s="5" t="s">
        <v>1801</v>
      </c>
      <c r="O834" s="9">
        <v>7</v>
      </c>
      <c r="P834" s="5" t="s">
        <v>26</v>
      </c>
      <c r="Q834" s="2">
        <v>1</v>
      </c>
      <c r="R834" s="5" t="s">
        <v>27</v>
      </c>
      <c r="S834" s="5" t="s">
        <v>32</v>
      </c>
      <c r="T834" s="39">
        <v>400</v>
      </c>
    </row>
    <row r="835" spans="1:20" ht="20.100000000000001" hidden="1" customHeight="1" x14ac:dyDescent="0.25">
      <c r="A835" s="26" t="str">
        <f>CONCATENATE(RIGHT(LEFT(RecebimentoConcreto[[#This Row],[Obra]],5),4),"RCBC",TEXT(RecebimentoConcreto[[#This Row],[Ordem]],"0000"))</f>
        <v>0184RCBC0555</v>
      </c>
      <c r="B835" s="1">
        <v>555</v>
      </c>
      <c r="C835" s="1" t="s">
        <v>21</v>
      </c>
      <c r="D835" s="35">
        <v>44599</v>
      </c>
      <c r="E835" s="1" t="s">
        <v>1881</v>
      </c>
      <c r="F835" s="2">
        <v>16994</v>
      </c>
      <c r="G835" s="2">
        <v>5408</v>
      </c>
      <c r="H835" s="2">
        <v>9781</v>
      </c>
      <c r="K835" s="32">
        <f>_xlfn.MAXIFS(ConsumoConcreto[Fim do Bombeamento],ConsumoConcreto[RecebimentoID],RecebimentoConcreto[[#This Row],[RecebimentoID]])</f>
        <v>0</v>
      </c>
      <c r="M835" s="37">
        <v>36892</v>
      </c>
      <c r="N835" s="5" t="s">
        <v>1801</v>
      </c>
      <c r="O835" s="9">
        <v>5.5</v>
      </c>
      <c r="P835" s="5" t="s">
        <v>26</v>
      </c>
      <c r="Q835" s="2">
        <v>1</v>
      </c>
      <c r="R835" s="5" t="s">
        <v>27</v>
      </c>
      <c r="S835" s="5" t="s">
        <v>32</v>
      </c>
      <c r="T835" s="39">
        <v>400</v>
      </c>
    </row>
    <row r="836" spans="1:20" ht="20.100000000000001" hidden="1" customHeight="1" x14ac:dyDescent="0.25">
      <c r="A836" s="26" t="str">
        <f>CONCATENATE(RIGHT(LEFT(RecebimentoConcreto[[#This Row],[Obra]],5),4),"RCBC",TEXT(RecebimentoConcreto[[#This Row],[Ordem]],"0000"))</f>
        <v>0184RCBC0556</v>
      </c>
      <c r="B836" s="1">
        <v>556</v>
      </c>
      <c r="C836" s="1" t="s">
        <v>21</v>
      </c>
      <c r="D836" s="35">
        <v>44599</v>
      </c>
      <c r="E836" s="1" t="s">
        <v>1885</v>
      </c>
      <c r="F836" s="2">
        <v>16982</v>
      </c>
      <c r="G836" s="2">
        <v>5408</v>
      </c>
      <c r="H836" s="2">
        <v>9776</v>
      </c>
      <c r="K836" s="32">
        <f>_xlfn.MAXIFS(ConsumoConcreto[Fim do Bombeamento],ConsumoConcreto[RecebimentoID],RecebimentoConcreto[[#This Row],[RecebimentoID]])</f>
        <v>0</v>
      </c>
      <c r="M836" s="37">
        <v>36892</v>
      </c>
      <c r="N836" s="5" t="s">
        <v>1801</v>
      </c>
      <c r="O836" s="9">
        <v>5.5</v>
      </c>
      <c r="P836" s="5" t="s">
        <v>26</v>
      </c>
      <c r="Q836" s="2">
        <v>1</v>
      </c>
      <c r="R836" s="5" t="s">
        <v>27</v>
      </c>
      <c r="S836" s="5" t="s">
        <v>32</v>
      </c>
      <c r="T836" s="39">
        <v>400</v>
      </c>
    </row>
    <row r="837" spans="1:20" ht="20.100000000000001" hidden="1" customHeight="1" x14ac:dyDescent="0.25">
      <c r="A837" s="26" t="str">
        <f>CONCATENATE(RIGHT(LEFT(RecebimentoConcreto[[#This Row],[Obra]],5),4),"RCBC",TEXT(RecebimentoConcreto[[#This Row],[Ordem]],"0000"))</f>
        <v>0184RCBC0557</v>
      </c>
      <c r="B837" s="1">
        <v>557</v>
      </c>
      <c r="C837" s="1" t="s">
        <v>21</v>
      </c>
      <c r="D837" s="35">
        <v>44600</v>
      </c>
      <c r="E837" s="1" t="s">
        <v>1879</v>
      </c>
      <c r="F837" s="2">
        <v>8724</v>
      </c>
      <c r="G837" s="2">
        <v>5408</v>
      </c>
      <c r="H837" s="2">
        <v>9811</v>
      </c>
      <c r="K837" s="32">
        <f>_xlfn.MAXIFS(ConsumoConcreto[Fim do Bombeamento],ConsumoConcreto[RecebimentoID],RecebimentoConcreto[[#This Row],[RecebimentoID]])</f>
        <v>0</v>
      </c>
      <c r="M837" s="37">
        <v>36892</v>
      </c>
      <c r="N837" s="5" t="s">
        <v>1801</v>
      </c>
      <c r="O837" s="9">
        <v>5.5</v>
      </c>
      <c r="P837" s="5" t="s">
        <v>26</v>
      </c>
      <c r="Q837" s="2">
        <v>1</v>
      </c>
      <c r="R837" s="5" t="s">
        <v>27</v>
      </c>
      <c r="S837" s="5" t="s">
        <v>32</v>
      </c>
      <c r="T837" s="39">
        <v>400</v>
      </c>
    </row>
    <row r="838" spans="1:20" ht="20.100000000000001" hidden="1" customHeight="1" x14ac:dyDescent="0.25">
      <c r="A838" s="26" t="str">
        <f>CONCATENATE(RIGHT(LEFT(RecebimentoConcreto[[#This Row],[Obra]],5),4),"RCBC",TEXT(RecebimentoConcreto[[#This Row],[Ordem]],"0000"))</f>
        <v>0184RCBC0558</v>
      </c>
      <c r="B838" s="1">
        <v>558</v>
      </c>
      <c r="C838" s="1" t="s">
        <v>21</v>
      </c>
      <c r="D838" s="35">
        <v>44600</v>
      </c>
      <c r="E838" s="1" t="s">
        <v>1884</v>
      </c>
      <c r="F838" s="2">
        <v>8722</v>
      </c>
      <c r="G838" s="2">
        <v>5408</v>
      </c>
      <c r="H838" s="2">
        <v>9809</v>
      </c>
      <c r="K838" s="32">
        <f>_xlfn.MAXIFS(ConsumoConcreto[Fim do Bombeamento],ConsumoConcreto[RecebimentoID],RecebimentoConcreto[[#This Row],[RecebimentoID]])</f>
        <v>0</v>
      </c>
      <c r="M838" s="37">
        <v>36892</v>
      </c>
      <c r="N838" s="5" t="s">
        <v>1801</v>
      </c>
      <c r="O838" s="9">
        <v>5.5</v>
      </c>
      <c r="P838" s="5" t="s">
        <v>26</v>
      </c>
      <c r="Q838" s="2">
        <v>1</v>
      </c>
      <c r="R838" s="5" t="s">
        <v>27</v>
      </c>
      <c r="S838" s="5" t="s">
        <v>32</v>
      </c>
      <c r="T838" s="39">
        <v>400</v>
      </c>
    </row>
    <row r="839" spans="1:20" ht="20.100000000000001" hidden="1" customHeight="1" x14ac:dyDescent="0.25">
      <c r="A839" s="26" t="str">
        <f>CONCATENATE(RIGHT(LEFT(RecebimentoConcreto[[#This Row],[Obra]],5),4),"RCBC",TEXT(RecebimentoConcreto[[#This Row],[Ordem]],"0000"))</f>
        <v>0184RCBC0559</v>
      </c>
      <c r="B839" s="1">
        <v>559</v>
      </c>
      <c r="C839" s="1" t="s">
        <v>21</v>
      </c>
      <c r="D839" s="35">
        <v>44600</v>
      </c>
      <c r="E839" s="1" t="s">
        <v>1879</v>
      </c>
      <c r="F839" s="2">
        <v>8717</v>
      </c>
      <c r="G839" s="2">
        <v>5408</v>
      </c>
      <c r="H839" s="2">
        <v>9804</v>
      </c>
      <c r="K839" s="32">
        <f>_xlfn.MAXIFS(ConsumoConcreto[Fim do Bombeamento],ConsumoConcreto[RecebimentoID],RecebimentoConcreto[[#This Row],[RecebimentoID]])</f>
        <v>0</v>
      </c>
      <c r="M839" s="37">
        <v>36892</v>
      </c>
      <c r="N839" s="5" t="s">
        <v>1801</v>
      </c>
      <c r="O839" s="9">
        <v>5.5</v>
      </c>
      <c r="P839" s="5" t="s">
        <v>26</v>
      </c>
      <c r="Q839" s="2">
        <v>1</v>
      </c>
      <c r="R839" s="5" t="s">
        <v>27</v>
      </c>
      <c r="S839" s="5" t="s">
        <v>32</v>
      </c>
      <c r="T839" s="39">
        <v>400</v>
      </c>
    </row>
    <row r="840" spans="1:20" ht="20.100000000000001" hidden="1" customHeight="1" x14ac:dyDescent="0.25">
      <c r="A840" s="26" t="str">
        <f>CONCATENATE(RIGHT(LEFT(RecebimentoConcreto[[#This Row],[Obra]],5),4),"RCBC",TEXT(RecebimentoConcreto[[#This Row],[Ordem]],"0000"))</f>
        <v>0184RCBC0560</v>
      </c>
      <c r="B840" s="1">
        <v>560</v>
      </c>
      <c r="C840" s="1" t="s">
        <v>21</v>
      </c>
      <c r="D840" s="35">
        <v>44601</v>
      </c>
      <c r="E840" s="1" t="s">
        <v>1883</v>
      </c>
      <c r="F840" s="2">
        <v>8763</v>
      </c>
      <c r="G840" s="2">
        <v>5408</v>
      </c>
      <c r="H840" s="2">
        <v>9834</v>
      </c>
      <c r="K840" s="32">
        <f>_xlfn.MAXIFS(ConsumoConcreto[Fim do Bombeamento],ConsumoConcreto[RecebimentoID],RecebimentoConcreto[[#This Row],[RecebimentoID]])</f>
        <v>0</v>
      </c>
      <c r="M840" s="37">
        <v>36892</v>
      </c>
      <c r="N840" s="5" t="s">
        <v>1801</v>
      </c>
      <c r="O840" s="9">
        <v>5.5</v>
      </c>
      <c r="P840" s="5" t="s">
        <v>26</v>
      </c>
      <c r="Q840" s="2">
        <v>1</v>
      </c>
      <c r="R840" s="5" t="s">
        <v>27</v>
      </c>
      <c r="S840" s="5" t="s">
        <v>32</v>
      </c>
      <c r="T840" s="39">
        <v>400</v>
      </c>
    </row>
    <row r="841" spans="1:20" ht="20.100000000000001" hidden="1" customHeight="1" x14ac:dyDescent="0.25">
      <c r="A841" s="26" t="str">
        <f>CONCATENATE(RIGHT(LEFT(RecebimentoConcreto[[#This Row],[Obra]],5),4),"RCBC",TEXT(RecebimentoConcreto[[#This Row],[Ordem]],"0000"))</f>
        <v>0184RCBC0561</v>
      </c>
      <c r="B841" s="1">
        <v>561</v>
      </c>
      <c r="C841" s="1" t="s">
        <v>21</v>
      </c>
      <c r="D841" s="35">
        <v>44601</v>
      </c>
      <c r="E841" s="1" t="s">
        <v>1882</v>
      </c>
      <c r="F841" s="2">
        <v>8758</v>
      </c>
      <c r="G841" s="2">
        <v>5408</v>
      </c>
      <c r="H841" s="2">
        <v>9829</v>
      </c>
      <c r="K841" s="32">
        <f>_xlfn.MAXIFS(ConsumoConcreto[Fim do Bombeamento],ConsumoConcreto[RecebimentoID],RecebimentoConcreto[[#This Row],[RecebimentoID]])</f>
        <v>0</v>
      </c>
      <c r="M841" s="37">
        <v>36892</v>
      </c>
      <c r="N841" s="5" t="s">
        <v>1801</v>
      </c>
      <c r="O841" s="9">
        <v>5.5</v>
      </c>
      <c r="P841" s="5" t="s">
        <v>26</v>
      </c>
      <c r="Q841" s="2">
        <v>1</v>
      </c>
      <c r="R841" s="5" t="s">
        <v>27</v>
      </c>
      <c r="S841" s="5" t="s">
        <v>32</v>
      </c>
      <c r="T841" s="39">
        <v>400</v>
      </c>
    </row>
    <row r="842" spans="1:20" ht="20.100000000000001" hidden="1" customHeight="1" x14ac:dyDescent="0.25">
      <c r="A842" s="26" t="str">
        <f>CONCATENATE(RIGHT(LEFT(RecebimentoConcreto[[#This Row],[Obra]],5),4),"RCBC",TEXT(RecebimentoConcreto[[#This Row],[Ordem]],"0000"))</f>
        <v>0184RCBC0562</v>
      </c>
      <c r="B842" s="1">
        <v>562</v>
      </c>
      <c r="C842" s="1" t="s">
        <v>21</v>
      </c>
      <c r="D842" s="35">
        <v>44601</v>
      </c>
      <c r="E842" s="1" t="s">
        <v>1879</v>
      </c>
      <c r="F842" s="2">
        <v>8755</v>
      </c>
      <c r="G842" s="2">
        <v>5408</v>
      </c>
      <c r="H842" s="2">
        <v>9826</v>
      </c>
      <c r="K842" s="32">
        <f>_xlfn.MAXIFS(ConsumoConcreto[Fim do Bombeamento],ConsumoConcreto[RecebimentoID],RecebimentoConcreto[[#This Row],[RecebimentoID]])</f>
        <v>0</v>
      </c>
      <c r="M842" s="37">
        <v>36892</v>
      </c>
      <c r="N842" s="5" t="s">
        <v>1801</v>
      </c>
      <c r="O842" s="9">
        <v>5.5</v>
      </c>
      <c r="P842" s="5" t="s">
        <v>26</v>
      </c>
      <c r="Q842" s="2">
        <v>1</v>
      </c>
      <c r="R842" s="5" t="s">
        <v>27</v>
      </c>
      <c r="S842" s="5" t="s">
        <v>32</v>
      </c>
      <c r="T842" s="39">
        <v>400</v>
      </c>
    </row>
    <row r="843" spans="1:20" ht="20.100000000000001" hidden="1" customHeight="1" x14ac:dyDescent="0.25">
      <c r="A843" s="26" t="str">
        <f>CONCATENATE(RIGHT(LEFT(RecebimentoConcreto[[#This Row],[Obra]],5),4),"RCBC",TEXT(RecebimentoConcreto[[#This Row],[Ordem]],"0000"))</f>
        <v>0184RCBC0563</v>
      </c>
      <c r="B843" s="1">
        <v>563</v>
      </c>
      <c r="C843" s="1" t="s">
        <v>21</v>
      </c>
      <c r="D843" s="35">
        <v>44601</v>
      </c>
      <c r="E843" s="1" t="s">
        <v>1886</v>
      </c>
      <c r="F843" s="2">
        <v>8752</v>
      </c>
      <c r="G843" s="2">
        <v>5408</v>
      </c>
      <c r="H843" s="2">
        <v>9823</v>
      </c>
      <c r="K843" s="32">
        <f>_xlfn.MAXIFS(ConsumoConcreto[Fim do Bombeamento],ConsumoConcreto[RecebimentoID],RecebimentoConcreto[[#This Row],[RecebimentoID]])</f>
        <v>0</v>
      </c>
      <c r="M843" s="37">
        <v>36892</v>
      </c>
      <c r="N843" s="5" t="s">
        <v>1801</v>
      </c>
      <c r="O843" s="9">
        <v>5.5</v>
      </c>
      <c r="P843" s="5" t="s">
        <v>26</v>
      </c>
      <c r="Q843" s="2">
        <v>1</v>
      </c>
      <c r="R843" s="5" t="s">
        <v>27</v>
      </c>
      <c r="S843" s="5" t="s">
        <v>32</v>
      </c>
      <c r="T843" s="39">
        <v>400</v>
      </c>
    </row>
    <row r="844" spans="1:20" ht="20.100000000000001" hidden="1" customHeight="1" x14ac:dyDescent="0.25">
      <c r="A844" s="26" t="str">
        <f>CONCATENATE(RIGHT(LEFT(RecebimentoConcreto[[#This Row],[Obra]],5),4),"RCBC",TEXT(RecebimentoConcreto[[#This Row],[Ordem]],"0000"))</f>
        <v>0184RCBC0564</v>
      </c>
      <c r="B844" s="1">
        <v>564</v>
      </c>
      <c r="C844" s="1" t="s">
        <v>21</v>
      </c>
      <c r="D844" s="35">
        <v>44603</v>
      </c>
      <c r="E844" s="1" t="s">
        <v>1881</v>
      </c>
      <c r="F844" s="2">
        <v>14608</v>
      </c>
      <c r="G844" s="2">
        <v>5408</v>
      </c>
      <c r="H844" s="2">
        <v>9900</v>
      </c>
      <c r="K844" s="32">
        <f>_xlfn.MAXIFS(ConsumoConcreto[Fim do Bombeamento],ConsumoConcreto[RecebimentoID],RecebimentoConcreto[[#This Row],[RecebimentoID]])</f>
        <v>0</v>
      </c>
      <c r="M844" s="37">
        <v>36892</v>
      </c>
      <c r="N844" s="5" t="s">
        <v>1801</v>
      </c>
      <c r="O844" s="9">
        <v>7</v>
      </c>
      <c r="P844" s="5" t="s">
        <v>26</v>
      </c>
      <c r="Q844" s="2">
        <v>1</v>
      </c>
      <c r="R844" s="5" t="s">
        <v>27</v>
      </c>
      <c r="S844" s="5" t="s">
        <v>32</v>
      </c>
      <c r="T844" s="39">
        <v>400</v>
      </c>
    </row>
    <row r="845" spans="1:20" ht="20.100000000000001" hidden="1" customHeight="1" x14ac:dyDescent="0.25">
      <c r="A845" s="26" t="str">
        <f>CONCATENATE(RIGHT(LEFT(RecebimentoConcreto[[#This Row],[Obra]],5),4),"RCBC",TEXT(RecebimentoConcreto[[#This Row],[Ordem]],"0000"))</f>
        <v>0184RCBC0565</v>
      </c>
      <c r="B845" s="1">
        <v>565</v>
      </c>
      <c r="C845" s="1" t="s">
        <v>21</v>
      </c>
      <c r="D845" s="35">
        <v>44603</v>
      </c>
      <c r="E845" s="1" t="s">
        <v>1887</v>
      </c>
      <c r="F845" s="2">
        <v>14604</v>
      </c>
      <c r="G845" s="2">
        <v>5408</v>
      </c>
      <c r="H845" s="2">
        <v>9896</v>
      </c>
      <c r="K845" s="32">
        <f>_xlfn.MAXIFS(ConsumoConcreto[Fim do Bombeamento],ConsumoConcreto[RecebimentoID],RecebimentoConcreto[[#This Row],[RecebimentoID]])</f>
        <v>0</v>
      </c>
      <c r="M845" s="37">
        <v>36892</v>
      </c>
      <c r="N845" s="5" t="s">
        <v>1801</v>
      </c>
      <c r="O845" s="9">
        <v>7</v>
      </c>
      <c r="P845" s="5" t="s">
        <v>26</v>
      </c>
      <c r="Q845" s="2">
        <v>1</v>
      </c>
      <c r="R845" s="5" t="s">
        <v>27</v>
      </c>
      <c r="S845" s="5" t="s">
        <v>32</v>
      </c>
      <c r="T845" s="39">
        <v>400</v>
      </c>
    </row>
    <row r="846" spans="1:20" ht="20.100000000000001" hidden="1" customHeight="1" x14ac:dyDescent="0.25">
      <c r="A846" s="26" t="str">
        <f>CONCATENATE(RIGHT(LEFT(RecebimentoConcreto[[#This Row],[Obra]],5),4),"RCBC",TEXT(RecebimentoConcreto[[#This Row],[Ordem]],"0000"))</f>
        <v>0184RCBC0566</v>
      </c>
      <c r="B846" s="1">
        <v>566</v>
      </c>
      <c r="C846" s="1" t="s">
        <v>21</v>
      </c>
      <c r="D846" s="35">
        <v>44603</v>
      </c>
      <c r="E846" s="1" t="s">
        <v>1888</v>
      </c>
      <c r="F846" s="2">
        <v>8799</v>
      </c>
      <c r="G846" s="2">
        <v>5408</v>
      </c>
      <c r="H846" s="2">
        <v>9891</v>
      </c>
      <c r="K846" s="32">
        <f>_xlfn.MAXIFS(ConsumoConcreto[Fim do Bombeamento],ConsumoConcreto[RecebimentoID],RecebimentoConcreto[[#This Row],[RecebimentoID]])</f>
        <v>0</v>
      </c>
      <c r="M846" s="37">
        <v>36892</v>
      </c>
      <c r="N846" s="5" t="s">
        <v>1801</v>
      </c>
      <c r="O846" s="9">
        <v>7</v>
      </c>
      <c r="P846" s="5" t="s">
        <v>26</v>
      </c>
      <c r="Q846" s="2">
        <v>1</v>
      </c>
      <c r="R846" s="5" t="s">
        <v>27</v>
      </c>
      <c r="S846" s="5" t="s">
        <v>32</v>
      </c>
      <c r="T846" s="39">
        <v>400</v>
      </c>
    </row>
    <row r="847" spans="1:20" ht="20.100000000000001" hidden="1" customHeight="1" x14ac:dyDescent="0.25">
      <c r="A847" s="26" t="str">
        <f>CONCATENATE(RIGHT(LEFT(RecebimentoConcreto[[#This Row],[Obra]],5),4),"RCBC",TEXT(RecebimentoConcreto[[#This Row],[Ordem]],"0000"))</f>
        <v>0184RCBC0567</v>
      </c>
      <c r="B847" s="1">
        <v>567</v>
      </c>
      <c r="C847" s="1" t="s">
        <v>21</v>
      </c>
      <c r="D847" s="35">
        <v>44603</v>
      </c>
      <c r="E847" s="1" t="s">
        <v>1889</v>
      </c>
      <c r="F847" s="2">
        <v>8792</v>
      </c>
      <c r="G847" s="2">
        <v>5408</v>
      </c>
      <c r="H847" s="2">
        <v>9884</v>
      </c>
      <c r="K847" s="32">
        <f>_xlfn.MAXIFS(ConsumoConcreto[Fim do Bombeamento],ConsumoConcreto[RecebimentoID],RecebimentoConcreto[[#This Row],[RecebimentoID]])</f>
        <v>0</v>
      </c>
      <c r="M847" s="37">
        <v>36892</v>
      </c>
      <c r="N847" s="5" t="s">
        <v>1801</v>
      </c>
      <c r="O847" s="9">
        <v>7</v>
      </c>
      <c r="P847" s="5" t="s">
        <v>26</v>
      </c>
      <c r="Q847" s="2">
        <v>1</v>
      </c>
      <c r="R847" s="5" t="s">
        <v>27</v>
      </c>
      <c r="S847" s="5" t="s">
        <v>32</v>
      </c>
      <c r="T847" s="39">
        <v>400</v>
      </c>
    </row>
    <row r="848" spans="1:20" ht="20.100000000000001" hidden="1" customHeight="1" x14ac:dyDescent="0.25">
      <c r="A848" s="26" t="str">
        <f>CONCATENATE(RIGHT(LEFT(RecebimentoConcreto[[#This Row],[Obra]],5),4),"RCBC",TEXT(RecebimentoConcreto[[#This Row],[Ordem]],"0000"))</f>
        <v>0184RCBC0595</v>
      </c>
      <c r="B848" s="1">
        <v>595</v>
      </c>
      <c r="C848" s="1" t="s">
        <v>21</v>
      </c>
      <c r="D848" s="35">
        <v>44755</v>
      </c>
      <c r="E848" s="1" t="s">
        <v>106</v>
      </c>
      <c r="F848" s="2">
        <v>9246</v>
      </c>
      <c r="G848" s="2">
        <v>5408</v>
      </c>
      <c r="H848" s="2">
        <v>15456</v>
      </c>
      <c r="J848" s="5">
        <v>0.46319444444444446</v>
      </c>
      <c r="K848" s="32">
        <f>_xlfn.MAXIFS(ConsumoConcreto[Fim do Bombeamento],ConsumoConcreto[RecebimentoID],RecebimentoConcreto[[#This Row],[RecebimentoID]])</f>
        <v>0.49305555555555558</v>
      </c>
      <c r="M848" s="37">
        <v>36892</v>
      </c>
      <c r="N848" s="5" t="s">
        <v>1801</v>
      </c>
      <c r="O848" s="9">
        <v>7</v>
      </c>
      <c r="P848" s="5" t="s">
        <v>26</v>
      </c>
      <c r="Q848" s="2">
        <v>3</v>
      </c>
      <c r="R848" s="5" t="s">
        <v>27</v>
      </c>
      <c r="S848" s="5" t="s">
        <v>32</v>
      </c>
      <c r="T848" s="39">
        <v>460</v>
      </c>
    </row>
    <row r="849" spans="1:20" ht="20.100000000000001" hidden="1" customHeight="1" x14ac:dyDescent="0.25">
      <c r="A849" s="26" t="str">
        <f>CONCATENATE(RIGHT(LEFT(RecebimentoConcreto[[#This Row],[Obra]],5),4),"RCBC",TEXT(RecebimentoConcreto[[#This Row],[Ordem]],"0000"))</f>
        <v>0184RCBC0596</v>
      </c>
      <c r="B849" s="1">
        <v>596</v>
      </c>
      <c r="C849" s="1" t="s">
        <v>21</v>
      </c>
      <c r="D849" s="35">
        <v>44755</v>
      </c>
      <c r="E849" s="1" t="s">
        <v>38</v>
      </c>
      <c r="F849" s="2">
        <v>9253</v>
      </c>
      <c r="G849" s="2">
        <v>5408</v>
      </c>
      <c r="H849" s="2">
        <v>15460</v>
      </c>
      <c r="J849" s="5">
        <v>0.56805555555555554</v>
      </c>
      <c r="K849" s="32">
        <f>_xlfn.MAXIFS(ConsumoConcreto[Fim do Bombeamento],ConsumoConcreto[RecebimentoID],RecebimentoConcreto[[#This Row],[RecebimentoID]])</f>
        <v>0.57986111111111105</v>
      </c>
      <c r="M849" s="37">
        <v>36892</v>
      </c>
      <c r="N849" s="5" t="s">
        <v>1801</v>
      </c>
      <c r="O849" s="9">
        <v>7.5</v>
      </c>
      <c r="P849" s="5" t="s">
        <v>26</v>
      </c>
      <c r="Q849" s="2">
        <v>3</v>
      </c>
      <c r="R849" s="5" t="s">
        <v>27</v>
      </c>
      <c r="S849" s="5" t="s">
        <v>32</v>
      </c>
      <c r="T849" s="39">
        <v>460</v>
      </c>
    </row>
    <row r="850" spans="1:20" ht="20.100000000000001" hidden="1" customHeight="1" x14ac:dyDescent="0.25">
      <c r="A850" s="26" t="str">
        <f>CONCATENATE(RIGHT(LEFT(RecebimentoConcreto[[#This Row],[Obra]],5),4),"RCBC",TEXT(RecebimentoConcreto[[#This Row],[Ordem]],"0000"))</f>
        <v>0184RCBC0597</v>
      </c>
      <c r="B850" s="1">
        <v>597</v>
      </c>
      <c r="C850" s="1" t="s">
        <v>21</v>
      </c>
      <c r="D850" s="35">
        <v>44755</v>
      </c>
      <c r="E850" s="1" t="s">
        <v>1848</v>
      </c>
      <c r="F850" s="2">
        <v>9256</v>
      </c>
      <c r="G850" s="2">
        <v>5408</v>
      </c>
      <c r="H850" s="2">
        <v>15464</v>
      </c>
      <c r="J850" s="5">
        <v>0.625</v>
      </c>
      <c r="K850" s="32">
        <f>_xlfn.MAXIFS(ConsumoConcreto[Fim do Bombeamento],ConsumoConcreto[RecebimentoID],RecebimentoConcreto[[#This Row],[RecebimentoID]])</f>
        <v>0.63888888888888895</v>
      </c>
      <c r="M850" s="37">
        <v>36892</v>
      </c>
      <c r="N850" s="5" t="s">
        <v>1801</v>
      </c>
      <c r="O850" s="9">
        <v>7</v>
      </c>
      <c r="P850" s="5" t="s">
        <v>26</v>
      </c>
      <c r="Q850" s="2">
        <v>3</v>
      </c>
      <c r="R850" s="5" t="s">
        <v>27</v>
      </c>
      <c r="S850" s="5" t="s">
        <v>32</v>
      </c>
      <c r="T850" s="39">
        <v>460</v>
      </c>
    </row>
    <row r="851" spans="1:20" ht="20.100000000000001" hidden="1" customHeight="1" x14ac:dyDescent="0.25">
      <c r="A851" s="26" t="str">
        <f>CONCATENATE(RIGHT(LEFT(RecebimentoConcreto[[#This Row],[Obra]],5),4),"RCBC",TEXT(RecebimentoConcreto[[#This Row],[Ordem]],"0000"))</f>
        <v>0184RCBC0598</v>
      </c>
      <c r="B851" s="1">
        <v>598</v>
      </c>
      <c r="C851" s="1" t="s">
        <v>21</v>
      </c>
      <c r="D851" s="35">
        <v>44755</v>
      </c>
      <c r="E851" s="1" t="s">
        <v>1708</v>
      </c>
      <c r="F851" s="2">
        <v>9258</v>
      </c>
      <c r="G851" s="2">
        <v>5408</v>
      </c>
      <c r="H851" s="2">
        <v>15466</v>
      </c>
      <c r="J851" s="5">
        <v>0.67361111111111116</v>
      </c>
      <c r="K851" s="32">
        <f>_xlfn.MAXIFS(ConsumoConcreto[Fim do Bombeamento],ConsumoConcreto[RecebimentoID],RecebimentoConcreto[[#This Row],[RecebimentoID]])</f>
        <v>0.69444444444444453</v>
      </c>
      <c r="M851" s="37">
        <v>36892</v>
      </c>
      <c r="N851" s="5" t="s">
        <v>1801</v>
      </c>
      <c r="O851" s="9">
        <v>7</v>
      </c>
      <c r="P851" s="5" t="s">
        <v>26</v>
      </c>
      <c r="Q851" s="2">
        <v>3</v>
      </c>
      <c r="R851" s="5" t="s">
        <v>27</v>
      </c>
      <c r="S851" s="5" t="s">
        <v>32</v>
      </c>
      <c r="T851" s="39">
        <v>460</v>
      </c>
    </row>
    <row r="852" spans="1:20" ht="20.100000000000001" hidden="1" customHeight="1" x14ac:dyDescent="0.25">
      <c r="A852" s="26" t="str">
        <f>CONCATENATE(RIGHT(LEFT(RecebimentoConcreto[[#This Row],[Obra]],5),4),"RCBC",TEXT(RecebimentoConcreto[[#This Row],[Ordem]],"0000"))</f>
        <v>0184RCBC0599</v>
      </c>
      <c r="B852" s="1">
        <v>599</v>
      </c>
      <c r="C852" s="1" t="s">
        <v>21</v>
      </c>
      <c r="D852" s="35">
        <v>44756</v>
      </c>
      <c r="E852" s="1" t="s">
        <v>106</v>
      </c>
      <c r="F852" s="2">
        <v>9274</v>
      </c>
      <c r="G852" s="2">
        <v>5408</v>
      </c>
      <c r="H852" s="2">
        <v>15482</v>
      </c>
      <c r="J852" s="5">
        <v>0.4069444444444445</v>
      </c>
      <c r="K852" s="32">
        <f>_xlfn.MAXIFS(ConsumoConcreto[Fim do Bombeamento],ConsumoConcreto[RecebimentoID],RecebimentoConcreto[[#This Row],[RecebimentoID]])</f>
        <v>0.45208333333333334</v>
      </c>
      <c r="M852" s="37">
        <v>36892</v>
      </c>
      <c r="N852" s="5" t="s">
        <v>1801</v>
      </c>
      <c r="O852" s="9">
        <v>7</v>
      </c>
      <c r="P852" s="5" t="s">
        <v>26</v>
      </c>
      <c r="Q852" s="2">
        <v>3</v>
      </c>
      <c r="R852" s="5" t="s">
        <v>27</v>
      </c>
      <c r="S852" s="5" t="s">
        <v>32</v>
      </c>
      <c r="T852" s="39">
        <v>460</v>
      </c>
    </row>
    <row r="853" spans="1:20" ht="20.100000000000001" hidden="1" customHeight="1" x14ac:dyDescent="0.25">
      <c r="A853" s="26" t="str">
        <f>CONCATENATE(RIGHT(LEFT(RecebimentoConcreto[[#This Row],[Obra]],5),4),"RCBC",TEXT(RecebimentoConcreto[[#This Row],[Ordem]],"0000"))</f>
        <v>0184RCBC0600</v>
      </c>
      <c r="B853" s="1">
        <v>600</v>
      </c>
      <c r="C853" s="1" t="s">
        <v>21</v>
      </c>
      <c r="D853" s="35">
        <v>44756</v>
      </c>
      <c r="E853" s="1" t="s">
        <v>37</v>
      </c>
      <c r="F853" s="2">
        <v>9283</v>
      </c>
      <c r="G853" s="2">
        <v>5408</v>
      </c>
      <c r="H853" s="2">
        <v>15491</v>
      </c>
      <c r="J853" s="5">
        <v>0.60416666666666663</v>
      </c>
      <c r="K853" s="32">
        <f>_xlfn.MAXIFS(ConsumoConcreto[Fim do Bombeamento],ConsumoConcreto[RecebimentoID],RecebimentoConcreto[[#This Row],[RecebimentoID]])</f>
        <v>0.64236111111111105</v>
      </c>
      <c r="M853" s="37">
        <v>36892</v>
      </c>
      <c r="N853" s="5" t="s">
        <v>1801</v>
      </c>
      <c r="O853" s="9">
        <v>6</v>
      </c>
      <c r="P853" s="5" t="s">
        <v>26</v>
      </c>
      <c r="Q853" s="2">
        <v>3</v>
      </c>
      <c r="R853" s="5" t="s">
        <v>27</v>
      </c>
      <c r="S853" s="5" t="s">
        <v>32</v>
      </c>
      <c r="T853" s="39">
        <v>460</v>
      </c>
    </row>
    <row r="854" spans="1:20" ht="20.100000000000001" hidden="1" customHeight="1" x14ac:dyDescent="0.25">
      <c r="A854" s="26" t="str">
        <f>CONCATENATE(RIGHT(LEFT(RecebimentoConcreto[[#This Row],[Obra]],5),4),"RCBC",TEXT(RecebimentoConcreto[[#This Row],[Ordem]],"0000"))</f>
        <v>0184RCBC0601</v>
      </c>
      <c r="B854" s="1">
        <v>601</v>
      </c>
      <c r="C854" s="1" t="s">
        <v>21</v>
      </c>
      <c r="D854" s="35">
        <v>44757</v>
      </c>
      <c r="E854" s="1" t="s">
        <v>38</v>
      </c>
      <c r="F854" s="2">
        <v>9103</v>
      </c>
      <c r="G854" s="2">
        <v>5408</v>
      </c>
      <c r="H854" s="2">
        <v>15511</v>
      </c>
      <c r="J854" s="5">
        <v>0.47569444444444442</v>
      </c>
      <c r="K854" s="32">
        <f>_xlfn.MAXIFS(ConsumoConcreto[Fim do Bombeamento],ConsumoConcreto[RecebimentoID],RecebimentoConcreto[[#This Row],[RecebimentoID]])</f>
        <v>0.48958333333333331</v>
      </c>
      <c r="M854" s="37">
        <v>36892</v>
      </c>
      <c r="N854" s="5" t="s">
        <v>1801</v>
      </c>
      <c r="O854" s="9">
        <v>5.5</v>
      </c>
      <c r="P854" s="5" t="s">
        <v>26</v>
      </c>
      <c r="Q854" s="2">
        <v>3</v>
      </c>
      <c r="R854" s="5" t="s">
        <v>27</v>
      </c>
      <c r="S854" s="5" t="s">
        <v>32</v>
      </c>
      <c r="T854" s="39">
        <v>460</v>
      </c>
    </row>
    <row r="855" spans="1:20" ht="20.100000000000001" hidden="1" customHeight="1" x14ac:dyDescent="0.25">
      <c r="A855" s="26" t="str">
        <f>CONCATENATE(RIGHT(LEFT(RecebimentoConcreto[[#This Row],[Obra]],5),4),"RCBC",TEXT(RecebimentoConcreto[[#This Row],[Ordem]],"0000"))</f>
        <v>0184RCBC0602</v>
      </c>
      <c r="B855" s="1">
        <v>602</v>
      </c>
      <c r="C855" s="1" t="s">
        <v>21</v>
      </c>
      <c r="D855" s="35">
        <v>44757</v>
      </c>
      <c r="E855" s="1" t="s">
        <v>38</v>
      </c>
      <c r="F855" s="2">
        <v>9105</v>
      </c>
      <c r="G855" s="2">
        <v>5408</v>
      </c>
      <c r="H855" s="2">
        <v>15513</v>
      </c>
      <c r="J855" s="5">
        <v>0.55902777777777779</v>
      </c>
      <c r="K855" s="32">
        <f>_xlfn.MAXIFS(ConsumoConcreto[Fim do Bombeamento],ConsumoConcreto[RecebimentoID],RecebimentoConcreto[[#This Row],[RecebimentoID]])</f>
        <v>0.56736111111111109</v>
      </c>
      <c r="M855" s="37">
        <v>36892</v>
      </c>
      <c r="N855" s="5" t="s">
        <v>1801</v>
      </c>
      <c r="O855" s="9">
        <v>5.5</v>
      </c>
      <c r="P855" s="5" t="s">
        <v>26</v>
      </c>
      <c r="Q855" s="2">
        <v>3</v>
      </c>
      <c r="R855" s="5" t="s">
        <v>27</v>
      </c>
      <c r="S855" s="5" t="s">
        <v>32</v>
      </c>
      <c r="T855" s="39">
        <v>460</v>
      </c>
    </row>
    <row r="856" spans="1:20" ht="20.100000000000001" hidden="1" customHeight="1" x14ac:dyDescent="0.25">
      <c r="A856" s="26" t="str">
        <f>CONCATENATE(RIGHT(LEFT(RecebimentoConcreto[[#This Row],[Obra]],5),4),"RCBC",TEXT(RecebimentoConcreto[[#This Row],[Ordem]],"0000"))</f>
        <v>0184RCBC0603</v>
      </c>
      <c r="B856" s="1">
        <v>603</v>
      </c>
      <c r="C856" s="1" t="s">
        <v>21</v>
      </c>
      <c r="D856" s="35">
        <v>44757</v>
      </c>
      <c r="E856" s="1" t="s">
        <v>37</v>
      </c>
      <c r="F856" s="2">
        <v>9108</v>
      </c>
      <c r="G856" s="2">
        <v>5408</v>
      </c>
      <c r="H856" s="2">
        <v>15516</v>
      </c>
      <c r="J856" s="5">
        <v>0.61111111111111105</v>
      </c>
      <c r="K856" s="32">
        <f>_xlfn.MAXIFS(ConsumoConcreto[Fim do Bombeamento],ConsumoConcreto[RecebimentoID],RecebimentoConcreto[[#This Row],[RecebimentoID]])</f>
        <v>0.625</v>
      </c>
      <c r="M856" s="37">
        <v>36892</v>
      </c>
      <c r="N856" s="5" t="s">
        <v>1801</v>
      </c>
      <c r="O856" s="9">
        <v>5.5</v>
      </c>
      <c r="P856" s="5" t="s">
        <v>26</v>
      </c>
      <c r="Q856" s="2">
        <v>3</v>
      </c>
      <c r="R856" s="5" t="s">
        <v>27</v>
      </c>
      <c r="S856" s="5" t="s">
        <v>32</v>
      </c>
      <c r="T856" s="39">
        <v>460</v>
      </c>
    </row>
    <row r="857" spans="1:20" ht="20.100000000000001" hidden="1" customHeight="1" x14ac:dyDescent="0.25">
      <c r="A857" s="26" t="str">
        <f>CONCATENATE(RIGHT(LEFT(RecebimentoConcreto[[#This Row],[Obra]],5),4),"RCBC",TEXT(RecebimentoConcreto[[#This Row],[Ordem]],"0000"))</f>
        <v>0184RCBC0604</v>
      </c>
      <c r="B857" s="1">
        <v>604</v>
      </c>
      <c r="C857" s="1" t="s">
        <v>21</v>
      </c>
      <c r="D857" s="35">
        <v>44757</v>
      </c>
      <c r="E857" s="1" t="s">
        <v>36</v>
      </c>
      <c r="F857" s="2">
        <v>9109</v>
      </c>
      <c r="G857" s="2">
        <v>5408</v>
      </c>
      <c r="H857" s="2">
        <v>15517</v>
      </c>
      <c r="J857" s="5">
        <v>0.63541666666666663</v>
      </c>
      <c r="K857" s="32">
        <f>_xlfn.MAXIFS(ConsumoConcreto[Fim do Bombeamento],ConsumoConcreto[RecebimentoID],RecebimentoConcreto[[#This Row],[RecebimentoID]])</f>
        <v>0.64722222222222225</v>
      </c>
      <c r="M857" s="37">
        <v>36892</v>
      </c>
      <c r="N857" s="5" t="s">
        <v>1801</v>
      </c>
      <c r="O857" s="9">
        <v>5.5</v>
      </c>
      <c r="P857" s="5" t="s">
        <v>26</v>
      </c>
      <c r="Q857" s="2">
        <v>3</v>
      </c>
      <c r="R857" s="5" t="s">
        <v>27</v>
      </c>
      <c r="S857" s="5" t="s">
        <v>32</v>
      </c>
      <c r="T857" s="39">
        <v>460</v>
      </c>
    </row>
    <row r="858" spans="1:20" ht="20.100000000000001" hidden="1" customHeight="1" x14ac:dyDescent="0.25">
      <c r="A858" s="26" t="str">
        <f>CONCATENATE(RIGHT(LEFT(RecebimentoConcreto[[#This Row],[Obra]],5),4),"RCBC",TEXT(RecebimentoConcreto[[#This Row],[Ordem]],"0000"))</f>
        <v>0184RCBC0605</v>
      </c>
      <c r="B858" s="1">
        <v>605</v>
      </c>
      <c r="C858" s="1" t="s">
        <v>21</v>
      </c>
      <c r="D858" s="35">
        <v>44757</v>
      </c>
      <c r="E858" s="1" t="s">
        <v>207</v>
      </c>
      <c r="F858" s="2">
        <v>9294</v>
      </c>
      <c r="G858" s="2">
        <v>5408</v>
      </c>
      <c r="H858" s="2">
        <v>15502</v>
      </c>
      <c r="J858" s="5">
        <v>0.3576388888888889</v>
      </c>
      <c r="K858" s="32">
        <f>_xlfn.MAXIFS(ConsumoConcreto[Fim do Bombeamento],ConsumoConcreto[RecebimentoID],RecebimentoConcreto[[#This Row],[RecebimentoID]])</f>
        <v>0.375</v>
      </c>
      <c r="M858" s="37">
        <v>36892</v>
      </c>
      <c r="N858" s="5" t="s">
        <v>1801</v>
      </c>
      <c r="O858" s="9">
        <v>6.5</v>
      </c>
      <c r="P858" s="5" t="s">
        <v>26</v>
      </c>
      <c r="Q858" s="2">
        <v>3</v>
      </c>
      <c r="R858" s="5" t="s">
        <v>27</v>
      </c>
      <c r="S858" s="5" t="s">
        <v>32</v>
      </c>
      <c r="T858" s="39">
        <v>460</v>
      </c>
    </row>
    <row r="859" spans="1:20" ht="20.100000000000001" hidden="1" customHeight="1" x14ac:dyDescent="0.25">
      <c r="A859" s="26" t="str">
        <f>CONCATENATE(RIGHT(LEFT(RecebimentoConcreto[[#This Row],[Obra]],5),4),"RCBC",TEXT(RecebimentoConcreto[[#This Row],[Ordem]],"0000"))</f>
        <v>0184RCBC0606</v>
      </c>
      <c r="B859" s="1">
        <v>606</v>
      </c>
      <c r="C859" s="1" t="s">
        <v>21</v>
      </c>
      <c r="D859" s="35">
        <v>44757</v>
      </c>
      <c r="E859" s="1" t="s">
        <v>1708</v>
      </c>
      <c r="F859" s="2">
        <v>9300</v>
      </c>
      <c r="G859" s="2">
        <v>5408</v>
      </c>
      <c r="H859" s="2">
        <v>15508</v>
      </c>
      <c r="J859" s="5">
        <v>0.42430555555555555</v>
      </c>
      <c r="K859" s="32">
        <f>_xlfn.MAXIFS(ConsumoConcreto[Fim do Bombeamento],ConsumoConcreto[RecebimentoID],RecebimentoConcreto[[#This Row],[RecebimentoID]])</f>
        <v>0.43055555555555558</v>
      </c>
      <c r="M859" s="37">
        <v>36892</v>
      </c>
      <c r="N859" s="5" t="s">
        <v>1801</v>
      </c>
      <c r="O859" s="9">
        <v>5.5</v>
      </c>
      <c r="P859" s="5" t="s">
        <v>26</v>
      </c>
      <c r="Q859" s="2">
        <v>3</v>
      </c>
      <c r="R859" s="5" t="s">
        <v>27</v>
      </c>
      <c r="S859" s="5" t="s">
        <v>32</v>
      </c>
      <c r="T859" s="39">
        <v>460</v>
      </c>
    </row>
    <row r="860" spans="1:20" ht="20.100000000000001" hidden="1" customHeight="1" x14ac:dyDescent="0.25">
      <c r="A860" s="26" t="str">
        <f>CONCATENATE(RIGHT(LEFT(RecebimentoConcreto[[#This Row],[Obra]],5),4),"RCBC",TEXT(RecebimentoConcreto[[#This Row],[Ordem]],"0000"))</f>
        <v>0184RCBC0607</v>
      </c>
      <c r="B860" s="1">
        <v>607</v>
      </c>
      <c r="C860" s="1" t="s">
        <v>21</v>
      </c>
      <c r="D860" s="35">
        <v>44758</v>
      </c>
      <c r="E860" s="1" t="s">
        <v>1708</v>
      </c>
      <c r="F860" s="2">
        <v>9112</v>
      </c>
      <c r="G860" s="2">
        <v>5408</v>
      </c>
      <c r="H860" s="2">
        <v>15520</v>
      </c>
      <c r="J860" s="5">
        <v>0.37013888888888885</v>
      </c>
      <c r="K860" s="32">
        <f>_xlfn.MAXIFS(ConsumoConcreto[Fim do Bombeamento],ConsumoConcreto[RecebimentoID],RecebimentoConcreto[[#This Row],[RecebimentoID]])</f>
        <v>0.37777777777777777</v>
      </c>
      <c r="M860" s="37">
        <v>36892</v>
      </c>
      <c r="N860" s="5" t="s">
        <v>1801</v>
      </c>
      <c r="O860" s="9">
        <v>7.5</v>
      </c>
      <c r="P860" s="5" t="s">
        <v>26</v>
      </c>
      <c r="Q860" s="2">
        <v>3</v>
      </c>
      <c r="R860" s="5" t="s">
        <v>27</v>
      </c>
      <c r="S860" s="5" t="s">
        <v>32</v>
      </c>
      <c r="T860" s="39">
        <v>460</v>
      </c>
    </row>
    <row r="861" spans="1:20" ht="20.100000000000001" hidden="1" customHeight="1" x14ac:dyDescent="0.25">
      <c r="A861" s="26" t="str">
        <f>CONCATENATE(RIGHT(LEFT(RecebimentoConcreto[[#This Row],[Obra]],5),4),"RCBC",TEXT(RecebimentoConcreto[[#This Row],[Ordem]],"0000"))</f>
        <v>0184RCBC0608</v>
      </c>
      <c r="B861" s="1">
        <v>608</v>
      </c>
      <c r="C861" s="1" t="s">
        <v>21</v>
      </c>
      <c r="D861" s="35">
        <v>44758</v>
      </c>
      <c r="E861" s="1" t="s">
        <v>36</v>
      </c>
      <c r="F861" s="2">
        <v>9115</v>
      </c>
      <c r="G861" s="2">
        <v>5408</v>
      </c>
      <c r="H861" s="2">
        <v>15523</v>
      </c>
      <c r="J861" s="5">
        <v>0.39583333333333331</v>
      </c>
      <c r="K861" s="32">
        <f>_xlfn.MAXIFS(ConsumoConcreto[Fim do Bombeamento],ConsumoConcreto[RecebimentoID],RecebimentoConcreto[[#This Row],[RecebimentoID]])</f>
        <v>0.40208333333333335</v>
      </c>
      <c r="M861" s="37">
        <v>36892</v>
      </c>
      <c r="N861" s="5" t="s">
        <v>1801</v>
      </c>
      <c r="O861" s="9">
        <v>5.5</v>
      </c>
      <c r="P861" s="5" t="s">
        <v>26</v>
      </c>
      <c r="Q861" s="2">
        <v>3</v>
      </c>
      <c r="R861" s="5" t="s">
        <v>27</v>
      </c>
      <c r="S861" s="5" t="s">
        <v>32</v>
      </c>
      <c r="T861" s="39">
        <v>460</v>
      </c>
    </row>
    <row r="862" spans="1:20" ht="20.100000000000001" hidden="1" customHeight="1" x14ac:dyDescent="0.25">
      <c r="A862" s="26" t="str">
        <f>CONCATENATE(RIGHT(LEFT(RecebimentoConcreto[[#This Row],[Obra]],5),4),"RCBC",TEXT(RecebimentoConcreto[[#This Row],[Ordem]],"0000"))</f>
        <v>0184RCBC0609</v>
      </c>
      <c r="B862" s="1">
        <v>609</v>
      </c>
      <c r="C862" s="1" t="s">
        <v>21</v>
      </c>
      <c r="D862" s="35">
        <v>44758</v>
      </c>
      <c r="E862" s="1" t="s">
        <v>36</v>
      </c>
      <c r="F862" s="2">
        <v>9119</v>
      </c>
      <c r="G862" s="2">
        <v>5408</v>
      </c>
      <c r="H862" s="2">
        <v>15527</v>
      </c>
      <c r="J862" s="5">
        <v>0.47222222222222227</v>
      </c>
      <c r="K862" s="32">
        <f>_xlfn.MAXIFS(ConsumoConcreto[Fim do Bombeamento],ConsumoConcreto[RecebimentoID],RecebimentoConcreto[[#This Row],[RecebimentoID]])</f>
        <v>0.47916666666666669</v>
      </c>
      <c r="M862" s="37">
        <v>36892</v>
      </c>
      <c r="N862" s="5" t="s">
        <v>1801</v>
      </c>
      <c r="O862" s="9">
        <v>5.5</v>
      </c>
      <c r="P862" s="5" t="s">
        <v>26</v>
      </c>
      <c r="Q862" s="2">
        <v>3</v>
      </c>
      <c r="R862" s="5" t="s">
        <v>27</v>
      </c>
      <c r="S862" s="5" t="s">
        <v>32</v>
      </c>
      <c r="T862" s="39">
        <v>460</v>
      </c>
    </row>
    <row r="863" spans="1:20" ht="20.100000000000001" hidden="1" customHeight="1" x14ac:dyDescent="0.25">
      <c r="A863" s="26" t="str">
        <f>CONCATENATE(RIGHT(LEFT(RecebimentoConcreto[[#This Row],[Obra]],5),4),"RCBC",TEXT(RecebimentoConcreto[[#This Row],[Ordem]],"0000"))</f>
        <v>0184RCBC0610</v>
      </c>
      <c r="B863" s="1">
        <v>610</v>
      </c>
      <c r="C863" s="1" t="s">
        <v>21</v>
      </c>
      <c r="D863" s="35">
        <v>44758</v>
      </c>
      <c r="E863" s="1" t="s">
        <v>37</v>
      </c>
      <c r="F863" s="2">
        <v>9117</v>
      </c>
      <c r="G863" s="2">
        <v>5408</v>
      </c>
      <c r="H863" s="2">
        <v>15525</v>
      </c>
      <c r="J863" s="5">
        <v>0.43958333333333338</v>
      </c>
      <c r="K863" s="32">
        <f>_xlfn.MAXIFS(ConsumoConcreto[Fim do Bombeamento],ConsumoConcreto[RecebimentoID],RecebimentoConcreto[[#This Row],[RecebimentoID]])</f>
        <v>0.44861111111111113</v>
      </c>
      <c r="M863" s="37">
        <v>36892</v>
      </c>
      <c r="N863" s="5" t="s">
        <v>1801</v>
      </c>
      <c r="O863" s="9">
        <v>5.5</v>
      </c>
      <c r="P863" s="5" t="s">
        <v>26</v>
      </c>
      <c r="Q863" s="2">
        <v>3</v>
      </c>
      <c r="R863" s="5" t="s">
        <v>27</v>
      </c>
      <c r="S863" s="5" t="s">
        <v>32</v>
      </c>
      <c r="T863" s="39">
        <v>460</v>
      </c>
    </row>
    <row r="864" spans="1:20" ht="20.100000000000001" hidden="1" customHeight="1" x14ac:dyDescent="0.25">
      <c r="A864" s="26" t="str">
        <f>CONCATENATE(RIGHT(LEFT(RecebimentoConcreto[[#This Row],[Obra]],5),4),"RCBC",TEXT(RecebimentoConcreto[[#This Row],[Ordem]],"0000"))</f>
        <v>0184RCBC0613</v>
      </c>
      <c r="B864" s="1">
        <v>613</v>
      </c>
      <c r="C864" s="1" t="s">
        <v>21</v>
      </c>
      <c r="D864" s="35">
        <v>44764</v>
      </c>
      <c r="E864" s="1" t="s">
        <v>37</v>
      </c>
      <c r="F864" s="2">
        <v>20221</v>
      </c>
      <c r="G864" s="2">
        <v>5408</v>
      </c>
      <c r="H864" s="2">
        <v>15632</v>
      </c>
      <c r="J864" s="5">
        <v>0.59375</v>
      </c>
      <c r="K864" s="32">
        <f>_xlfn.MAXIFS(ConsumoConcreto[Fim do Bombeamento],ConsumoConcreto[RecebimentoID],RecebimentoConcreto[[#This Row],[RecebimentoID]])</f>
        <v>0.625</v>
      </c>
      <c r="M864" s="37">
        <v>36892</v>
      </c>
      <c r="N864" s="5" t="s">
        <v>1801</v>
      </c>
      <c r="O864" s="9">
        <v>5.5</v>
      </c>
      <c r="P864" s="5" t="s">
        <v>26</v>
      </c>
      <c r="Q864" s="2">
        <v>3</v>
      </c>
      <c r="R864" s="5" t="s">
        <v>27</v>
      </c>
      <c r="S864" s="5" t="s">
        <v>32</v>
      </c>
      <c r="T864" s="39">
        <v>460</v>
      </c>
    </row>
    <row r="865" spans="1:20" ht="20.100000000000001" hidden="1" customHeight="1" x14ac:dyDescent="0.25">
      <c r="A865" s="26" t="str">
        <f>CONCATENATE(RIGHT(LEFT(RecebimentoConcreto[[#This Row],[Obra]],5),4),"RCBC",TEXT(RecebimentoConcreto[[#This Row],[Ordem]],"0000"))</f>
        <v>0184RCBC0614</v>
      </c>
      <c r="B865" s="1">
        <v>614</v>
      </c>
      <c r="C865" s="1" t="s">
        <v>21</v>
      </c>
      <c r="D865" s="35">
        <v>44764</v>
      </c>
      <c r="E865" s="1" t="s">
        <v>1861</v>
      </c>
      <c r="F865" s="2">
        <v>20226</v>
      </c>
      <c r="G865" s="2">
        <v>5408</v>
      </c>
      <c r="H865" s="2">
        <v>15637</v>
      </c>
      <c r="J865" s="5">
        <v>0.6791666666666667</v>
      </c>
      <c r="K865" s="32">
        <f>_xlfn.MAXIFS(ConsumoConcreto[Fim do Bombeamento],ConsumoConcreto[RecebimentoID],RecebimentoConcreto[[#This Row],[RecebimentoID]])</f>
        <v>0.71111111111111114</v>
      </c>
      <c r="M865" s="37">
        <v>36892</v>
      </c>
      <c r="N865" s="5" t="s">
        <v>1801</v>
      </c>
      <c r="O865" s="9">
        <v>5.5</v>
      </c>
      <c r="P865" s="5" t="s">
        <v>26</v>
      </c>
      <c r="Q865" s="2">
        <v>3</v>
      </c>
      <c r="R865" s="5" t="s">
        <v>27</v>
      </c>
      <c r="S865" s="5" t="s">
        <v>32</v>
      </c>
      <c r="T865" s="39">
        <v>460</v>
      </c>
    </row>
    <row r="866" spans="1:20" ht="20.100000000000001" hidden="1" customHeight="1" x14ac:dyDescent="0.25">
      <c r="A866" s="26" t="str">
        <f>CONCATENATE(RIGHT(LEFT(RecebimentoConcreto[[#This Row],[Obra]],5),4),"RCBC",TEXT(RecebimentoConcreto[[#This Row],[Ordem]],"0000"))</f>
        <v>0184RCBC0616</v>
      </c>
      <c r="B866" s="1">
        <v>616</v>
      </c>
      <c r="C866" s="1" t="s">
        <v>21</v>
      </c>
      <c r="D866" s="35">
        <v>44767</v>
      </c>
      <c r="E866" s="1" t="s">
        <v>36</v>
      </c>
      <c r="F866" s="2">
        <v>20256</v>
      </c>
      <c r="G866" s="2">
        <v>5408</v>
      </c>
      <c r="H866" s="2">
        <v>15665</v>
      </c>
      <c r="J866" s="5">
        <v>0.61458333333333337</v>
      </c>
      <c r="K866" s="32">
        <f>_xlfn.MAXIFS(ConsumoConcreto[Fim do Bombeamento],ConsumoConcreto[RecebimentoID],RecebimentoConcreto[[#This Row],[RecebimentoID]])</f>
        <v>0.63194444444444442</v>
      </c>
      <c r="M866" s="37">
        <v>36892</v>
      </c>
      <c r="N866" s="5" t="s">
        <v>1801</v>
      </c>
      <c r="O866" s="9">
        <v>5.5</v>
      </c>
      <c r="P866" s="5" t="s">
        <v>26</v>
      </c>
      <c r="Q866" s="2">
        <v>3</v>
      </c>
      <c r="R866" s="5" t="s">
        <v>27</v>
      </c>
      <c r="S866" s="5" t="s">
        <v>32</v>
      </c>
      <c r="T866" s="39">
        <v>460</v>
      </c>
    </row>
    <row r="867" spans="1:20" ht="20.100000000000001" hidden="1" customHeight="1" x14ac:dyDescent="0.25">
      <c r="A867" s="26" t="str">
        <f>CONCATENATE(RIGHT(LEFT(RecebimentoConcreto[[#This Row],[Obra]],5),4),"RCBC",TEXT(RecebimentoConcreto[[#This Row],[Ordem]],"0000"))</f>
        <v>0184RCBC0619</v>
      </c>
      <c r="B867" s="1">
        <v>619</v>
      </c>
      <c r="C867" s="1" t="s">
        <v>21</v>
      </c>
      <c r="D867" s="35">
        <v>44768</v>
      </c>
      <c r="E867" s="1" t="s">
        <v>37</v>
      </c>
      <c r="F867" s="2">
        <v>20287</v>
      </c>
      <c r="G867" s="2">
        <v>5408</v>
      </c>
      <c r="H867" s="2">
        <v>15695</v>
      </c>
      <c r="J867" s="5">
        <v>0.69097222222222221</v>
      </c>
      <c r="K867" s="32">
        <f>_xlfn.MAXIFS(ConsumoConcreto[Fim do Bombeamento],ConsumoConcreto[RecebimentoID],RecebimentoConcreto[[#This Row],[RecebimentoID]])</f>
        <v>0.69652777777777775</v>
      </c>
      <c r="M867" s="37">
        <v>36892</v>
      </c>
      <c r="N867" s="5" t="s">
        <v>1801</v>
      </c>
      <c r="O867" s="9">
        <v>5.5</v>
      </c>
      <c r="P867" s="5" t="s">
        <v>26</v>
      </c>
      <c r="Q867" s="2">
        <v>3</v>
      </c>
      <c r="R867" s="5" t="s">
        <v>27</v>
      </c>
      <c r="S867" s="5" t="s">
        <v>32</v>
      </c>
      <c r="T867" s="39">
        <v>460</v>
      </c>
    </row>
    <row r="868" spans="1:20" ht="20.100000000000001" hidden="1" customHeight="1" x14ac:dyDescent="0.25">
      <c r="A868" s="26" t="str">
        <f>CONCATENATE(RIGHT(LEFT(RecebimentoConcreto[[#This Row],[Obra]],5),4),"RCBC",TEXT(RecebimentoConcreto[[#This Row],[Ordem]],"0000"))</f>
        <v>0184RCBC0620</v>
      </c>
      <c r="B868" s="1">
        <v>620</v>
      </c>
      <c r="C868" s="1" t="s">
        <v>21</v>
      </c>
      <c r="D868" s="35">
        <v>44768</v>
      </c>
      <c r="E868" s="1" t="s">
        <v>1708</v>
      </c>
      <c r="F868" s="2">
        <v>20279</v>
      </c>
      <c r="G868" s="2">
        <v>5408</v>
      </c>
      <c r="H868" s="2">
        <v>15687</v>
      </c>
      <c r="J868" s="5">
        <v>0.54166666666666663</v>
      </c>
      <c r="K868" s="32">
        <f>_xlfn.MAXIFS(ConsumoConcreto[Fim do Bombeamento],ConsumoConcreto[RecebimentoID],RecebimentoConcreto[[#This Row],[RecebimentoID]])</f>
        <v>0.54861111111111105</v>
      </c>
      <c r="M868" s="37">
        <v>36892</v>
      </c>
      <c r="N868" s="5" t="s">
        <v>1801</v>
      </c>
      <c r="O868" s="9">
        <v>5.5</v>
      </c>
      <c r="P868" s="5" t="s">
        <v>26</v>
      </c>
      <c r="Q868" s="2">
        <v>3</v>
      </c>
      <c r="R868" s="5" t="s">
        <v>27</v>
      </c>
      <c r="S868" s="5" t="s">
        <v>32</v>
      </c>
      <c r="T868" s="39">
        <v>460</v>
      </c>
    </row>
    <row r="869" spans="1:20" ht="20.100000000000001" hidden="1" customHeight="1" x14ac:dyDescent="0.25">
      <c r="A869" s="26" t="str">
        <f>CONCATENATE(RIGHT(LEFT(RecebimentoConcreto[[#This Row],[Obra]],5),4),"RCBC",TEXT(RecebimentoConcreto[[#This Row],[Ordem]],"0000"))</f>
        <v>0184RCBC0621</v>
      </c>
      <c r="B869" s="1">
        <v>621</v>
      </c>
      <c r="C869" s="1" t="s">
        <v>21</v>
      </c>
      <c r="D869" s="35">
        <v>44768</v>
      </c>
      <c r="E869" s="1" t="s">
        <v>37</v>
      </c>
      <c r="F869" s="2">
        <v>20283</v>
      </c>
      <c r="G869" s="2">
        <v>5408</v>
      </c>
      <c r="H869" s="2">
        <v>15691</v>
      </c>
      <c r="J869" s="5">
        <v>0.5756944444444444</v>
      </c>
      <c r="K869" s="32">
        <f>_xlfn.MAXIFS(ConsumoConcreto[Fim do Bombeamento],ConsumoConcreto[RecebimentoID],RecebimentoConcreto[[#This Row],[RecebimentoID]])</f>
        <v>0.58680555555555558</v>
      </c>
      <c r="M869" s="37">
        <v>36892</v>
      </c>
      <c r="N869" s="5" t="s">
        <v>1801</v>
      </c>
      <c r="O869" s="9">
        <v>5.5</v>
      </c>
      <c r="P869" s="5" t="s">
        <v>26</v>
      </c>
      <c r="Q869" s="2">
        <v>3</v>
      </c>
      <c r="R869" s="5" t="s">
        <v>27</v>
      </c>
      <c r="S869" s="5" t="s">
        <v>32</v>
      </c>
      <c r="T869" s="39">
        <v>460</v>
      </c>
    </row>
    <row r="870" spans="1:20" ht="20.100000000000001" hidden="1" customHeight="1" x14ac:dyDescent="0.25">
      <c r="A870" s="26" t="str">
        <f>CONCATENATE(RIGHT(LEFT(RecebimentoConcreto[[#This Row],[Obra]],5),4),"RCBC",TEXT(RecebimentoConcreto[[#This Row],[Ordem]],"0000"))</f>
        <v>0184RCBC0622</v>
      </c>
      <c r="B870" s="1">
        <v>622</v>
      </c>
      <c r="C870" s="1" t="s">
        <v>21</v>
      </c>
      <c r="D870" s="35">
        <v>44768</v>
      </c>
      <c r="E870" s="1" t="s">
        <v>1708</v>
      </c>
      <c r="F870" s="2">
        <v>20285</v>
      </c>
      <c r="G870" s="2">
        <v>5408</v>
      </c>
      <c r="H870" s="2">
        <v>15693</v>
      </c>
      <c r="J870" s="5">
        <v>0.66041666666666665</v>
      </c>
      <c r="K870" s="32">
        <f>_xlfn.MAXIFS(ConsumoConcreto[Fim do Bombeamento],ConsumoConcreto[RecebimentoID],RecebimentoConcreto[[#This Row],[RecebimentoID]])</f>
        <v>0.66527777777777775</v>
      </c>
      <c r="M870" s="37">
        <v>36892</v>
      </c>
      <c r="N870" s="5" t="s">
        <v>1801</v>
      </c>
      <c r="O870" s="9">
        <v>5.5</v>
      </c>
      <c r="P870" s="5" t="s">
        <v>26</v>
      </c>
      <c r="Q870" s="2">
        <v>3</v>
      </c>
      <c r="R870" s="5" t="s">
        <v>27</v>
      </c>
      <c r="S870" s="5" t="s">
        <v>32</v>
      </c>
      <c r="T870" s="39">
        <v>460</v>
      </c>
    </row>
    <row r="871" spans="1:20" ht="20.100000000000001" hidden="1" customHeight="1" x14ac:dyDescent="0.25">
      <c r="A871" s="26" t="str">
        <f>CONCATENATE(RIGHT(LEFT(RecebimentoConcreto[[#This Row],[Obra]],5),4),"RCBC",TEXT(RecebimentoConcreto[[#This Row],[Ordem]],"0000"))</f>
        <v>0184RCBC0624</v>
      </c>
      <c r="B871" s="1">
        <v>624</v>
      </c>
      <c r="C871" s="1" t="s">
        <v>21</v>
      </c>
      <c r="D871" s="35">
        <v>44769</v>
      </c>
      <c r="E871" s="1" t="s">
        <v>1848</v>
      </c>
      <c r="F871" s="2">
        <v>7902</v>
      </c>
      <c r="G871" s="2">
        <v>5408</v>
      </c>
      <c r="H871" s="2">
        <v>15717</v>
      </c>
      <c r="J871" s="5">
        <v>0.54513888888888895</v>
      </c>
      <c r="K871" s="32">
        <f>_xlfn.MAXIFS(ConsumoConcreto[Fim do Bombeamento],ConsumoConcreto[RecebimentoID],RecebimentoConcreto[[#This Row],[RecebimentoID]])</f>
        <v>0.58333333333333337</v>
      </c>
      <c r="M871" s="37">
        <v>36892</v>
      </c>
      <c r="N871" s="5" t="s">
        <v>1801</v>
      </c>
      <c r="O871" s="9">
        <v>5.5</v>
      </c>
      <c r="P871" s="5" t="s">
        <v>26</v>
      </c>
      <c r="Q871" s="2">
        <v>3</v>
      </c>
      <c r="R871" s="5" t="s">
        <v>27</v>
      </c>
      <c r="S871" s="5" t="s">
        <v>32</v>
      </c>
      <c r="T871" s="39">
        <v>460</v>
      </c>
    </row>
    <row r="872" spans="1:20" ht="20.100000000000001" hidden="1" customHeight="1" x14ac:dyDescent="0.25">
      <c r="A872" s="26" t="str">
        <f>CONCATENATE(RIGHT(LEFT(RecebimentoConcreto[[#This Row],[Obra]],5),4),"RCBC",TEXT(RecebimentoConcreto[[#This Row],[Ordem]],"0000"))</f>
        <v>0184RCBC0625</v>
      </c>
      <c r="B872" s="1">
        <v>625</v>
      </c>
      <c r="C872" s="1" t="s">
        <v>21</v>
      </c>
      <c r="D872" s="35">
        <v>44769</v>
      </c>
      <c r="E872" s="1" t="s">
        <v>1708</v>
      </c>
      <c r="F872" s="2">
        <v>7904</v>
      </c>
      <c r="G872" s="2">
        <v>5408</v>
      </c>
      <c r="H872" s="2">
        <v>15719</v>
      </c>
      <c r="J872" s="5">
        <v>0.59722222222222221</v>
      </c>
      <c r="K872" s="32">
        <f>_xlfn.MAXIFS(ConsumoConcreto[Fim do Bombeamento],ConsumoConcreto[RecebimentoID],RecebimentoConcreto[[#This Row],[RecebimentoID]])</f>
        <v>0.62638888888888888</v>
      </c>
      <c r="M872" s="37">
        <v>36892</v>
      </c>
      <c r="N872" s="5" t="s">
        <v>1801</v>
      </c>
      <c r="O872" s="9">
        <v>5.5</v>
      </c>
      <c r="P872" s="5" t="s">
        <v>26</v>
      </c>
      <c r="Q872" s="2">
        <v>3</v>
      </c>
      <c r="R872" s="5" t="s">
        <v>27</v>
      </c>
      <c r="S872" s="5" t="s">
        <v>32</v>
      </c>
      <c r="T872" s="39">
        <v>460</v>
      </c>
    </row>
    <row r="873" spans="1:20" ht="20.100000000000001" hidden="1" customHeight="1" x14ac:dyDescent="0.25">
      <c r="A873" s="26" t="str">
        <f>CONCATENATE(RIGHT(LEFT(RecebimentoConcreto[[#This Row],[Obra]],5),4),"RCBC",TEXT(RecebimentoConcreto[[#This Row],[Ordem]],"0000"))</f>
        <v>0184RCBC0626</v>
      </c>
      <c r="B873" s="1">
        <v>626</v>
      </c>
      <c r="C873" s="1" t="s">
        <v>21</v>
      </c>
      <c r="D873" s="35">
        <v>44769</v>
      </c>
      <c r="E873" s="1" t="s">
        <v>36</v>
      </c>
      <c r="F873" s="2">
        <v>7909</v>
      </c>
      <c r="G873" s="2">
        <v>5408</v>
      </c>
      <c r="H873" s="2">
        <v>15724</v>
      </c>
      <c r="J873" s="5">
        <v>0.66319444444444442</v>
      </c>
      <c r="K873" s="32">
        <f>_xlfn.MAXIFS(ConsumoConcreto[Fim do Bombeamento],ConsumoConcreto[RecebimentoID],RecebimentoConcreto[[#This Row],[RecebimentoID]])</f>
        <v>0.6875</v>
      </c>
      <c r="M873" s="37">
        <v>36892</v>
      </c>
      <c r="N873" s="5" t="s">
        <v>1801</v>
      </c>
      <c r="O873" s="9">
        <v>5.5</v>
      </c>
      <c r="P873" s="5" t="s">
        <v>26</v>
      </c>
      <c r="Q873" s="2">
        <v>3</v>
      </c>
      <c r="R873" s="5" t="s">
        <v>27</v>
      </c>
      <c r="S873" s="5" t="s">
        <v>32</v>
      </c>
      <c r="T873" s="39">
        <v>460</v>
      </c>
    </row>
    <row r="874" spans="1:20" ht="20.100000000000001" hidden="1" customHeight="1" x14ac:dyDescent="0.25">
      <c r="A874" s="26" t="str">
        <f>CONCATENATE(RIGHT(LEFT(RecebimentoConcreto[[#This Row],[Obra]],5),4),"RCBC",TEXT(RecebimentoConcreto[[#This Row],[Ordem]],"0000"))</f>
        <v>0184RCBC0629</v>
      </c>
      <c r="B874" s="1">
        <v>629</v>
      </c>
      <c r="C874" s="1" t="s">
        <v>21</v>
      </c>
      <c r="D874" s="35">
        <v>44774</v>
      </c>
      <c r="E874" s="1" t="s">
        <v>207</v>
      </c>
      <c r="F874" s="2">
        <v>7977</v>
      </c>
      <c r="G874" s="2">
        <v>5408</v>
      </c>
      <c r="H874" s="2">
        <v>15792</v>
      </c>
      <c r="J874" s="5">
        <v>0.42638888888888887</v>
      </c>
      <c r="K874" s="32">
        <f>_xlfn.MAXIFS(ConsumoConcreto[Fim do Bombeamento],ConsumoConcreto[RecebimentoID],RecebimentoConcreto[[#This Row],[RecebimentoID]])</f>
        <v>0.45833333333333331</v>
      </c>
      <c r="M874" s="37">
        <v>36892</v>
      </c>
      <c r="N874" s="5" t="s">
        <v>1801</v>
      </c>
      <c r="O874" s="9">
        <v>5.5</v>
      </c>
      <c r="P874" s="5" t="s">
        <v>26</v>
      </c>
      <c r="Q874" s="2">
        <v>3</v>
      </c>
      <c r="R874" s="5" t="s">
        <v>27</v>
      </c>
      <c r="S874" s="5" t="s">
        <v>32</v>
      </c>
      <c r="T874" s="39">
        <v>460</v>
      </c>
    </row>
    <row r="875" spans="1:20" ht="20.100000000000001" hidden="1" customHeight="1" x14ac:dyDescent="0.25">
      <c r="A875" s="26" t="str">
        <f>CONCATENATE(RIGHT(LEFT(RecebimentoConcreto[[#This Row],[Obra]],5),4),"RCBC",TEXT(RecebimentoConcreto[[#This Row],[Ordem]],"0000"))</f>
        <v>0184RCBC0632</v>
      </c>
      <c r="B875" s="1">
        <v>632</v>
      </c>
      <c r="C875" s="1" t="s">
        <v>21</v>
      </c>
      <c r="D875" s="35">
        <v>44776</v>
      </c>
      <c r="E875" s="1" t="s">
        <v>106</v>
      </c>
      <c r="F875" s="2">
        <v>8216</v>
      </c>
      <c r="G875" s="2">
        <v>5408</v>
      </c>
      <c r="H875" s="2">
        <v>15831</v>
      </c>
      <c r="J875" s="5">
        <v>0.47291666666666665</v>
      </c>
      <c r="K875" s="32">
        <f>_xlfn.MAXIFS(ConsumoConcreto[Fim do Bombeamento],ConsumoConcreto[RecebimentoID],RecebimentoConcreto[[#This Row],[RecebimentoID]])</f>
        <v>0.50486111111111109</v>
      </c>
      <c r="M875" s="37">
        <v>36892</v>
      </c>
      <c r="N875" s="5" t="s">
        <v>1801</v>
      </c>
      <c r="O875" s="9">
        <v>5.5</v>
      </c>
      <c r="P875" s="5" t="s">
        <v>26</v>
      </c>
      <c r="Q875" s="2">
        <v>3</v>
      </c>
      <c r="R875" s="5" t="s">
        <v>27</v>
      </c>
      <c r="S875" s="5" t="s">
        <v>32</v>
      </c>
      <c r="T875" s="39">
        <v>460</v>
      </c>
    </row>
    <row r="876" spans="1:20" ht="20.100000000000001" hidden="1" customHeight="1" x14ac:dyDescent="0.25">
      <c r="A876" s="26" t="str">
        <f>CONCATENATE(RIGHT(LEFT(RecebimentoConcreto[[#This Row],[Obra]],5),4),"RCBC",TEXT(RecebimentoConcreto[[#This Row],[Ordem]],"0000"))</f>
        <v>0184RCBC0633</v>
      </c>
      <c r="B876" s="1">
        <v>633</v>
      </c>
      <c r="C876" s="1" t="s">
        <v>21</v>
      </c>
      <c r="D876" s="35">
        <v>44776</v>
      </c>
      <c r="E876" s="1" t="s">
        <v>106</v>
      </c>
      <c r="F876" s="2">
        <v>8224</v>
      </c>
      <c r="G876" s="2">
        <v>5408</v>
      </c>
      <c r="H876" s="2">
        <v>15839</v>
      </c>
      <c r="J876" s="5">
        <v>0.625</v>
      </c>
      <c r="K876" s="32">
        <f>_xlfn.MAXIFS(ConsumoConcreto[Fim do Bombeamento],ConsumoConcreto[RecebimentoID],RecebimentoConcreto[[#This Row],[RecebimentoID]])</f>
        <v>0.66388888888888886</v>
      </c>
      <c r="M876" s="37">
        <v>36892</v>
      </c>
      <c r="N876" s="5" t="s">
        <v>1801</v>
      </c>
      <c r="O876" s="9">
        <v>5.5</v>
      </c>
      <c r="P876" s="5" t="s">
        <v>26</v>
      </c>
      <c r="Q876" s="2">
        <v>3</v>
      </c>
      <c r="R876" s="5" t="s">
        <v>27</v>
      </c>
      <c r="S876" s="5" t="s">
        <v>32</v>
      </c>
      <c r="T876" s="39">
        <v>460</v>
      </c>
    </row>
    <row r="877" spans="1:20" ht="20.100000000000001" hidden="1" customHeight="1" x14ac:dyDescent="0.25">
      <c r="A877" s="26" t="str">
        <f>CONCATENATE(RIGHT(LEFT(RecebimentoConcreto[[#This Row],[Obra]],5),4),"RCBC",TEXT(RecebimentoConcreto[[#This Row],[Ordem]],"0000"))</f>
        <v>0184RCBC0634</v>
      </c>
      <c r="B877" s="1">
        <v>634</v>
      </c>
      <c r="C877" s="1" t="s">
        <v>21</v>
      </c>
      <c r="D877" s="35">
        <v>44776</v>
      </c>
      <c r="E877" s="1" t="s">
        <v>36</v>
      </c>
      <c r="F877" s="2">
        <v>8225</v>
      </c>
      <c r="G877" s="2">
        <v>5408</v>
      </c>
      <c r="H877" s="2">
        <v>15840</v>
      </c>
      <c r="J877" s="5">
        <v>0.6694444444444444</v>
      </c>
      <c r="K877" s="32">
        <f>_xlfn.MAXIFS(ConsumoConcreto[Fim do Bombeamento],ConsumoConcreto[RecebimentoID],RecebimentoConcreto[[#This Row],[RecebimentoID]])</f>
        <v>0.69444444444444453</v>
      </c>
      <c r="M877" s="37">
        <v>36892</v>
      </c>
      <c r="N877" s="5" t="s">
        <v>1801</v>
      </c>
      <c r="O877" s="9">
        <v>5.5</v>
      </c>
      <c r="P877" s="5" t="s">
        <v>26</v>
      </c>
      <c r="Q877" s="2">
        <v>3</v>
      </c>
      <c r="R877" s="5" t="s">
        <v>27</v>
      </c>
      <c r="S877" s="5" t="s">
        <v>32</v>
      </c>
      <c r="T877" s="39">
        <v>460</v>
      </c>
    </row>
    <row r="878" spans="1:20" ht="20.100000000000001" hidden="1" customHeight="1" x14ac:dyDescent="0.25">
      <c r="A878" s="26" t="str">
        <f>CONCATENATE(RIGHT(LEFT(RecebimentoConcreto[[#This Row],[Obra]],5),4),"RCBC",TEXT(RecebimentoConcreto[[#This Row],[Ordem]],"0000"))</f>
        <v>0184RCBC0639</v>
      </c>
      <c r="B878" s="1">
        <v>639</v>
      </c>
      <c r="C878" s="1" t="s">
        <v>21</v>
      </c>
      <c r="D878" s="35">
        <v>44781</v>
      </c>
      <c r="E878" s="1" t="s">
        <v>38</v>
      </c>
      <c r="F878" s="2">
        <v>18209</v>
      </c>
      <c r="G878" s="2">
        <v>5408</v>
      </c>
      <c r="H878" s="2">
        <v>15926</v>
      </c>
      <c r="J878" s="5">
        <v>0.3888888888888889</v>
      </c>
      <c r="K878" s="32">
        <f>_xlfn.MAXIFS(ConsumoConcreto[Fim do Bombeamento],ConsumoConcreto[RecebimentoID],RecebimentoConcreto[[#This Row],[RecebimentoID]])</f>
        <v>0.40347222222222223</v>
      </c>
      <c r="M878" s="37">
        <v>36892</v>
      </c>
      <c r="N878" s="5" t="s">
        <v>1801</v>
      </c>
      <c r="O878" s="9">
        <v>5.5</v>
      </c>
      <c r="P878" s="5" t="s">
        <v>26</v>
      </c>
      <c r="Q878" s="2">
        <v>3</v>
      </c>
      <c r="R878" s="5" t="s">
        <v>27</v>
      </c>
      <c r="S878" s="5" t="s">
        <v>32</v>
      </c>
      <c r="T878" s="39">
        <v>460</v>
      </c>
    </row>
    <row r="879" spans="1:20" ht="20.100000000000001" hidden="1" customHeight="1" x14ac:dyDescent="0.25">
      <c r="A879" s="26" t="str">
        <f>CONCATENATE(RIGHT(LEFT(RecebimentoConcreto[[#This Row],[Obra]],5),4),"RCBC",TEXT(RecebimentoConcreto[[#This Row],[Ordem]],"0000"))</f>
        <v>0184RCBC0640</v>
      </c>
      <c r="B879" s="1">
        <v>640</v>
      </c>
      <c r="C879" s="1" t="s">
        <v>21</v>
      </c>
      <c r="D879" s="35">
        <v>44781</v>
      </c>
      <c r="E879" s="1" t="s">
        <v>106</v>
      </c>
      <c r="F879" s="2">
        <v>18214</v>
      </c>
      <c r="G879" s="2">
        <v>5408</v>
      </c>
      <c r="H879" s="2">
        <v>15931</v>
      </c>
      <c r="J879" s="5">
        <v>0.44791666666666669</v>
      </c>
      <c r="K879" s="32">
        <f>_xlfn.MAXIFS(ConsumoConcreto[Fim do Bombeamento],ConsumoConcreto[RecebimentoID],RecebimentoConcreto[[#This Row],[RecebimentoID]])</f>
        <v>0.46875</v>
      </c>
      <c r="M879" s="37">
        <v>36892</v>
      </c>
      <c r="N879" s="5" t="s">
        <v>1801</v>
      </c>
      <c r="O879" s="9">
        <v>5.5</v>
      </c>
      <c r="P879" s="5" t="s">
        <v>26</v>
      </c>
      <c r="Q879" s="2">
        <v>3</v>
      </c>
      <c r="R879" s="5" t="s">
        <v>27</v>
      </c>
      <c r="S879" s="5" t="s">
        <v>32</v>
      </c>
      <c r="T879" s="39">
        <v>460</v>
      </c>
    </row>
    <row r="880" spans="1:20" ht="20.100000000000001" hidden="1" customHeight="1" x14ac:dyDescent="0.25">
      <c r="A880" s="26" t="str">
        <f>CONCATENATE(RIGHT(LEFT(RecebimentoConcreto[[#This Row],[Obra]],5),4),"RCBC",TEXT(RecebimentoConcreto[[#This Row],[Ordem]],"0000"))</f>
        <v>0184RCBC0644</v>
      </c>
      <c r="B880" s="1">
        <v>644</v>
      </c>
      <c r="C880" s="1" t="s">
        <v>21</v>
      </c>
      <c r="D880" s="35">
        <v>44783</v>
      </c>
      <c r="E880" s="1" t="s">
        <v>36</v>
      </c>
      <c r="F880" s="2">
        <v>18279</v>
      </c>
      <c r="G880" s="2">
        <v>5408</v>
      </c>
      <c r="H880" s="2">
        <v>15997</v>
      </c>
      <c r="J880" s="5">
        <v>0.63541666666666663</v>
      </c>
      <c r="K880" s="32">
        <f>_xlfn.MAXIFS(ConsumoConcreto[Fim do Bombeamento],ConsumoConcreto[RecebimentoID],RecebimentoConcreto[[#This Row],[RecebimentoID]])</f>
        <v>0.6694444444444444</v>
      </c>
      <c r="M880" s="37">
        <v>36892</v>
      </c>
      <c r="N880" s="5" t="s">
        <v>1801</v>
      </c>
      <c r="O880" s="9">
        <v>5.5</v>
      </c>
      <c r="P880" s="5" t="s">
        <v>26</v>
      </c>
      <c r="Q880" s="2">
        <v>3</v>
      </c>
      <c r="R880" s="5" t="s">
        <v>27</v>
      </c>
      <c r="S880" s="5" t="s">
        <v>32</v>
      </c>
      <c r="T880" s="39">
        <v>460</v>
      </c>
    </row>
    <row r="881" spans="1:20" ht="20.100000000000001" hidden="1" customHeight="1" x14ac:dyDescent="0.25">
      <c r="A881" s="26" t="str">
        <f>CONCATENATE(RIGHT(LEFT(RecebimentoConcreto[[#This Row],[Obra]],5),4),"RCBC",TEXT(RecebimentoConcreto[[#This Row],[Ordem]],"0000"))</f>
        <v>0184RCBC0645</v>
      </c>
      <c r="B881" s="1">
        <v>645</v>
      </c>
      <c r="C881" s="1" t="s">
        <v>21</v>
      </c>
      <c r="D881" s="35">
        <v>44783</v>
      </c>
      <c r="E881" s="1" t="s">
        <v>1708</v>
      </c>
      <c r="F881" s="2">
        <v>18265</v>
      </c>
      <c r="G881" s="2">
        <v>5408</v>
      </c>
      <c r="H881" s="2">
        <v>15983</v>
      </c>
      <c r="J881" s="5">
        <v>0.4055555555555555</v>
      </c>
      <c r="K881" s="32">
        <f>_xlfn.MAXIFS(ConsumoConcreto[Fim do Bombeamento],ConsumoConcreto[RecebimentoID],RecebimentoConcreto[[#This Row],[RecebimentoID]])</f>
        <v>0.43958333333333338</v>
      </c>
      <c r="M881" s="37">
        <v>36892</v>
      </c>
      <c r="N881" s="5" t="s">
        <v>1801</v>
      </c>
      <c r="O881" s="9">
        <v>7</v>
      </c>
      <c r="P881" s="5" t="s">
        <v>26</v>
      </c>
      <c r="Q881" s="2">
        <v>3</v>
      </c>
      <c r="R881" s="5" t="s">
        <v>27</v>
      </c>
      <c r="S881" s="5" t="s">
        <v>32</v>
      </c>
      <c r="T881" s="39">
        <v>460</v>
      </c>
    </row>
    <row r="882" spans="1:20" ht="20.100000000000001" hidden="1" customHeight="1" x14ac:dyDescent="0.25">
      <c r="A882" s="26" t="str">
        <f>CONCATENATE(RIGHT(LEFT(RecebimentoConcreto[[#This Row],[Obra]],5),4),"RCBC",TEXT(RecebimentoConcreto[[#This Row],[Ordem]],"0000"))</f>
        <v>0184RCBC0646</v>
      </c>
      <c r="B882" s="1">
        <v>646</v>
      </c>
      <c r="C882" s="1" t="s">
        <v>21</v>
      </c>
      <c r="D882" s="35">
        <v>44783</v>
      </c>
      <c r="E882" s="1" t="s">
        <v>208</v>
      </c>
      <c r="F882" s="2">
        <v>18282</v>
      </c>
      <c r="G882" s="2">
        <v>5408</v>
      </c>
      <c r="H882" s="2">
        <v>16000</v>
      </c>
      <c r="J882" s="5">
        <v>0.6875</v>
      </c>
      <c r="K882" s="32">
        <f>_xlfn.MAXIFS(ConsumoConcreto[Fim do Bombeamento],ConsumoConcreto[RecebimentoID],RecebimentoConcreto[[#This Row],[RecebimentoID]])</f>
        <v>0.70347222222222217</v>
      </c>
      <c r="M882" s="37">
        <v>36892</v>
      </c>
      <c r="N882" s="5" t="s">
        <v>1801</v>
      </c>
      <c r="O882" s="9">
        <v>5.5</v>
      </c>
      <c r="P882" s="5" t="s">
        <v>26</v>
      </c>
      <c r="Q882" s="2">
        <v>3</v>
      </c>
      <c r="R882" s="5" t="s">
        <v>27</v>
      </c>
      <c r="S882" s="5" t="s">
        <v>32</v>
      </c>
      <c r="T882" s="39">
        <v>460</v>
      </c>
    </row>
    <row r="883" spans="1:20" ht="20.100000000000001" hidden="1" customHeight="1" x14ac:dyDescent="0.25">
      <c r="A883" s="26" t="str">
        <f>CONCATENATE(RIGHT(LEFT(RecebimentoConcreto[[#This Row],[Obra]],5),4),"RCBC",TEXT(RecebimentoConcreto[[#This Row],[Ordem]],"0000"))</f>
        <v>0184RCBC0647</v>
      </c>
      <c r="B883" s="1">
        <v>647</v>
      </c>
      <c r="C883" s="1" t="s">
        <v>21</v>
      </c>
      <c r="D883" s="35">
        <v>44783</v>
      </c>
      <c r="E883" s="1" t="s">
        <v>36</v>
      </c>
      <c r="F883" s="2">
        <v>18272</v>
      </c>
      <c r="G883" s="2">
        <v>5408</v>
      </c>
      <c r="H883" s="2">
        <v>15990</v>
      </c>
      <c r="J883" s="5">
        <v>0.54097222222222219</v>
      </c>
      <c r="K883" s="32">
        <f>_xlfn.MAXIFS(ConsumoConcreto[Fim do Bombeamento],ConsumoConcreto[RecebimentoID],RecebimentoConcreto[[#This Row],[RecebimentoID]])</f>
        <v>0.57638888888888895</v>
      </c>
      <c r="M883" s="37">
        <v>36892</v>
      </c>
      <c r="N883" s="5" t="s">
        <v>1801</v>
      </c>
      <c r="O883" s="9">
        <v>5.5</v>
      </c>
      <c r="P883" s="5" t="s">
        <v>26</v>
      </c>
      <c r="Q883" s="2">
        <v>3</v>
      </c>
      <c r="R883" s="5" t="s">
        <v>27</v>
      </c>
      <c r="S883" s="5" t="s">
        <v>32</v>
      </c>
      <c r="T883" s="39">
        <v>460</v>
      </c>
    </row>
    <row r="884" spans="1:20" ht="20.100000000000001" hidden="1" customHeight="1" x14ac:dyDescent="0.25">
      <c r="A884" s="26" t="str">
        <f>CONCATENATE(RIGHT(LEFT(RecebimentoConcreto[[#This Row],[Obra]],5),4),"RCBC",TEXT(RecebimentoConcreto[[#This Row],[Ordem]],"0000"))</f>
        <v>0184RCBC0648</v>
      </c>
      <c r="B884" s="1">
        <v>648</v>
      </c>
      <c r="C884" s="1" t="s">
        <v>21</v>
      </c>
      <c r="D884" s="35">
        <v>44784</v>
      </c>
      <c r="E884" s="1" t="s">
        <v>37</v>
      </c>
      <c r="F884" s="2">
        <v>18294</v>
      </c>
      <c r="G884" s="2">
        <v>5408</v>
      </c>
      <c r="H884" s="2">
        <v>16016</v>
      </c>
      <c r="J884" s="5">
        <v>0.37986111111111115</v>
      </c>
      <c r="K884" s="32">
        <f>_xlfn.MAXIFS(ConsumoConcreto[Fim do Bombeamento],ConsumoConcreto[RecebimentoID],RecebimentoConcreto[[#This Row],[RecebimentoID]])</f>
        <v>0.40486111111111112</v>
      </c>
      <c r="M884" s="37">
        <v>36892</v>
      </c>
      <c r="N884" s="5" t="s">
        <v>1801</v>
      </c>
      <c r="O884" s="9">
        <v>6</v>
      </c>
      <c r="P884" s="5" t="s">
        <v>26</v>
      </c>
      <c r="Q884" s="2">
        <v>3</v>
      </c>
      <c r="R884" s="5" t="s">
        <v>27</v>
      </c>
      <c r="S884" s="5" t="s">
        <v>32</v>
      </c>
      <c r="T884" s="39">
        <v>460</v>
      </c>
    </row>
    <row r="885" spans="1:20" ht="20.100000000000001" hidden="1" customHeight="1" x14ac:dyDescent="0.25">
      <c r="A885" s="26" t="str">
        <f>CONCATENATE(RIGHT(LEFT(RecebimentoConcreto[[#This Row],[Obra]],5),4),"RCBC",TEXT(RecebimentoConcreto[[#This Row],[Ordem]],"0000"))</f>
        <v>0184RCBC0669</v>
      </c>
      <c r="B885" s="1">
        <v>669</v>
      </c>
      <c r="C885" s="1" t="s">
        <v>21</v>
      </c>
      <c r="D885" s="35">
        <v>44578</v>
      </c>
      <c r="G885" s="2">
        <v>54855</v>
      </c>
      <c r="K885" s="32">
        <f>_xlfn.MAXIFS(ConsumoConcreto[Fim do Bombeamento],ConsumoConcreto[RecebimentoID],RecebimentoConcreto[[#This Row],[RecebimentoID]])</f>
        <v>0</v>
      </c>
      <c r="M885" s="37">
        <v>36892</v>
      </c>
      <c r="N885" s="5" t="s">
        <v>1801</v>
      </c>
      <c r="O885" s="9">
        <v>6</v>
      </c>
      <c r="P885" s="5" t="s">
        <v>26</v>
      </c>
      <c r="Q885" s="2"/>
      <c r="R885" s="5" t="s">
        <v>27</v>
      </c>
      <c r="S885" s="5" t="s">
        <v>28</v>
      </c>
    </row>
    <row r="886" spans="1:20" ht="20.100000000000001" hidden="1" customHeight="1" x14ac:dyDescent="0.25">
      <c r="A886" s="26" t="str">
        <f>CONCATENATE(RIGHT(LEFT(RecebimentoConcreto[[#This Row],[Obra]],5),4),"RCBC",TEXT(RecebimentoConcreto[[#This Row],[Ordem]],"0000"))</f>
        <v>0184RCBC0670</v>
      </c>
      <c r="B886" s="1">
        <v>670</v>
      </c>
      <c r="C886" s="1" t="s">
        <v>21</v>
      </c>
      <c r="D886" s="35">
        <v>44578</v>
      </c>
      <c r="G886" s="2">
        <v>54855</v>
      </c>
      <c r="K886" s="32">
        <f>_xlfn.MAXIFS(ConsumoConcreto[Fim do Bombeamento],ConsumoConcreto[RecebimentoID],RecebimentoConcreto[[#This Row],[RecebimentoID]])</f>
        <v>0</v>
      </c>
      <c r="M886" s="37">
        <v>36892</v>
      </c>
      <c r="N886" s="5" t="s">
        <v>1801</v>
      </c>
      <c r="O886" s="9">
        <v>6</v>
      </c>
      <c r="P886" s="5" t="s">
        <v>26</v>
      </c>
      <c r="Q886" s="2"/>
      <c r="R886" s="5" t="s">
        <v>27</v>
      </c>
      <c r="S886" s="5" t="s">
        <v>28</v>
      </c>
    </row>
    <row r="887" spans="1:20" ht="20.100000000000001" hidden="1" customHeight="1" x14ac:dyDescent="0.25">
      <c r="A887" s="26" t="str">
        <f>CONCATENATE(RIGHT(LEFT(RecebimentoConcreto[[#This Row],[Obra]],5),4),"RCBC",TEXT(RecebimentoConcreto[[#This Row],[Ordem]],"0000"))</f>
        <v>0184RCBC0671</v>
      </c>
      <c r="B887" s="1">
        <v>671</v>
      </c>
      <c r="C887" s="1" t="s">
        <v>21</v>
      </c>
      <c r="D887" s="35">
        <v>44578</v>
      </c>
      <c r="G887" s="2">
        <v>54855</v>
      </c>
      <c r="K887" s="32">
        <f>_xlfn.MAXIFS(ConsumoConcreto[Fim do Bombeamento],ConsumoConcreto[RecebimentoID],RecebimentoConcreto[[#This Row],[RecebimentoID]])</f>
        <v>0</v>
      </c>
      <c r="M887" s="37">
        <v>36892</v>
      </c>
      <c r="N887" s="5" t="s">
        <v>1801</v>
      </c>
      <c r="O887" s="9">
        <v>6</v>
      </c>
      <c r="P887" s="5" t="s">
        <v>26</v>
      </c>
      <c r="Q887" s="2"/>
      <c r="R887" s="5" t="s">
        <v>27</v>
      </c>
      <c r="S887" s="5" t="s">
        <v>28</v>
      </c>
    </row>
    <row r="888" spans="1:20" ht="20.100000000000001" hidden="1" customHeight="1" x14ac:dyDescent="0.25">
      <c r="A888" s="26" t="str">
        <f>CONCATENATE(RIGHT(LEFT(RecebimentoConcreto[[#This Row],[Obra]],5),4),"RCBC",TEXT(RecebimentoConcreto[[#This Row],[Ordem]],"0000"))</f>
        <v>0184RCBC0672</v>
      </c>
      <c r="B888" s="1">
        <v>672</v>
      </c>
      <c r="C888" s="1" t="s">
        <v>21</v>
      </c>
      <c r="D888" s="35">
        <v>44578</v>
      </c>
      <c r="G888" s="2">
        <v>54855</v>
      </c>
      <c r="K888" s="32">
        <f>_xlfn.MAXIFS(ConsumoConcreto[Fim do Bombeamento],ConsumoConcreto[RecebimentoID],RecebimentoConcreto[[#This Row],[RecebimentoID]])</f>
        <v>0</v>
      </c>
      <c r="M888" s="37">
        <v>36892</v>
      </c>
      <c r="N888" s="5" t="s">
        <v>1801</v>
      </c>
      <c r="O888" s="9">
        <v>6</v>
      </c>
      <c r="P888" s="5" t="s">
        <v>26</v>
      </c>
      <c r="Q888" s="2"/>
      <c r="R888" s="5" t="s">
        <v>27</v>
      </c>
      <c r="S888" s="5" t="s">
        <v>28</v>
      </c>
    </row>
    <row r="889" spans="1:20" ht="20.100000000000001" hidden="1" customHeight="1" x14ac:dyDescent="0.25">
      <c r="A889" s="26" t="str">
        <f>CONCATENATE(RIGHT(LEFT(RecebimentoConcreto[[#This Row],[Obra]],5),4),"RCBC",TEXT(RecebimentoConcreto[[#This Row],[Ordem]],"0000"))</f>
        <v>0184RCBC0673</v>
      </c>
      <c r="B889" s="1">
        <v>673</v>
      </c>
      <c r="C889" s="1" t="s">
        <v>21</v>
      </c>
      <c r="D889" s="35">
        <v>44579</v>
      </c>
      <c r="G889" s="2">
        <v>54855</v>
      </c>
      <c r="K889" s="32">
        <f>_xlfn.MAXIFS(ConsumoConcreto[Fim do Bombeamento],ConsumoConcreto[RecebimentoID],RecebimentoConcreto[[#This Row],[RecebimentoID]])</f>
        <v>0</v>
      </c>
      <c r="M889" s="37">
        <v>36892</v>
      </c>
      <c r="N889" s="5" t="s">
        <v>1801</v>
      </c>
      <c r="O889" s="9">
        <v>6</v>
      </c>
      <c r="P889" s="5" t="s">
        <v>26</v>
      </c>
      <c r="Q889" s="2"/>
      <c r="R889" s="5" t="s">
        <v>27</v>
      </c>
      <c r="S889" s="5" t="s">
        <v>28</v>
      </c>
    </row>
    <row r="890" spans="1:20" ht="20.100000000000001" hidden="1" customHeight="1" x14ac:dyDescent="0.25">
      <c r="A890" s="26" t="str">
        <f>CONCATENATE(RIGHT(LEFT(RecebimentoConcreto[[#This Row],[Obra]],5),4),"RCBC",TEXT(RecebimentoConcreto[[#This Row],[Ordem]],"0000"))</f>
        <v>0184RCBC0674</v>
      </c>
      <c r="B890" s="1">
        <v>674</v>
      </c>
      <c r="C890" s="1" t="s">
        <v>21</v>
      </c>
      <c r="D890" s="35">
        <v>44579</v>
      </c>
      <c r="G890" s="2">
        <v>54855</v>
      </c>
      <c r="K890" s="32">
        <f>_xlfn.MAXIFS(ConsumoConcreto[Fim do Bombeamento],ConsumoConcreto[RecebimentoID],RecebimentoConcreto[[#This Row],[RecebimentoID]])</f>
        <v>0</v>
      </c>
      <c r="M890" s="37">
        <v>36892</v>
      </c>
      <c r="N890" s="5" t="s">
        <v>1801</v>
      </c>
      <c r="O890" s="9">
        <v>6</v>
      </c>
      <c r="P890" s="5" t="s">
        <v>26</v>
      </c>
      <c r="Q890" s="2"/>
      <c r="R890" s="5" t="s">
        <v>27</v>
      </c>
      <c r="S890" s="5" t="s">
        <v>28</v>
      </c>
    </row>
    <row r="891" spans="1:20" ht="20.100000000000001" hidden="1" customHeight="1" x14ac:dyDescent="0.25">
      <c r="A891" s="26" t="str">
        <f>CONCATENATE(RIGHT(LEFT(RecebimentoConcreto[[#This Row],[Obra]],5),4),"RCBC",TEXT(RecebimentoConcreto[[#This Row],[Ordem]],"0000"))</f>
        <v>0184RCBC0675</v>
      </c>
      <c r="B891" s="1">
        <v>675</v>
      </c>
      <c r="C891" s="1" t="s">
        <v>21</v>
      </c>
      <c r="D891" s="35">
        <v>44579</v>
      </c>
      <c r="G891" s="2">
        <v>54855</v>
      </c>
      <c r="K891" s="32">
        <f>_xlfn.MAXIFS(ConsumoConcreto[Fim do Bombeamento],ConsumoConcreto[RecebimentoID],RecebimentoConcreto[[#This Row],[RecebimentoID]])</f>
        <v>0</v>
      </c>
      <c r="M891" s="37">
        <v>36892</v>
      </c>
      <c r="N891" s="5" t="s">
        <v>1801</v>
      </c>
      <c r="O891" s="9">
        <v>6</v>
      </c>
      <c r="P891" s="5" t="s">
        <v>26</v>
      </c>
      <c r="Q891" s="2"/>
      <c r="R891" s="5" t="s">
        <v>27</v>
      </c>
      <c r="S891" s="5" t="s">
        <v>28</v>
      </c>
    </row>
    <row r="892" spans="1:20" ht="20.100000000000001" hidden="1" customHeight="1" x14ac:dyDescent="0.25">
      <c r="A892" s="26" t="str">
        <f>CONCATENATE(RIGHT(LEFT(RecebimentoConcreto[[#This Row],[Obra]],5),4),"RCBC",TEXT(RecebimentoConcreto[[#This Row],[Ordem]],"0000"))</f>
        <v>0184RCBC0676</v>
      </c>
      <c r="B892" s="1">
        <v>676</v>
      </c>
      <c r="C892" s="1" t="s">
        <v>21</v>
      </c>
      <c r="D892" s="35">
        <v>44579</v>
      </c>
      <c r="G892" s="2">
        <v>54855</v>
      </c>
      <c r="K892" s="32">
        <f>_xlfn.MAXIFS(ConsumoConcreto[Fim do Bombeamento],ConsumoConcreto[RecebimentoID],RecebimentoConcreto[[#This Row],[RecebimentoID]])</f>
        <v>0</v>
      </c>
      <c r="M892" s="37">
        <v>36892</v>
      </c>
      <c r="N892" s="5" t="s">
        <v>1801</v>
      </c>
      <c r="O892" s="9">
        <v>6</v>
      </c>
      <c r="P892" s="5" t="s">
        <v>26</v>
      </c>
      <c r="Q892" s="2"/>
      <c r="R892" s="5" t="s">
        <v>27</v>
      </c>
      <c r="S892" s="5" t="s">
        <v>28</v>
      </c>
    </row>
    <row r="893" spans="1:20" ht="20.100000000000001" hidden="1" customHeight="1" x14ac:dyDescent="0.25">
      <c r="A893" s="26" t="str">
        <f>CONCATENATE(RIGHT(LEFT(RecebimentoConcreto[[#This Row],[Obra]],5),4),"RCBC",TEXT(RecebimentoConcreto[[#This Row],[Ordem]],"0000"))</f>
        <v>0184RCBC0677</v>
      </c>
      <c r="B893" s="1">
        <v>677</v>
      </c>
      <c r="C893" s="1" t="s">
        <v>21</v>
      </c>
      <c r="D893" s="35">
        <v>44580</v>
      </c>
      <c r="G893" s="2">
        <v>54855</v>
      </c>
      <c r="K893" s="32">
        <f>_xlfn.MAXIFS(ConsumoConcreto[Fim do Bombeamento],ConsumoConcreto[RecebimentoID],RecebimentoConcreto[[#This Row],[RecebimentoID]])</f>
        <v>0</v>
      </c>
      <c r="M893" s="37">
        <v>36892</v>
      </c>
      <c r="N893" s="5" t="s">
        <v>1801</v>
      </c>
      <c r="O893" s="9">
        <v>7.33</v>
      </c>
      <c r="P893" s="5" t="s">
        <v>26</v>
      </c>
      <c r="Q893" s="2"/>
      <c r="R893" s="5" t="s">
        <v>27</v>
      </c>
      <c r="S893" s="5" t="s">
        <v>28</v>
      </c>
    </row>
    <row r="894" spans="1:20" ht="20.100000000000001" hidden="1" customHeight="1" x14ac:dyDescent="0.25">
      <c r="A894" s="26" t="str">
        <f>CONCATENATE(RIGHT(LEFT(RecebimentoConcreto[[#This Row],[Obra]],5),4),"RCBC",TEXT(RecebimentoConcreto[[#This Row],[Ordem]],"0000"))</f>
        <v>0184RCBC0678</v>
      </c>
      <c r="B894" s="1">
        <v>678</v>
      </c>
      <c r="C894" s="1" t="s">
        <v>21</v>
      </c>
      <c r="D894" s="35">
        <v>44580</v>
      </c>
      <c r="G894" s="2">
        <v>54855</v>
      </c>
      <c r="K894" s="32">
        <f>_xlfn.MAXIFS(ConsumoConcreto[Fim do Bombeamento],ConsumoConcreto[RecebimentoID],RecebimentoConcreto[[#This Row],[RecebimentoID]])</f>
        <v>0</v>
      </c>
      <c r="M894" s="37">
        <v>36892</v>
      </c>
      <c r="N894" s="5" t="s">
        <v>1801</v>
      </c>
      <c r="O894" s="9">
        <v>7.33</v>
      </c>
      <c r="P894" s="5" t="s">
        <v>26</v>
      </c>
      <c r="Q894" s="2"/>
      <c r="R894" s="5" t="s">
        <v>27</v>
      </c>
      <c r="S894" s="5" t="s">
        <v>28</v>
      </c>
    </row>
    <row r="895" spans="1:20" ht="20.100000000000001" hidden="1" customHeight="1" x14ac:dyDescent="0.25">
      <c r="A895" s="26" t="str">
        <f>CONCATENATE(RIGHT(LEFT(RecebimentoConcreto[[#This Row],[Obra]],5),4),"RCBC",TEXT(RecebimentoConcreto[[#This Row],[Ordem]],"0000"))</f>
        <v>0184RCBC0679</v>
      </c>
      <c r="B895" s="1">
        <v>679</v>
      </c>
      <c r="C895" s="1" t="s">
        <v>21</v>
      </c>
      <c r="D895" s="35">
        <v>44580</v>
      </c>
      <c r="G895" s="2">
        <v>54855</v>
      </c>
      <c r="K895" s="32">
        <f>_xlfn.MAXIFS(ConsumoConcreto[Fim do Bombeamento],ConsumoConcreto[RecebimentoID],RecebimentoConcreto[[#This Row],[RecebimentoID]])</f>
        <v>0</v>
      </c>
      <c r="M895" s="37">
        <v>36892</v>
      </c>
      <c r="N895" s="5" t="s">
        <v>1801</v>
      </c>
      <c r="O895" s="9">
        <v>7.33</v>
      </c>
      <c r="P895" s="5" t="s">
        <v>26</v>
      </c>
      <c r="Q895" s="2"/>
      <c r="R895" s="5" t="s">
        <v>27</v>
      </c>
      <c r="S895" s="5" t="s">
        <v>28</v>
      </c>
    </row>
    <row r="896" spans="1:20" ht="20.100000000000001" hidden="1" customHeight="1" x14ac:dyDescent="0.25">
      <c r="A896" s="26" t="str">
        <f>CONCATENATE(RIGHT(LEFT(RecebimentoConcreto[[#This Row],[Obra]],5),4),"RCBC",TEXT(RecebimentoConcreto[[#This Row],[Ordem]],"0000"))</f>
        <v>0184RCBC0680</v>
      </c>
      <c r="B896" s="1">
        <v>680</v>
      </c>
      <c r="C896" s="1" t="s">
        <v>21</v>
      </c>
      <c r="D896" s="35">
        <v>44580</v>
      </c>
      <c r="G896" s="2">
        <v>54855</v>
      </c>
      <c r="K896" s="32">
        <f>_xlfn.MAXIFS(ConsumoConcreto[Fim do Bombeamento],ConsumoConcreto[RecebimentoID],RecebimentoConcreto[[#This Row],[RecebimentoID]])</f>
        <v>0</v>
      </c>
      <c r="M896" s="37">
        <v>36892</v>
      </c>
      <c r="N896" s="5" t="s">
        <v>1801</v>
      </c>
      <c r="O896" s="9">
        <v>7.33</v>
      </c>
      <c r="P896" s="5" t="s">
        <v>26</v>
      </c>
      <c r="Q896" s="2"/>
      <c r="R896" s="5" t="s">
        <v>27</v>
      </c>
      <c r="S896" s="5" t="s">
        <v>28</v>
      </c>
    </row>
    <row r="897" spans="1:20" ht="20.100000000000001" hidden="1" customHeight="1" x14ac:dyDescent="0.25">
      <c r="A897" s="26" t="str">
        <f>CONCATENATE(RIGHT(LEFT(RecebimentoConcreto[[#This Row],[Obra]],5),4),"RCBC",TEXT(RecebimentoConcreto[[#This Row],[Ordem]],"0000"))</f>
        <v>0184RCBC0681</v>
      </c>
      <c r="B897" s="1">
        <v>681</v>
      </c>
      <c r="C897" s="1" t="s">
        <v>21</v>
      </c>
      <c r="D897" s="35">
        <v>44580</v>
      </c>
      <c r="G897" s="2">
        <v>54855</v>
      </c>
      <c r="K897" s="32">
        <f>_xlfn.MAXIFS(ConsumoConcreto[Fim do Bombeamento],ConsumoConcreto[RecebimentoID],RecebimentoConcreto[[#This Row],[RecebimentoID]])</f>
        <v>0</v>
      </c>
      <c r="M897" s="37">
        <v>36892</v>
      </c>
      <c r="N897" s="5" t="s">
        <v>1801</v>
      </c>
      <c r="O897" s="9">
        <v>7.33</v>
      </c>
      <c r="P897" s="5" t="s">
        <v>26</v>
      </c>
      <c r="Q897" s="2"/>
      <c r="R897" s="5" t="s">
        <v>27</v>
      </c>
      <c r="S897" s="5" t="s">
        <v>28</v>
      </c>
    </row>
    <row r="898" spans="1:20" ht="20.100000000000001" hidden="1" customHeight="1" x14ac:dyDescent="0.25">
      <c r="A898" s="26" t="str">
        <f>CONCATENATE(RIGHT(LEFT(RecebimentoConcreto[[#This Row],[Obra]],5),4),"RCBC",TEXT(RecebimentoConcreto[[#This Row],[Ordem]],"0000"))</f>
        <v>0184RCBC0682</v>
      </c>
      <c r="B898" s="1">
        <v>682</v>
      </c>
      <c r="C898" s="1" t="s">
        <v>21</v>
      </c>
      <c r="D898" s="35">
        <v>44580</v>
      </c>
      <c r="G898" s="2">
        <v>54855</v>
      </c>
      <c r="K898" s="32">
        <f>_xlfn.MAXIFS(ConsumoConcreto[Fim do Bombeamento],ConsumoConcreto[RecebimentoID],RecebimentoConcreto[[#This Row],[RecebimentoID]])</f>
        <v>0</v>
      </c>
      <c r="M898" s="37">
        <v>36892</v>
      </c>
      <c r="N898" s="5" t="s">
        <v>1801</v>
      </c>
      <c r="O898" s="9">
        <v>7.33</v>
      </c>
      <c r="P898" s="5" t="s">
        <v>26</v>
      </c>
      <c r="Q898" s="2"/>
      <c r="R898" s="5" t="s">
        <v>27</v>
      </c>
      <c r="S898" s="5" t="s">
        <v>28</v>
      </c>
    </row>
    <row r="899" spans="1:20" ht="20.100000000000001" hidden="1" customHeight="1" x14ac:dyDescent="0.25">
      <c r="A899" s="26" t="str">
        <f>CONCATENATE(RIGHT(LEFT(RecebimentoConcreto[[#This Row],[Obra]],5),4),"RCBC",TEXT(RecebimentoConcreto[[#This Row],[Ordem]],"0000"))</f>
        <v>0184RCBC0683</v>
      </c>
      <c r="B899" s="1">
        <v>683</v>
      </c>
      <c r="C899" s="1" t="s">
        <v>21</v>
      </c>
      <c r="D899" s="35">
        <v>44582</v>
      </c>
      <c r="G899" s="2">
        <v>54856</v>
      </c>
      <c r="K899" s="32">
        <f>_xlfn.MAXIFS(ConsumoConcreto[Fim do Bombeamento],ConsumoConcreto[RecebimentoID],RecebimentoConcreto[[#This Row],[RecebimentoID]])</f>
        <v>0</v>
      </c>
      <c r="M899" s="37">
        <v>36892</v>
      </c>
      <c r="N899" s="5" t="s">
        <v>1801</v>
      </c>
      <c r="O899" s="9">
        <v>7</v>
      </c>
      <c r="P899" s="5" t="s">
        <v>26</v>
      </c>
      <c r="Q899" s="2"/>
      <c r="R899" s="5" t="s">
        <v>27</v>
      </c>
      <c r="S899" s="5" t="s">
        <v>28</v>
      </c>
      <c r="T899" s="39">
        <v>390</v>
      </c>
    </row>
    <row r="900" spans="1:20" ht="20.100000000000001" hidden="1" customHeight="1" x14ac:dyDescent="0.25">
      <c r="A900" s="26" t="str">
        <f>CONCATENATE(RIGHT(LEFT(RecebimentoConcreto[[#This Row],[Obra]],5),4),"RCBC",TEXT(RecebimentoConcreto[[#This Row],[Ordem]],"0000"))</f>
        <v>0184RCBC0698</v>
      </c>
      <c r="B900" s="1">
        <v>698</v>
      </c>
      <c r="C900" s="1" t="s">
        <v>21</v>
      </c>
      <c r="D900" s="35">
        <v>44727</v>
      </c>
      <c r="E900" s="1" t="s">
        <v>38</v>
      </c>
      <c r="F900" s="2">
        <v>8514</v>
      </c>
      <c r="G900" s="2">
        <v>5408</v>
      </c>
      <c r="H900" s="2">
        <v>15016</v>
      </c>
      <c r="J900" s="5">
        <v>0.46527777777777773</v>
      </c>
      <c r="K900" s="32">
        <f>_xlfn.MAXIFS(ConsumoConcreto[Fim do Bombeamento],ConsumoConcreto[RecebimentoID],RecebimentoConcreto[[#This Row],[RecebimentoID]])</f>
        <v>0.48888888888888887</v>
      </c>
      <c r="M900" s="37">
        <v>36892</v>
      </c>
      <c r="N900" s="5" t="s">
        <v>1801</v>
      </c>
      <c r="O900" s="9">
        <v>5.5</v>
      </c>
      <c r="P900" s="5" t="s">
        <v>26</v>
      </c>
      <c r="Q900" s="2">
        <v>3</v>
      </c>
      <c r="R900" s="5" t="s">
        <v>27</v>
      </c>
      <c r="S900" s="5" t="s">
        <v>32</v>
      </c>
      <c r="T900" s="39">
        <v>460</v>
      </c>
    </row>
    <row r="901" spans="1:20" ht="20.100000000000001" hidden="1" customHeight="1" x14ac:dyDescent="0.25">
      <c r="A901" s="26" t="str">
        <f>CONCATENATE(RIGHT(LEFT(RecebimentoConcreto[[#This Row],[Obra]],5),4),"RCBC",TEXT(RecebimentoConcreto[[#This Row],[Ordem]],"0000"))</f>
        <v>0184RCBC0699</v>
      </c>
      <c r="B901" s="1">
        <v>699</v>
      </c>
      <c r="C901" s="1" t="s">
        <v>21</v>
      </c>
      <c r="D901" s="35">
        <v>44727</v>
      </c>
      <c r="E901" s="1" t="s">
        <v>1708</v>
      </c>
      <c r="F901" s="2">
        <v>8512</v>
      </c>
      <c r="G901" s="2">
        <v>5408</v>
      </c>
      <c r="H901" s="2">
        <v>15014</v>
      </c>
      <c r="J901" s="5">
        <v>0.43055555555555558</v>
      </c>
      <c r="K901" s="32">
        <f>_xlfn.MAXIFS(ConsumoConcreto[Fim do Bombeamento],ConsumoConcreto[RecebimentoID],RecebimentoConcreto[[#This Row],[RecebimentoID]])</f>
        <v>0.45</v>
      </c>
      <c r="M901" s="37">
        <v>36892</v>
      </c>
      <c r="N901" s="5" t="s">
        <v>1801</v>
      </c>
      <c r="O901" s="9">
        <v>5.5</v>
      </c>
      <c r="P901" s="5" t="s">
        <v>26</v>
      </c>
      <c r="Q901" s="2">
        <v>3</v>
      </c>
      <c r="R901" s="5" t="s">
        <v>27</v>
      </c>
      <c r="S901" s="5" t="s">
        <v>32</v>
      </c>
      <c r="T901" s="39">
        <v>460</v>
      </c>
    </row>
    <row r="902" spans="1:20" ht="20.100000000000001" hidden="1" customHeight="1" x14ac:dyDescent="0.25">
      <c r="A902" s="26" t="str">
        <f>CONCATENATE(RIGHT(LEFT(RecebimentoConcreto[[#This Row],[Obra]],5),4),"RCBC",TEXT(RecebimentoConcreto[[#This Row],[Ordem]],"0000"))</f>
        <v>0184RCBC0700</v>
      </c>
      <c r="B902" s="1">
        <v>700</v>
      </c>
      <c r="C902" s="1" t="s">
        <v>21</v>
      </c>
      <c r="D902" s="35">
        <v>44728</v>
      </c>
      <c r="E902" s="1" t="s">
        <v>207</v>
      </c>
      <c r="F902" s="2">
        <v>8547</v>
      </c>
      <c r="G902" s="2">
        <v>5408</v>
      </c>
      <c r="H902" s="2">
        <v>15049</v>
      </c>
      <c r="J902" s="5">
        <v>0.65902777777777777</v>
      </c>
      <c r="K902" s="32">
        <f>_xlfn.MAXIFS(ConsumoConcreto[Fim do Bombeamento],ConsumoConcreto[RecebimentoID],RecebimentoConcreto[[#This Row],[RecebimentoID]])</f>
        <v>0.6694444444444444</v>
      </c>
      <c r="M902" s="37">
        <v>36892</v>
      </c>
      <c r="N902" s="5" t="s">
        <v>1801</v>
      </c>
      <c r="O902" s="9">
        <v>6</v>
      </c>
      <c r="P902" s="5" t="s">
        <v>26</v>
      </c>
      <c r="Q902" s="2">
        <v>3</v>
      </c>
      <c r="R902" s="5" t="s">
        <v>27</v>
      </c>
      <c r="S902" s="5" t="s">
        <v>32</v>
      </c>
      <c r="T902" s="39">
        <v>460</v>
      </c>
    </row>
    <row r="903" spans="1:20" ht="20.100000000000001" hidden="1" customHeight="1" x14ac:dyDescent="0.25">
      <c r="A903" s="26" t="str">
        <f>CONCATENATE(RIGHT(LEFT(RecebimentoConcreto[[#This Row],[Obra]],5),4),"RCBC",TEXT(RecebimentoConcreto[[#This Row],[Ordem]],"0000"))</f>
        <v>0184RCBC0701</v>
      </c>
      <c r="B903" s="1">
        <v>701</v>
      </c>
      <c r="C903" s="1" t="s">
        <v>21</v>
      </c>
      <c r="D903" s="35">
        <v>44728</v>
      </c>
      <c r="E903" s="1" t="s">
        <v>38</v>
      </c>
      <c r="F903" s="2">
        <v>8546</v>
      </c>
      <c r="G903" s="2">
        <v>5408</v>
      </c>
      <c r="H903" s="2">
        <v>15048</v>
      </c>
      <c r="J903" s="5">
        <v>0.63194444444444442</v>
      </c>
      <c r="K903" s="32">
        <f>_xlfn.MAXIFS(ConsumoConcreto[Fim do Bombeamento],ConsumoConcreto[RecebimentoID],RecebimentoConcreto[[#This Row],[RecebimentoID]])</f>
        <v>0.64236111111111105</v>
      </c>
      <c r="M903" s="37">
        <v>36892</v>
      </c>
      <c r="N903" s="5" t="s">
        <v>1801</v>
      </c>
      <c r="O903" s="9">
        <v>5.5</v>
      </c>
      <c r="P903" s="5" t="s">
        <v>26</v>
      </c>
      <c r="Q903" s="2">
        <v>3</v>
      </c>
      <c r="R903" s="5" t="s">
        <v>27</v>
      </c>
      <c r="S903" s="5" t="s">
        <v>32</v>
      </c>
      <c r="T903" s="39">
        <v>460</v>
      </c>
    </row>
    <row r="904" spans="1:20" ht="20.100000000000001" hidden="1" customHeight="1" x14ac:dyDescent="0.25">
      <c r="A904" s="26" t="str">
        <f>CONCATENATE(RIGHT(LEFT(RecebimentoConcreto[[#This Row],[Obra]],5),4),"RCBC",TEXT(RecebimentoConcreto[[#This Row],[Ordem]],"0000"))</f>
        <v>0184RCBC0702</v>
      </c>
      <c r="B904" s="1">
        <v>702</v>
      </c>
      <c r="C904" s="1" t="s">
        <v>21</v>
      </c>
      <c r="D904" s="35">
        <v>44728</v>
      </c>
      <c r="E904" s="1" t="s">
        <v>207</v>
      </c>
      <c r="F904" s="2">
        <v>8539</v>
      </c>
      <c r="G904" s="2">
        <v>5408</v>
      </c>
      <c r="H904" s="2">
        <v>15041</v>
      </c>
      <c r="J904" s="5">
        <v>0.51111111111111118</v>
      </c>
      <c r="K904" s="32">
        <f>_xlfn.MAXIFS(ConsumoConcreto[Fim do Bombeamento],ConsumoConcreto[RecebimentoID],RecebimentoConcreto[[#This Row],[RecebimentoID]])</f>
        <v>0.5229166666666667</v>
      </c>
      <c r="M904" s="37">
        <v>36892</v>
      </c>
      <c r="N904" s="5" t="s">
        <v>1801</v>
      </c>
      <c r="O904" s="9">
        <v>5.5</v>
      </c>
      <c r="P904" s="5" t="s">
        <v>26</v>
      </c>
      <c r="Q904" s="2">
        <v>3</v>
      </c>
      <c r="R904" s="5" t="s">
        <v>27</v>
      </c>
      <c r="S904" s="5" t="s">
        <v>32</v>
      </c>
      <c r="T904" s="39">
        <v>460</v>
      </c>
    </row>
    <row r="905" spans="1:20" ht="20.100000000000001" hidden="1" customHeight="1" x14ac:dyDescent="0.25">
      <c r="A905" s="26" t="str">
        <f>CONCATENATE(RIGHT(LEFT(RecebimentoConcreto[[#This Row],[Obra]],5),4),"RCBC",TEXT(RecebimentoConcreto[[#This Row],[Ordem]],"0000"))</f>
        <v>0184RCBC0703</v>
      </c>
      <c r="B905" s="1">
        <v>703</v>
      </c>
      <c r="C905" s="1" t="s">
        <v>21</v>
      </c>
      <c r="D905" s="35">
        <v>44728</v>
      </c>
      <c r="E905" s="1" t="s">
        <v>1848</v>
      </c>
      <c r="F905" s="2">
        <v>8537</v>
      </c>
      <c r="G905" s="2">
        <v>5408</v>
      </c>
      <c r="H905" s="2">
        <v>15039</v>
      </c>
      <c r="J905" s="5">
        <v>0.48472222222222222</v>
      </c>
      <c r="K905" s="32">
        <f>_xlfn.MAXIFS(ConsumoConcreto[Fim do Bombeamento],ConsumoConcreto[RecebimentoID],RecebimentoConcreto[[#This Row],[RecebimentoID]])</f>
        <v>0.49791666666666662</v>
      </c>
      <c r="M905" s="37">
        <v>36892</v>
      </c>
      <c r="N905" s="5" t="s">
        <v>1801</v>
      </c>
      <c r="O905" s="9">
        <v>5.5</v>
      </c>
      <c r="P905" s="5" t="s">
        <v>26</v>
      </c>
      <c r="Q905" s="2">
        <v>3</v>
      </c>
      <c r="R905" s="5" t="s">
        <v>27</v>
      </c>
      <c r="S905" s="5" t="s">
        <v>32</v>
      </c>
      <c r="T905" s="39">
        <v>460</v>
      </c>
    </row>
    <row r="906" spans="1:20" ht="20.100000000000001" hidden="1" customHeight="1" x14ac:dyDescent="0.25">
      <c r="A906" s="26" t="str">
        <f>CONCATENATE(RIGHT(LEFT(RecebimentoConcreto[[#This Row],[Obra]],5),4),"RCBC",TEXT(RecebimentoConcreto[[#This Row],[Ordem]],"0000"))</f>
        <v>0184RCBC0704</v>
      </c>
      <c r="B906" s="1">
        <v>704</v>
      </c>
      <c r="C906" s="1" t="s">
        <v>21</v>
      </c>
      <c r="D906" s="35">
        <v>44728</v>
      </c>
      <c r="E906" s="1" t="s">
        <v>38</v>
      </c>
      <c r="F906" s="2">
        <v>8534</v>
      </c>
      <c r="G906" s="2">
        <v>5408</v>
      </c>
      <c r="H906" s="2">
        <v>15036</v>
      </c>
      <c r="J906" s="5">
        <v>0.41805555555555557</v>
      </c>
      <c r="K906" s="32">
        <f>_xlfn.MAXIFS(ConsumoConcreto[Fim do Bombeamento],ConsumoConcreto[RecebimentoID],RecebimentoConcreto[[#This Row],[RecebimentoID]])</f>
        <v>0.43541666666666662</v>
      </c>
      <c r="M906" s="37">
        <v>36892</v>
      </c>
      <c r="N906" s="5" t="s">
        <v>1801</v>
      </c>
      <c r="O906" s="9">
        <v>5.5</v>
      </c>
      <c r="P906" s="5" t="s">
        <v>26</v>
      </c>
      <c r="Q906" s="2">
        <v>3</v>
      </c>
      <c r="R906" s="5" t="s">
        <v>27</v>
      </c>
      <c r="S906" s="5" t="s">
        <v>32</v>
      </c>
      <c r="T906" s="39">
        <v>460</v>
      </c>
    </row>
    <row r="907" spans="1:20" ht="20.100000000000001" hidden="1" customHeight="1" x14ac:dyDescent="0.25">
      <c r="A907" s="26" t="str">
        <f>CONCATENATE(RIGHT(LEFT(RecebimentoConcreto[[#This Row],[Obra]],5),4),"RCBC",TEXT(RecebimentoConcreto[[#This Row],[Ordem]],"0000"))</f>
        <v>0184RCBC0705</v>
      </c>
      <c r="B907" s="1">
        <v>705</v>
      </c>
      <c r="C907" s="1" t="s">
        <v>21</v>
      </c>
      <c r="D907" s="35">
        <v>44728</v>
      </c>
      <c r="E907" s="1" t="s">
        <v>1708</v>
      </c>
      <c r="F907" s="2">
        <v>8531</v>
      </c>
      <c r="G907" s="2">
        <v>5408</v>
      </c>
      <c r="H907" s="2">
        <v>15033</v>
      </c>
      <c r="J907" s="5">
        <v>0.39374999999999999</v>
      </c>
      <c r="K907" s="32">
        <f>_xlfn.MAXIFS(ConsumoConcreto[Fim do Bombeamento],ConsumoConcreto[RecebimentoID],RecebimentoConcreto[[#This Row],[RecebimentoID]])</f>
        <v>0.40069444444444446</v>
      </c>
      <c r="M907" s="37">
        <v>36892</v>
      </c>
      <c r="N907" s="5" t="s">
        <v>1801</v>
      </c>
      <c r="O907" s="9">
        <v>5.5</v>
      </c>
      <c r="P907" s="5" t="s">
        <v>26</v>
      </c>
      <c r="Q907" s="2">
        <v>3</v>
      </c>
      <c r="R907" s="5" t="s">
        <v>27</v>
      </c>
      <c r="S907" s="5" t="s">
        <v>32</v>
      </c>
      <c r="T907" s="39">
        <v>460</v>
      </c>
    </row>
    <row r="908" spans="1:20" ht="20.100000000000001" hidden="1" customHeight="1" x14ac:dyDescent="0.25">
      <c r="A908" s="26" t="str">
        <f>CONCATENATE(RIGHT(LEFT(RecebimentoConcreto[[#This Row],[Obra]],5),4),"RCBC",TEXT(RecebimentoConcreto[[#This Row],[Ordem]],"0000"))</f>
        <v>0184RCBC0706</v>
      </c>
      <c r="B908" s="1">
        <v>706</v>
      </c>
      <c r="C908" s="1" t="s">
        <v>21</v>
      </c>
      <c r="D908" s="35">
        <v>44729</v>
      </c>
      <c r="E908" s="1" t="s">
        <v>1708</v>
      </c>
      <c r="F908" s="2">
        <v>8575</v>
      </c>
      <c r="G908" s="2">
        <v>5408</v>
      </c>
      <c r="H908" s="2">
        <v>15078</v>
      </c>
      <c r="J908" s="5">
        <v>0.66666666666666663</v>
      </c>
      <c r="K908" s="32">
        <f>_xlfn.MAXIFS(ConsumoConcreto[Fim do Bombeamento],ConsumoConcreto[RecebimentoID],RecebimentoConcreto[[#This Row],[RecebimentoID]])</f>
        <v>0.69166666666666676</v>
      </c>
      <c r="M908" s="37">
        <v>36892</v>
      </c>
      <c r="N908" s="5" t="s">
        <v>1801</v>
      </c>
      <c r="O908" s="9">
        <v>5.5</v>
      </c>
      <c r="P908" s="5" t="s">
        <v>26</v>
      </c>
      <c r="Q908" s="2">
        <v>3</v>
      </c>
      <c r="R908" s="5" t="s">
        <v>27</v>
      </c>
      <c r="S908" s="5" t="s">
        <v>32</v>
      </c>
      <c r="T908" s="39">
        <v>460</v>
      </c>
    </row>
    <row r="909" spans="1:20" ht="20.100000000000001" hidden="1" customHeight="1" x14ac:dyDescent="0.25">
      <c r="A909" s="26" t="str">
        <f>CONCATENATE(RIGHT(LEFT(RecebimentoConcreto[[#This Row],[Obra]],5),4),"RCBC",TEXT(RecebimentoConcreto[[#This Row],[Ordem]],"0000"))</f>
        <v>0184RCBC0707</v>
      </c>
      <c r="B909" s="1">
        <v>707</v>
      </c>
      <c r="C909" s="1" t="s">
        <v>21</v>
      </c>
      <c r="D909" s="35">
        <v>44729</v>
      </c>
      <c r="E909" s="1" t="s">
        <v>1708</v>
      </c>
      <c r="F909" s="2">
        <v>8567</v>
      </c>
      <c r="G909" s="2">
        <v>5408</v>
      </c>
      <c r="H909" s="2">
        <v>15069</v>
      </c>
      <c r="J909" s="5">
        <v>0.48402777777777778</v>
      </c>
      <c r="K909" s="32">
        <f>_xlfn.MAXIFS(ConsumoConcreto[Fim do Bombeamento],ConsumoConcreto[RecebimentoID],RecebimentoConcreto[[#This Row],[RecebimentoID]])</f>
        <v>0.51388888888888895</v>
      </c>
      <c r="M909" s="37">
        <v>36892</v>
      </c>
      <c r="N909" s="5" t="s">
        <v>1801</v>
      </c>
      <c r="O909" s="9">
        <v>5.5</v>
      </c>
      <c r="P909" s="5" t="s">
        <v>26</v>
      </c>
      <c r="Q909" s="2">
        <v>3</v>
      </c>
      <c r="R909" s="5" t="s">
        <v>27</v>
      </c>
      <c r="S909" s="5" t="s">
        <v>32</v>
      </c>
      <c r="T909" s="39">
        <v>460</v>
      </c>
    </row>
    <row r="910" spans="1:20" ht="20.100000000000001" hidden="1" customHeight="1" x14ac:dyDescent="0.25">
      <c r="A910" s="26" t="str">
        <f>CONCATENATE(RIGHT(LEFT(RecebimentoConcreto[[#This Row],[Obra]],5),4),"RCBC",TEXT(RecebimentoConcreto[[#This Row],[Ordem]],"0000"))</f>
        <v>0184RCBC0708</v>
      </c>
      <c r="B910" s="1">
        <v>708</v>
      </c>
      <c r="C910" s="1" t="s">
        <v>21</v>
      </c>
      <c r="D910" s="35">
        <v>44729</v>
      </c>
      <c r="E910" s="1" t="s">
        <v>1848</v>
      </c>
      <c r="F910" s="2">
        <v>8564</v>
      </c>
      <c r="G910" s="2">
        <v>5408</v>
      </c>
      <c r="H910" s="2">
        <v>15066</v>
      </c>
      <c r="J910" s="5">
        <v>0.41041666666666665</v>
      </c>
      <c r="K910" s="32">
        <f>_xlfn.MAXIFS(ConsumoConcreto[Fim do Bombeamento],ConsumoConcreto[RecebimentoID],RecebimentoConcreto[[#This Row],[RecebimentoID]])</f>
        <v>0.4381944444444445</v>
      </c>
      <c r="M910" s="37">
        <v>36892</v>
      </c>
      <c r="N910" s="5" t="s">
        <v>1801</v>
      </c>
      <c r="O910" s="9">
        <v>5.5</v>
      </c>
      <c r="P910" s="5" t="s">
        <v>26</v>
      </c>
      <c r="Q910" s="2">
        <v>3</v>
      </c>
      <c r="R910" s="5" t="s">
        <v>27</v>
      </c>
      <c r="S910" s="5" t="s">
        <v>32</v>
      </c>
      <c r="T910" s="39">
        <v>460</v>
      </c>
    </row>
    <row r="911" spans="1:20" ht="20.100000000000001" hidden="1" customHeight="1" x14ac:dyDescent="0.25">
      <c r="A911" s="26" t="str">
        <f>CONCATENATE(RIGHT(LEFT(RecebimentoConcreto[[#This Row],[Obra]],5),4),"RCBC",TEXT(RecebimentoConcreto[[#This Row],[Ordem]],"0000"))</f>
        <v>0184RCBC0709</v>
      </c>
      <c r="B911" s="1">
        <v>709</v>
      </c>
      <c r="C911" s="1" t="s">
        <v>21</v>
      </c>
      <c r="D911" s="35">
        <v>44729</v>
      </c>
      <c r="E911" s="1" t="s">
        <v>1890</v>
      </c>
      <c r="F911" s="2">
        <v>8561</v>
      </c>
      <c r="G911" s="2">
        <v>5408</v>
      </c>
      <c r="H911" s="2">
        <v>15063</v>
      </c>
      <c r="J911" s="5">
        <v>0.37222222222222223</v>
      </c>
      <c r="K911" s="32">
        <f>_xlfn.MAXIFS(ConsumoConcreto[Fim do Bombeamento],ConsumoConcreto[RecebimentoID],RecebimentoConcreto[[#This Row],[RecebimentoID]])</f>
        <v>0.40277777777777773</v>
      </c>
      <c r="M911" s="37">
        <v>36892</v>
      </c>
      <c r="N911" s="5" t="s">
        <v>1801</v>
      </c>
      <c r="O911" s="9">
        <v>5.5</v>
      </c>
      <c r="P911" s="5" t="s">
        <v>26</v>
      </c>
      <c r="Q911" s="2">
        <v>3</v>
      </c>
      <c r="R911" s="5" t="s">
        <v>27</v>
      </c>
      <c r="S911" s="5" t="s">
        <v>32</v>
      </c>
      <c r="T911" s="39">
        <v>460</v>
      </c>
    </row>
    <row r="912" spans="1:20" ht="20.100000000000001" hidden="1" customHeight="1" x14ac:dyDescent="0.25">
      <c r="A912" s="26" t="str">
        <f>CONCATENATE(RIGHT(LEFT(RecebimentoConcreto[[#This Row],[Obra]],5),4),"RCBC",TEXT(RecebimentoConcreto[[#This Row],[Ordem]],"0000"))</f>
        <v>0184RCBC0710</v>
      </c>
      <c r="B912" s="1">
        <v>710</v>
      </c>
      <c r="C912" s="1" t="s">
        <v>21</v>
      </c>
      <c r="D912" s="35">
        <v>44734</v>
      </c>
      <c r="E912" s="1" t="s">
        <v>1891</v>
      </c>
      <c r="F912" s="2">
        <v>4425323</v>
      </c>
      <c r="G912" s="2">
        <v>56799</v>
      </c>
      <c r="H912" s="2">
        <v>29325</v>
      </c>
      <c r="J912" s="5">
        <v>0.53333333333333333</v>
      </c>
      <c r="K912" s="32">
        <f>_xlfn.MAXIFS(ConsumoConcreto[Fim do Bombeamento],ConsumoConcreto[RecebimentoID],RecebimentoConcreto[[#This Row],[RecebimentoID]])</f>
        <v>0.55902777777777779</v>
      </c>
      <c r="M912" s="37">
        <v>36892</v>
      </c>
      <c r="N912" s="5" t="s">
        <v>1801</v>
      </c>
      <c r="O912" s="9">
        <v>5.2</v>
      </c>
      <c r="P912" s="5" t="s">
        <v>26</v>
      </c>
      <c r="Q912" s="2"/>
      <c r="R912" s="5" t="s">
        <v>27</v>
      </c>
      <c r="S912" s="5" t="s">
        <v>28</v>
      </c>
      <c r="T912" s="39">
        <v>465</v>
      </c>
    </row>
    <row r="913" spans="1:20" ht="20.100000000000001" hidden="1" customHeight="1" x14ac:dyDescent="0.25">
      <c r="A913" s="26" t="str">
        <f>CONCATENATE(RIGHT(LEFT(RecebimentoConcreto[[#This Row],[Obra]],5),4),"RCBC",TEXT(RecebimentoConcreto[[#This Row],[Ordem]],"0000"))</f>
        <v>0184RCBC0711</v>
      </c>
      <c r="B913" s="1">
        <v>711</v>
      </c>
      <c r="C913" s="1" t="s">
        <v>21</v>
      </c>
      <c r="D913" s="35">
        <v>44734</v>
      </c>
      <c r="E913" s="1" t="s">
        <v>1891</v>
      </c>
      <c r="F913" s="2">
        <v>4425323</v>
      </c>
      <c r="G913" s="2">
        <v>56799</v>
      </c>
      <c r="H913" s="2">
        <v>29325</v>
      </c>
      <c r="J913" s="5">
        <v>0.53333333333333333</v>
      </c>
      <c r="K913" s="32">
        <f>_xlfn.MAXIFS(ConsumoConcreto[Fim do Bombeamento],ConsumoConcreto[RecebimentoID],RecebimentoConcreto[[#This Row],[RecebimentoID]])</f>
        <v>0.55902777777777779</v>
      </c>
      <c r="M913" s="37">
        <v>36892</v>
      </c>
      <c r="N913" s="5" t="s">
        <v>1801</v>
      </c>
      <c r="O913" s="9">
        <v>5.2</v>
      </c>
      <c r="P913" s="5" t="s">
        <v>26</v>
      </c>
      <c r="Q913" s="2"/>
      <c r="R913" s="5" t="s">
        <v>27</v>
      </c>
      <c r="S913" s="5" t="s">
        <v>28</v>
      </c>
      <c r="T913" s="39">
        <v>465</v>
      </c>
    </row>
    <row r="914" spans="1:20" ht="20.100000000000001" hidden="1" customHeight="1" x14ac:dyDescent="0.25">
      <c r="A914" s="26" t="str">
        <f>CONCATENATE(RIGHT(LEFT(RecebimentoConcreto[[#This Row],[Obra]],5),4),"RCBC",TEXT(RecebimentoConcreto[[#This Row],[Ordem]],"0000"))</f>
        <v>0184RCBC0712</v>
      </c>
      <c r="B914" s="1">
        <v>712</v>
      </c>
      <c r="C914" s="1" t="s">
        <v>21</v>
      </c>
      <c r="D914" s="35">
        <v>44734</v>
      </c>
      <c r="E914" s="1" t="s">
        <v>1892</v>
      </c>
      <c r="F914" s="2" t="s">
        <v>1893</v>
      </c>
      <c r="G914" s="2">
        <v>56799</v>
      </c>
      <c r="H914" s="2" t="s">
        <v>1894</v>
      </c>
      <c r="J914" s="5">
        <v>0.49513888888888885</v>
      </c>
      <c r="K914" s="32">
        <f>_xlfn.MAXIFS(ConsumoConcreto[Fim do Bombeamento],ConsumoConcreto[RecebimentoID],RecebimentoConcreto[[#This Row],[RecebimentoID]])</f>
        <v>0.52083333333333337</v>
      </c>
      <c r="M914" s="37">
        <v>36892</v>
      </c>
      <c r="N914" s="5" t="s">
        <v>1801</v>
      </c>
      <c r="O914" s="9">
        <v>5.5</v>
      </c>
      <c r="P914" s="5" t="s">
        <v>26</v>
      </c>
      <c r="Q914" s="2"/>
      <c r="R914" s="5" t="s">
        <v>27</v>
      </c>
      <c r="S914" s="5" t="s">
        <v>28</v>
      </c>
      <c r="T914" s="39">
        <v>465</v>
      </c>
    </row>
    <row r="915" spans="1:20" ht="20.100000000000001" hidden="1" customHeight="1" x14ac:dyDescent="0.25">
      <c r="A915" s="26" t="str">
        <f>CONCATENATE(RIGHT(LEFT(RecebimentoConcreto[[#This Row],[Obra]],5),4),"RCBC",TEXT(RecebimentoConcreto[[#This Row],[Ordem]],"0000"))</f>
        <v>0184RCBC0713</v>
      </c>
      <c r="B915" s="1">
        <v>713</v>
      </c>
      <c r="C915" s="1" t="s">
        <v>21</v>
      </c>
      <c r="D915" s="35">
        <v>44734</v>
      </c>
      <c r="E915" s="1" t="s">
        <v>1895</v>
      </c>
      <c r="F915" s="2" t="s">
        <v>1896</v>
      </c>
      <c r="G915" s="2">
        <v>56799</v>
      </c>
      <c r="H915" s="2" t="s">
        <v>1897</v>
      </c>
      <c r="J915" s="5">
        <v>0.4458333333333333</v>
      </c>
      <c r="K915" s="32">
        <f>_xlfn.MAXIFS(ConsumoConcreto[Fim do Bombeamento],ConsumoConcreto[RecebimentoID],RecebimentoConcreto[[#This Row],[RecebimentoID]])</f>
        <v>0.49374999999999997</v>
      </c>
      <c r="M915" s="37">
        <v>36892</v>
      </c>
      <c r="N915" s="5" t="s">
        <v>1801</v>
      </c>
      <c r="O915" s="9">
        <v>5.5</v>
      </c>
      <c r="P915" s="5" t="s">
        <v>26</v>
      </c>
      <c r="Q915" s="2"/>
      <c r="R915" s="5" t="s">
        <v>27</v>
      </c>
      <c r="S915" s="5" t="s">
        <v>28</v>
      </c>
      <c r="T915" s="39">
        <v>465</v>
      </c>
    </row>
    <row r="916" spans="1:20" ht="20.100000000000001" hidden="1" customHeight="1" x14ac:dyDescent="0.25">
      <c r="A916" s="26" t="str">
        <f>CONCATENATE(RIGHT(LEFT(RecebimentoConcreto[[#This Row],[Obra]],5),4),"RCBC",TEXT(RecebimentoConcreto[[#This Row],[Ordem]],"0000"))</f>
        <v>0184RCBC0714</v>
      </c>
      <c r="B916" s="1">
        <v>714</v>
      </c>
      <c r="C916" s="1" t="s">
        <v>21</v>
      </c>
      <c r="D916" s="35">
        <v>44734</v>
      </c>
      <c r="E916" s="1" t="s">
        <v>1891</v>
      </c>
      <c r="F916" s="2">
        <v>4425274</v>
      </c>
      <c r="G916" s="2">
        <v>56799</v>
      </c>
      <c r="H916" s="2">
        <v>29319</v>
      </c>
      <c r="J916" s="5">
        <v>0.36944444444444446</v>
      </c>
      <c r="K916" s="32">
        <f>_xlfn.MAXIFS(ConsumoConcreto[Fim do Bombeamento],ConsumoConcreto[RecebimentoID],RecebimentoConcreto[[#This Row],[RecebimentoID]])</f>
        <v>0.4055555555555555</v>
      </c>
      <c r="M916" s="37">
        <v>36892</v>
      </c>
      <c r="N916" s="5" t="s">
        <v>1801</v>
      </c>
      <c r="O916" s="9">
        <v>5.5</v>
      </c>
      <c r="P916" s="5" t="s">
        <v>26</v>
      </c>
      <c r="Q916" s="2"/>
      <c r="R916" s="5" t="s">
        <v>27</v>
      </c>
      <c r="S916" s="5" t="s">
        <v>28</v>
      </c>
      <c r="T916" s="39">
        <v>465</v>
      </c>
    </row>
    <row r="917" spans="1:20" ht="20.100000000000001" hidden="1" customHeight="1" x14ac:dyDescent="0.25">
      <c r="A917" s="26" t="str">
        <f>CONCATENATE(RIGHT(LEFT(RecebimentoConcreto[[#This Row],[Obra]],5),4),"RCBC",TEXT(RecebimentoConcreto[[#This Row],[Ordem]],"0000"))</f>
        <v>0184RCBC0715</v>
      </c>
      <c r="B917" s="1">
        <v>715</v>
      </c>
      <c r="C917" s="1" t="s">
        <v>21</v>
      </c>
      <c r="D917" s="35">
        <v>44735</v>
      </c>
      <c r="E917" s="1" t="s">
        <v>106</v>
      </c>
      <c r="F917" s="2">
        <v>9059</v>
      </c>
      <c r="G917" s="2">
        <v>5408</v>
      </c>
      <c r="H917" s="2">
        <v>15162</v>
      </c>
      <c r="J917" s="5">
        <v>0.47222222222222227</v>
      </c>
      <c r="K917" s="32">
        <f>_xlfn.MAXIFS(ConsumoConcreto[Fim do Bombeamento],ConsumoConcreto[RecebimentoID],RecebimentoConcreto[[#This Row],[RecebimentoID]])</f>
        <v>0.50347222222222221</v>
      </c>
      <c r="M917" s="37">
        <v>36892</v>
      </c>
      <c r="N917" s="5" t="s">
        <v>1801</v>
      </c>
      <c r="O917" s="9">
        <v>7.5</v>
      </c>
      <c r="P917" s="5" t="s">
        <v>26</v>
      </c>
      <c r="Q917" s="2">
        <v>3</v>
      </c>
      <c r="R917" s="5" t="s">
        <v>27</v>
      </c>
      <c r="S917" s="5" t="s">
        <v>32</v>
      </c>
      <c r="T917" s="39">
        <v>460</v>
      </c>
    </row>
    <row r="918" spans="1:20" ht="20.100000000000001" hidden="1" customHeight="1" x14ac:dyDescent="0.25">
      <c r="A918" s="26" t="str">
        <f>CONCATENATE(RIGHT(LEFT(RecebimentoConcreto[[#This Row],[Obra]],5),4),"RCBC",TEXT(RecebimentoConcreto[[#This Row],[Ordem]],"0000"))</f>
        <v>0184RCBC0716</v>
      </c>
      <c r="B918" s="1">
        <v>716</v>
      </c>
      <c r="C918" s="1" t="s">
        <v>21</v>
      </c>
      <c r="D918" s="35">
        <v>44735</v>
      </c>
      <c r="E918" s="1" t="s">
        <v>1803</v>
      </c>
      <c r="F918" s="2" t="s">
        <v>1898</v>
      </c>
      <c r="G918" s="2">
        <v>5408</v>
      </c>
      <c r="H918" s="2" t="s">
        <v>1899</v>
      </c>
      <c r="J918" s="5">
        <v>0.38194444444444442</v>
      </c>
      <c r="K918" s="32">
        <f>_xlfn.MAXIFS(ConsumoConcreto[Fim do Bombeamento],ConsumoConcreto[RecebimentoID],RecebimentoConcreto[[#This Row],[RecebimentoID]])</f>
        <v>0.40416666666666662</v>
      </c>
      <c r="M918" s="37">
        <v>36892</v>
      </c>
      <c r="N918" s="5" t="s">
        <v>1801</v>
      </c>
      <c r="O918" s="9">
        <v>6</v>
      </c>
      <c r="P918" s="5" t="s">
        <v>26</v>
      </c>
      <c r="Q918" s="2">
        <v>3</v>
      </c>
      <c r="R918" s="5" t="s">
        <v>27</v>
      </c>
      <c r="S918" s="5" t="s">
        <v>32</v>
      </c>
      <c r="T918" s="39">
        <v>460</v>
      </c>
    </row>
    <row r="919" spans="1:20" ht="20.100000000000001" hidden="1" customHeight="1" x14ac:dyDescent="0.25">
      <c r="A919" s="26" t="str">
        <f>CONCATENATE(RIGHT(LEFT(RecebimentoConcreto[[#This Row],[Obra]],5),4),"RCBC",TEXT(RecebimentoConcreto[[#This Row],[Ordem]],"0000"))</f>
        <v>0184RCBC0736</v>
      </c>
      <c r="B919" s="1">
        <v>736</v>
      </c>
      <c r="C919" s="1" t="s">
        <v>21</v>
      </c>
      <c r="D919" s="35">
        <v>44911</v>
      </c>
      <c r="E919" s="1" t="s">
        <v>1860</v>
      </c>
      <c r="F919" s="2">
        <v>19251</v>
      </c>
      <c r="G919" s="2">
        <v>5408</v>
      </c>
      <c r="H919" s="2">
        <v>18659</v>
      </c>
      <c r="I919" s="5">
        <v>0.47222222222222227</v>
      </c>
      <c r="J919" s="5">
        <v>0.51388888888888895</v>
      </c>
      <c r="K919" s="32">
        <f>_xlfn.MAXIFS(ConsumoConcreto[Fim do Bombeamento],ConsumoConcreto[RecebimentoID],RecebimentoConcreto[[#This Row],[RecebimentoID]])</f>
        <v>0.54166666666666663</v>
      </c>
      <c r="L919" s="1">
        <v>13</v>
      </c>
      <c r="M919" s="37">
        <v>36892</v>
      </c>
      <c r="N919" s="5" t="s">
        <v>1801</v>
      </c>
      <c r="O919" s="9">
        <v>0.1</v>
      </c>
      <c r="P919" s="5" t="s">
        <v>26</v>
      </c>
      <c r="Q919" s="2">
        <v>6</v>
      </c>
      <c r="R919" s="5" t="s">
        <v>27</v>
      </c>
      <c r="S919" s="5" t="s">
        <v>32</v>
      </c>
      <c r="T919" s="39">
        <v>470</v>
      </c>
    </row>
    <row r="920" spans="1:20" ht="20.100000000000001" hidden="1" customHeight="1" x14ac:dyDescent="0.25">
      <c r="A920" s="26" t="str">
        <f>CONCATENATE(RIGHT(LEFT(RecebimentoConcreto[[#This Row],[Obra]],5),4),"RCBC",TEXT(RecebimentoConcreto[[#This Row],[Ordem]],"0000"))</f>
        <v>0184RCBC0737</v>
      </c>
      <c r="B920" s="1">
        <v>737</v>
      </c>
      <c r="C920" s="1" t="s">
        <v>21</v>
      </c>
      <c r="D920" s="35">
        <v>44911</v>
      </c>
      <c r="E920" s="1" t="s">
        <v>1860</v>
      </c>
      <c r="F920" s="2">
        <v>19251</v>
      </c>
      <c r="G920" s="2">
        <v>5408</v>
      </c>
      <c r="H920" s="2">
        <v>18659</v>
      </c>
      <c r="I920" s="5">
        <v>0.47222222222222227</v>
      </c>
      <c r="J920" s="5">
        <v>0.51388888888888895</v>
      </c>
      <c r="K920" s="32">
        <f>_xlfn.MAXIFS(ConsumoConcreto[Fim do Bombeamento],ConsumoConcreto[RecebimentoID],RecebimentoConcreto[[#This Row],[RecebimentoID]])</f>
        <v>0.54166666666666663</v>
      </c>
      <c r="L920" s="1">
        <v>13</v>
      </c>
      <c r="M920" s="37">
        <v>36892</v>
      </c>
      <c r="N920" s="5" t="s">
        <v>1801</v>
      </c>
      <c r="O920" s="9">
        <v>0.1</v>
      </c>
      <c r="P920" s="5" t="s">
        <v>26</v>
      </c>
      <c r="Q920" s="2">
        <v>6</v>
      </c>
      <c r="R920" s="5" t="s">
        <v>27</v>
      </c>
      <c r="S920" s="5" t="s">
        <v>32</v>
      </c>
      <c r="T920" s="39">
        <v>470</v>
      </c>
    </row>
    <row r="921" spans="1:20" ht="20.100000000000001" hidden="1" customHeight="1" x14ac:dyDescent="0.25">
      <c r="A921" s="26" t="str">
        <f>CONCATENATE(RIGHT(LEFT(RecebimentoConcreto[[#This Row],[Obra]],5),4),"RCBC",TEXT(RecebimentoConcreto[[#This Row],[Ordem]],"0000"))</f>
        <v>0184RCBC0738</v>
      </c>
      <c r="B921" s="1">
        <v>738</v>
      </c>
      <c r="C921" s="1" t="s">
        <v>21</v>
      </c>
      <c r="D921" s="35">
        <v>44911</v>
      </c>
      <c r="E921" s="1" t="s">
        <v>1860</v>
      </c>
      <c r="F921" s="2">
        <v>19251</v>
      </c>
      <c r="G921" s="2">
        <v>5408</v>
      </c>
      <c r="H921" s="2">
        <v>18659</v>
      </c>
      <c r="I921" s="5">
        <v>0.47222222222222227</v>
      </c>
      <c r="J921" s="5">
        <v>0.51388888888888895</v>
      </c>
      <c r="K921" s="32">
        <f>_xlfn.MAXIFS(ConsumoConcreto[Fim do Bombeamento],ConsumoConcreto[RecebimentoID],RecebimentoConcreto[[#This Row],[RecebimentoID]])</f>
        <v>0.54166666666666663</v>
      </c>
      <c r="L921" s="1">
        <v>13</v>
      </c>
      <c r="M921" s="37">
        <v>36892</v>
      </c>
      <c r="N921" s="5" t="s">
        <v>1801</v>
      </c>
      <c r="O921" s="9">
        <v>0.1</v>
      </c>
      <c r="P921" s="5" t="s">
        <v>26</v>
      </c>
      <c r="Q921" s="2">
        <v>6</v>
      </c>
      <c r="R921" s="5" t="s">
        <v>27</v>
      </c>
      <c r="S921" s="5" t="s">
        <v>32</v>
      </c>
      <c r="T921" s="39">
        <v>470</v>
      </c>
    </row>
    <row r="922" spans="1:20" ht="20.100000000000001" hidden="1" customHeight="1" x14ac:dyDescent="0.25">
      <c r="A922" s="26" t="str">
        <f>CONCATENATE(RIGHT(LEFT(RecebimentoConcreto[[#This Row],[Obra]],5),4),"RCBC",TEXT(RecebimentoConcreto[[#This Row],[Ordem]],"0000"))</f>
        <v>0184RCBC0739</v>
      </c>
      <c r="B922" s="1">
        <v>739</v>
      </c>
      <c r="C922" s="1" t="s">
        <v>21</v>
      </c>
      <c r="D922" s="35">
        <v>44911</v>
      </c>
      <c r="E922" s="1" t="s">
        <v>1860</v>
      </c>
      <c r="F922" s="2">
        <v>19251</v>
      </c>
      <c r="G922" s="2">
        <v>5408</v>
      </c>
      <c r="H922" s="2">
        <v>18659</v>
      </c>
      <c r="I922" s="5">
        <v>0.47222222222222227</v>
      </c>
      <c r="J922" s="5">
        <v>0.51388888888888895</v>
      </c>
      <c r="K922" s="32">
        <f>_xlfn.MAXIFS(ConsumoConcreto[Fim do Bombeamento],ConsumoConcreto[RecebimentoID],RecebimentoConcreto[[#This Row],[RecebimentoID]])</f>
        <v>0.54166666666666663</v>
      </c>
      <c r="L922" s="1">
        <v>13</v>
      </c>
      <c r="M922" s="37">
        <v>36892</v>
      </c>
      <c r="N922" s="5" t="s">
        <v>1801</v>
      </c>
      <c r="O922" s="9">
        <v>0.1</v>
      </c>
      <c r="P922" s="5" t="s">
        <v>26</v>
      </c>
      <c r="Q922" s="2">
        <v>6</v>
      </c>
      <c r="R922" s="5" t="s">
        <v>27</v>
      </c>
      <c r="S922" s="5" t="s">
        <v>32</v>
      </c>
      <c r="T922" s="39">
        <v>470</v>
      </c>
    </row>
    <row r="923" spans="1:20" ht="20.100000000000001" hidden="1" customHeight="1" x14ac:dyDescent="0.25">
      <c r="A923" s="26" t="str">
        <f>CONCATENATE(RIGHT(LEFT(RecebimentoConcreto[[#This Row],[Obra]],5),4),"RCBC",TEXT(RecebimentoConcreto[[#This Row],[Ordem]],"0000"))</f>
        <v>0184RCBC0740</v>
      </c>
      <c r="B923" s="1">
        <v>740</v>
      </c>
      <c r="C923" s="1" t="s">
        <v>21</v>
      </c>
      <c r="D923" s="35">
        <v>44911</v>
      </c>
      <c r="E923" s="1" t="s">
        <v>1860</v>
      </c>
      <c r="F923" s="2">
        <v>19251</v>
      </c>
      <c r="G923" s="2">
        <v>5408</v>
      </c>
      <c r="H923" s="2">
        <v>18659</v>
      </c>
      <c r="I923" s="5">
        <v>0.47222222222222227</v>
      </c>
      <c r="J923" s="5">
        <v>0.51388888888888895</v>
      </c>
      <c r="K923" s="32">
        <f>_xlfn.MAXIFS(ConsumoConcreto[Fim do Bombeamento],ConsumoConcreto[RecebimentoID],RecebimentoConcreto[[#This Row],[RecebimentoID]])</f>
        <v>0.54166666666666663</v>
      </c>
      <c r="L923" s="1">
        <v>13</v>
      </c>
      <c r="M923" s="37">
        <v>36892</v>
      </c>
      <c r="N923" s="5" t="s">
        <v>1801</v>
      </c>
      <c r="O923" s="9">
        <v>0.1</v>
      </c>
      <c r="P923" s="5" t="s">
        <v>26</v>
      </c>
      <c r="Q923" s="2">
        <v>6</v>
      </c>
      <c r="R923" s="5" t="s">
        <v>27</v>
      </c>
      <c r="S923" s="5" t="s">
        <v>32</v>
      </c>
      <c r="T923" s="39">
        <v>470</v>
      </c>
    </row>
    <row r="924" spans="1:20" ht="20.100000000000001" hidden="1" customHeight="1" x14ac:dyDescent="0.25">
      <c r="A924" s="26" t="str">
        <f>CONCATENATE(RIGHT(LEFT(RecebimentoConcreto[[#This Row],[Obra]],5),4),"RCBC",TEXT(RecebimentoConcreto[[#This Row],[Ordem]],"0000"))</f>
        <v>0184RCBC0742</v>
      </c>
      <c r="B924" s="1">
        <v>742</v>
      </c>
      <c r="C924" s="1" t="s">
        <v>21</v>
      </c>
      <c r="D924" s="35">
        <v>44809</v>
      </c>
      <c r="E924" s="1" t="s">
        <v>106</v>
      </c>
      <c r="F924" s="2">
        <v>14597</v>
      </c>
      <c r="G924" s="2">
        <v>5408</v>
      </c>
      <c r="H924" s="2">
        <v>16525</v>
      </c>
      <c r="J924" s="5">
        <v>0.4826388888888889</v>
      </c>
      <c r="K924" s="32">
        <f>_xlfn.MAXIFS(ConsumoConcreto[Fim do Bombeamento],ConsumoConcreto[RecebimentoID],RecebimentoConcreto[[#This Row],[RecebimentoID]])</f>
        <v>0.51041666666666663</v>
      </c>
      <c r="M924" s="37">
        <v>36892</v>
      </c>
      <c r="N924" s="5" t="s">
        <v>1801</v>
      </c>
      <c r="O924" s="9">
        <v>7</v>
      </c>
      <c r="P924" s="5" t="s">
        <v>26</v>
      </c>
      <c r="Q924" s="2">
        <v>5</v>
      </c>
      <c r="R924" s="5" t="s">
        <v>27</v>
      </c>
      <c r="S924" s="5" t="s">
        <v>32</v>
      </c>
      <c r="T924" s="39">
        <v>460</v>
      </c>
    </row>
    <row r="925" spans="1:20" ht="20.100000000000001" hidden="1" customHeight="1" x14ac:dyDescent="0.25">
      <c r="A925" s="26" t="str">
        <f>CONCATENATE(RIGHT(LEFT(RecebimentoConcreto[[#This Row],[Obra]],5),4),"RCBC",TEXT(RecebimentoConcreto[[#This Row],[Ordem]],"0000"))</f>
        <v>0184RCBC0743</v>
      </c>
      <c r="B925" s="1">
        <v>743</v>
      </c>
      <c r="C925" s="1" t="s">
        <v>21</v>
      </c>
      <c r="D925" s="35">
        <v>44809</v>
      </c>
      <c r="E925" s="1" t="s">
        <v>1708</v>
      </c>
      <c r="F925" s="2">
        <v>9906</v>
      </c>
      <c r="G925" s="2">
        <v>5408</v>
      </c>
      <c r="H925" s="2">
        <v>16535</v>
      </c>
      <c r="J925" s="5">
        <v>0.68402777777777779</v>
      </c>
      <c r="K925" s="32">
        <f>_xlfn.MAXIFS(ConsumoConcreto[Fim do Bombeamento],ConsumoConcreto[RecebimentoID],RecebimentoConcreto[[#This Row],[RecebimentoID]])</f>
        <v>0.70833333333333337</v>
      </c>
      <c r="M925" s="37">
        <v>36892</v>
      </c>
      <c r="N925" s="5" t="s">
        <v>1801</v>
      </c>
      <c r="O925" s="9">
        <v>7</v>
      </c>
      <c r="P925" s="5" t="s">
        <v>26</v>
      </c>
      <c r="Q925" s="2">
        <v>5</v>
      </c>
      <c r="R925" s="5" t="s">
        <v>27</v>
      </c>
      <c r="S925" s="5" t="s">
        <v>32</v>
      </c>
      <c r="T925" s="39">
        <v>460</v>
      </c>
    </row>
    <row r="926" spans="1:20" ht="20.100000000000001" hidden="1" customHeight="1" x14ac:dyDescent="0.25">
      <c r="A926" s="26" t="str">
        <f>CONCATENATE(RIGHT(LEFT(RecebimentoConcreto[[#This Row],[Obra]],5),4),"RCBC",TEXT(RecebimentoConcreto[[#This Row],[Ordem]],"0000"))</f>
        <v>0184RCBC0744</v>
      </c>
      <c r="B926" s="1">
        <v>744</v>
      </c>
      <c r="C926" s="1" t="s">
        <v>21</v>
      </c>
      <c r="D926" s="35">
        <v>44811</v>
      </c>
      <c r="E926" s="1" t="s">
        <v>207</v>
      </c>
      <c r="F926" s="2">
        <v>9964</v>
      </c>
      <c r="G926" s="2">
        <v>5408</v>
      </c>
      <c r="H926" s="2">
        <v>16593</v>
      </c>
      <c r="I926" s="5">
        <v>0.47222222222222227</v>
      </c>
      <c r="J926" s="5">
        <v>0.49861111111111112</v>
      </c>
      <c r="K926" s="32">
        <f>_xlfn.MAXIFS(ConsumoConcreto[Fim do Bombeamento],ConsumoConcreto[RecebimentoID],RecebimentoConcreto[[#This Row],[RecebimentoID]])</f>
        <v>0.51180555555555551</v>
      </c>
      <c r="L926" s="1">
        <v>13</v>
      </c>
      <c r="M926" s="37">
        <v>36892</v>
      </c>
      <c r="N926" s="5" t="s">
        <v>1801</v>
      </c>
      <c r="O926" s="9">
        <v>5.5</v>
      </c>
      <c r="P926" s="5" t="s">
        <v>26</v>
      </c>
      <c r="Q926" s="2">
        <v>5</v>
      </c>
      <c r="R926" s="5" t="s">
        <v>27</v>
      </c>
      <c r="S926" s="5" t="s">
        <v>32</v>
      </c>
      <c r="T926" s="39">
        <v>460</v>
      </c>
    </row>
    <row r="927" spans="1:20" ht="20.100000000000001" hidden="1" customHeight="1" x14ac:dyDescent="0.25">
      <c r="A927" s="26" t="str">
        <f>CONCATENATE(RIGHT(LEFT(RecebimentoConcreto[[#This Row],[Obra]],5),4),"RCBC",TEXT(RecebimentoConcreto[[#This Row],[Ordem]],"0000"))</f>
        <v>0184RCBC0745</v>
      </c>
      <c r="B927" s="1">
        <v>745</v>
      </c>
      <c r="C927" s="1" t="s">
        <v>21</v>
      </c>
      <c r="D927" s="35">
        <v>44811</v>
      </c>
      <c r="E927" s="1" t="s">
        <v>106</v>
      </c>
      <c r="F927" s="2">
        <v>9965</v>
      </c>
      <c r="G927" s="2">
        <v>5408</v>
      </c>
      <c r="H927" s="2">
        <v>16594</v>
      </c>
      <c r="I927" s="5">
        <v>0.4861111111111111</v>
      </c>
      <c r="J927" s="5">
        <v>0.52777777777777779</v>
      </c>
      <c r="K927" s="32">
        <f>_xlfn.MAXIFS(ConsumoConcreto[Fim do Bombeamento],ConsumoConcreto[RecebimentoID],RecebimentoConcreto[[#This Row],[RecebimentoID]])</f>
        <v>0.53819444444444442</v>
      </c>
      <c r="L927" s="1">
        <v>13.5</v>
      </c>
      <c r="M927" s="37">
        <v>36892</v>
      </c>
      <c r="N927" s="5" t="s">
        <v>1801</v>
      </c>
      <c r="O927" s="9">
        <v>5.5</v>
      </c>
      <c r="P927" s="5" t="s">
        <v>26</v>
      </c>
      <c r="Q927" s="2">
        <v>5</v>
      </c>
      <c r="R927" s="5" t="s">
        <v>27</v>
      </c>
      <c r="S927" s="5" t="s">
        <v>32</v>
      </c>
      <c r="T927" s="39">
        <v>460</v>
      </c>
    </row>
    <row r="928" spans="1:20" ht="20.100000000000001" hidden="1" customHeight="1" x14ac:dyDescent="0.25">
      <c r="A928" s="26" t="str">
        <f>CONCATENATE(RIGHT(LEFT(RecebimentoConcreto[[#This Row],[Obra]],5),4),"RCBC",TEXT(RecebimentoConcreto[[#This Row],[Ordem]],"0000"))</f>
        <v>0184RCBC0746</v>
      </c>
      <c r="B928" s="1">
        <v>746</v>
      </c>
      <c r="C928" s="1" t="s">
        <v>21</v>
      </c>
      <c r="D928" s="35">
        <v>44811</v>
      </c>
      <c r="E928" s="1" t="s">
        <v>1848</v>
      </c>
      <c r="F928" s="2">
        <v>9957</v>
      </c>
      <c r="G928" s="2">
        <v>5408</v>
      </c>
      <c r="H928" s="2">
        <v>16586</v>
      </c>
      <c r="I928" s="5">
        <v>0.36805555555555558</v>
      </c>
      <c r="J928" s="5">
        <v>0.37916666666666665</v>
      </c>
      <c r="K928" s="32">
        <f>_xlfn.MAXIFS(ConsumoConcreto[Fim do Bombeamento],ConsumoConcreto[RecebimentoID],RecebimentoConcreto[[#This Row],[RecebimentoID]])</f>
        <v>0.38055555555555554</v>
      </c>
      <c r="L928" s="1">
        <v>13</v>
      </c>
      <c r="M928" s="37">
        <v>36892</v>
      </c>
      <c r="N928" s="5" t="s">
        <v>1801</v>
      </c>
      <c r="O928" s="9">
        <v>7</v>
      </c>
      <c r="P928" s="5" t="s">
        <v>26</v>
      </c>
      <c r="Q928" s="2">
        <v>5</v>
      </c>
      <c r="R928" s="5" t="s">
        <v>27</v>
      </c>
      <c r="S928" s="5" t="s">
        <v>32</v>
      </c>
      <c r="T928" s="39">
        <v>460</v>
      </c>
    </row>
    <row r="929" spans="1:20" ht="20.100000000000001" hidden="1" customHeight="1" x14ac:dyDescent="0.25">
      <c r="A929" s="26" t="str">
        <f>CONCATENATE(RIGHT(LEFT(RecebimentoConcreto[[#This Row],[Obra]],5),4),"RCBC",TEXT(RecebimentoConcreto[[#This Row],[Ordem]],"0000"))</f>
        <v>0184RCBC0747</v>
      </c>
      <c r="B929" s="1">
        <v>747</v>
      </c>
      <c r="C929" s="1" t="s">
        <v>21</v>
      </c>
      <c r="D929" s="35">
        <v>44811</v>
      </c>
      <c r="E929" s="1" t="s">
        <v>106</v>
      </c>
      <c r="F929" s="2">
        <v>9971</v>
      </c>
      <c r="G929" s="2">
        <v>5408</v>
      </c>
      <c r="H929" s="2">
        <v>16600</v>
      </c>
      <c r="I929" s="5">
        <v>0.61458333333333337</v>
      </c>
      <c r="J929" s="5">
        <v>0.66111111111111109</v>
      </c>
      <c r="K929" s="32">
        <f>_xlfn.MAXIFS(ConsumoConcreto[Fim do Bombeamento],ConsumoConcreto[RecebimentoID],RecebimentoConcreto[[#This Row],[RecebimentoID]])</f>
        <v>0.67152777777777783</v>
      </c>
      <c r="L929" s="1">
        <v>14</v>
      </c>
      <c r="M929" s="37">
        <v>36892</v>
      </c>
      <c r="N929" s="5" t="s">
        <v>1801</v>
      </c>
      <c r="O929" s="9">
        <v>5.5</v>
      </c>
      <c r="P929" s="5" t="s">
        <v>26</v>
      </c>
      <c r="Q929" s="2">
        <v>5</v>
      </c>
      <c r="R929" s="5" t="s">
        <v>27</v>
      </c>
      <c r="S929" s="5" t="s">
        <v>32</v>
      </c>
      <c r="T929" s="39">
        <v>460</v>
      </c>
    </row>
    <row r="930" spans="1:20" ht="20.100000000000001" hidden="1" customHeight="1" x14ac:dyDescent="0.25">
      <c r="A930" s="26" t="str">
        <f>CONCATENATE(RIGHT(LEFT(RecebimentoConcreto[[#This Row],[Obra]],5),4),"RCBC",TEXT(RecebimentoConcreto[[#This Row],[Ordem]],"0000"))</f>
        <v>0184RCBC0748</v>
      </c>
      <c r="B930" s="1">
        <v>748</v>
      </c>
      <c r="C930" s="1" t="s">
        <v>21</v>
      </c>
      <c r="D930" s="35">
        <v>44811</v>
      </c>
      <c r="E930" s="1" t="s">
        <v>208</v>
      </c>
      <c r="F930" s="2">
        <v>9972</v>
      </c>
      <c r="G930" s="2">
        <v>5408</v>
      </c>
      <c r="H930" s="2">
        <v>16601</v>
      </c>
      <c r="J930" s="5">
        <v>0.68055555555555547</v>
      </c>
      <c r="K930" s="32">
        <f>_xlfn.MAXIFS(ConsumoConcreto[Fim do Bombeamento],ConsumoConcreto[RecebimentoID],RecebimentoConcreto[[#This Row],[RecebimentoID]])</f>
        <v>0.6875</v>
      </c>
      <c r="M930" s="37">
        <v>36892</v>
      </c>
      <c r="N930" s="5" t="s">
        <v>1801</v>
      </c>
      <c r="O930" s="9">
        <v>5.5</v>
      </c>
      <c r="P930" s="5" t="s">
        <v>26</v>
      </c>
      <c r="Q930" s="2">
        <v>5</v>
      </c>
      <c r="R930" s="5" t="s">
        <v>27</v>
      </c>
      <c r="S930" s="5" t="s">
        <v>32</v>
      </c>
      <c r="T930" s="39">
        <v>460</v>
      </c>
    </row>
    <row r="931" spans="1:20" ht="20.100000000000001" hidden="1" customHeight="1" x14ac:dyDescent="0.25">
      <c r="A931" s="26" t="str">
        <f>CONCATENATE(RIGHT(LEFT(RecebimentoConcreto[[#This Row],[Obra]],5),4),"RCBC",TEXT(RecebimentoConcreto[[#This Row],[Ordem]],"0000"))</f>
        <v>0184RCBC0749</v>
      </c>
      <c r="B931" s="1">
        <v>749</v>
      </c>
      <c r="C931" s="1" t="s">
        <v>21</v>
      </c>
      <c r="D931" s="35">
        <v>44811</v>
      </c>
      <c r="E931" s="1" t="s">
        <v>1848</v>
      </c>
      <c r="F931" s="2">
        <v>9962</v>
      </c>
      <c r="G931" s="2">
        <v>5408</v>
      </c>
      <c r="H931" s="2">
        <v>16591</v>
      </c>
      <c r="I931" s="5">
        <v>0.4236111111111111</v>
      </c>
      <c r="J931" s="5">
        <v>0.43055555555555558</v>
      </c>
      <c r="K931" s="32">
        <f>_xlfn.MAXIFS(ConsumoConcreto[Fim do Bombeamento],ConsumoConcreto[RecebimentoID],RecebimentoConcreto[[#This Row],[RecebimentoID]])</f>
        <v>0.4375</v>
      </c>
      <c r="L931" s="1">
        <v>12</v>
      </c>
      <c r="M931" s="37">
        <v>36892</v>
      </c>
      <c r="N931" s="5" t="s">
        <v>1801</v>
      </c>
      <c r="O931" s="9">
        <v>7</v>
      </c>
      <c r="P931" s="5" t="s">
        <v>26</v>
      </c>
      <c r="Q931" s="2">
        <v>5</v>
      </c>
      <c r="R931" s="5" t="s">
        <v>27</v>
      </c>
      <c r="S931" s="5" t="s">
        <v>32</v>
      </c>
      <c r="T931" s="39">
        <v>460</v>
      </c>
    </row>
    <row r="932" spans="1:20" ht="20.100000000000001" hidden="1" customHeight="1" x14ac:dyDescent="0.25">
      <c r="A932" s="26" t="str">
        <f>CONCATENATE(RIGHT(LEFT(RecebimentoConcreto[[#This Row],[Obra]],5),4),"RCBC",TEXT(RecebimentoConcreto[[#This Row],[Ordem]],"0000"))</f>
        <v>0184RCBC0750</v>
      </c>
      <c r="B932" s="1">
        <v>750</v>
      </c>
      <c r="C932" s="1" t="s">
        <v>21</v>
      </c>
      <c r="D932" s="35">
        <v>44811</v>
      </c>
      <c r="E932" s="1" t="s">
        <v>1021</v>
      </c>
      <c r="F932" s="2" t="s">
        <v>1900</v>
      </c>
      <c r="G932" s="2">
        <v>5408</v>
      </c>
      <c r="H932" s="2" t="s">
        <v>1901</v>
      </c>
      <c r="I932" s="5">
        <v>0.63541666666666663</v>
      </c>
      <c r="J932" s="5">
        <v>0.69652777777777775</v>
      </c>
      <c r="K932" s="32">
        <f>_xlfn.MAXIFS(ConsumoConcreto[Fim do Bombeamento],ConsumoConcreto[RecebimentoID],RecebimentoConcreto[[#This Row],[RecebimentoID]])</f>
        <v>0.70833333333333337</v>
      </c>
      <c r="L932" s="1">
        <v>14</v>
      </c>
      <c r="M932" s="37">
        <v>36892</v>
      </c>
      <c r="N932" s="5" t="s">
        <v>1801</v>
      </c>
      <c r="O932" s="9">
        <v>7.5</v>
      </c>
      <c r="P932" s="5" t="s">
        <v>26</v>
      </c>
      <c r="Q932" s="2">
        <v>5</v>
      </c>
      <c r="R932" s="5" t="s">
        <v>27</v>
      </c>
      <c r="S932" s="5" t="s">
        <v>32</v>
      </c>
      <c r="T932" s="39">
        <v>460</v>
      </c>
    </row>
    <row r="933" spans="1:20" ht="20.100000000000001" hidden="1" customHeight="1" x14ac:dyDescent="0.25">
      <c r="A933" s="26" t="str">
        <f>CONCATENATE(RIGHT(LEFT(RecebimentoConcreto[[#This Row],[Obra]],5),4),"RCBC",TEXT(RecebimentoConcreto[[#This Row],[Ordem]],"0000"))</f>
        <v>0184RCBC0751</v>
      </c>
      <c r="B933" s="1">
        <v>751</v>
      </c>
      <c r="C933" s="1" t="s">
        <v>21</v>
      </c>
      <c r="D933" s="35">
        <v>44811</v>
      </c>
      <c r="E933" s="1" t="s">
        <v>1848</v>
      </c>
      <c r="F933" s="2">
        <v>9966</v>
      </c>
      <c r="G933" s="2">
        <v>5408</v>
      </c>
      <c r="H933" s="2">
        <v>16595</v>
      </c>
      <c r="I933" s="5">
        <v>0.49652777777777773</v>
      </c>
      <c r="J933" s="5">
        <v>0.57638888888888895</v>
      </c>
      <c r="K933" s="32">
        <f>_xlfn.MAXIFS(ConsumoConcreto[Fim do Bombeamento],ConsumoConcreto[RecebimentoID],RecebimentoConcreto[[#This Row],[RecebimentoID]])</f>
        <v>0.59027777777777779</v>
      </c>
      <c r="L933" s="1">
        <v>14</v>
      </c>
      <c r="M933" s="37">
        <v>36892</v>
      </c>
      <c r="N933" s="5" t="s">
        <v>1801</v>
      </c>
      <c r="O933" s="9">
        <v>7</v>
      </c>
      <c r="P933" s="5" t="s">
        <v>26</v>
      </c>
      <c r="Q933" s="2">
        <v>5</v>
      </c>
      <c r="R933" s="5" t="s">
        <v>27</v>
      </c>
      <c r="S933" s="5" t="s">
        <v>32</v>
      </c>
      <c r="T933" s="39">
        <v>460</v>
      </c>
    </row>
    <row r="934" spans="1:20" ht="20.100000000000001" hidden="1" customHeight="1" x14ac:dyDescent="0.25">
      <c r="A934" s="26" t="str">
        <f>CONCATENATE(RIGHT(LEFT(RecebimentoConcreto[[#This Row],[Obra]],5),4),"RCBC",TEXT(RecebimentoConcreto[[#This Row],[Ordem]],"0000"))</f>
        <v>0184RCBC0752</v>
      </c>
      <c r="B934" s="1">
        <v>752</v>
      </c>
      <c r="C934" s="1" t="s">
        <v>21</v>
      </c>
      <c r="D934" s="35">
        <v>44811</v>
      </c>
      <c r="E934" s="1" t="s">
        <v>36</v>
      </c>
      <c r="F934" s="2">
        <v>9967</v>
      </c>
      <c r="G934" s="2">
        <v>5408</v>
      </c>
      <c r="H934" s="2">
        <v>16596</v>
      </c>
      <c r="I934" s="5">
        <v>0.50694444444444442</v>
      </c>
      <c r="J934" s="5">
        <v>0.6166666666666667</v>
      </c>
      <c r="K934" s="32">
        <f>_xlfn.MAXIFS(ConsumoConcreto[Fim do Bombeamento],ConsumoConcreto[RecebimentoID],RecebimentoConcreto[[#This Row],[RecebimentoID]])</f>
        <v>0.62361111111111112</v>
      </c>
      <c r="L934" s="1">
        <v>13</v>
      </c>
      <c r="M934" s="37">
        <v>36892</v>
      </c>
      <c r="N934" s="5" t="s">
        <v>1801</v>
      </c>
      <c r="O934" s="9">
        <v>7</v>
      </c>
      <c r="P934" s="5" t="s">
        <v>26</v>
      </c>
      <c r="Q934" s="2">
        <v>5</v>
      </c>
      <c r="R934" s="5" t="s">
        <v>27</v>
      </c>
      <c r="S934" s="5" t="s">
        <v>32</v>
      </c>
      <c r="T934" s="39">
        <v>460</v>
      </c>
    </row>
    <row r="935" spans="1:20" ht="20.100000000000001" hidden="1" customHeight="1" x14ac:dyDescent="0.25">
      <c r="A935" s="26" t="str">
        <f>CONCATENATE(RIGHT(LEFT(RecebimentoConcreto[[#This Row],[Obra]],5),4),"RCBC",TEXT(RecebimentoConcreto[[#This Row],[Ordem]],"0000"))</f>
        <v>0184RCBC0753</v>
      </c>
      <c r="B935" s="1">
        <v>753</v>
      </c>
      <c r="C935" s="1" t="s">
        <v>21</v>
      </c>
      <c r="D935" s="35">
        <v>44811</v>
      </c>
      <c r="E935" s="1" t="s">
        <v>207</v>
      </c>
      <c r="F935" s="2">
        <v>9970</v>
      </c>
      <c r="G935" s="2">
        <v>5408</v>
      </c>
      <c r="H935" s="2">
        <v>16599</v>
      </c>
      <c r="I935" s="5">
        <v>0.57291666666666663</v>
      </c>
      <c r="J935" s="5">
        <v>0.64583333333333337</v>
      </c>
      <c r="K935" s="32">
        <f>_xlfn.MAXIFS(ConsumoConcreto[Fim do Bombeamento],ConsumoConcreto[RecebimentoID],RecebimentoConcreto[[#This Row],[RecebimentoID]])</f>
        <v>0.65625</v>
      </c>
      <c r="L935" s="1">
        <v>16</v>
      </c>
      <c r="M935" s="37">
        <v>36892</v>
      </c>
      <c r="N935" s="5" t="s">
        <v>1801</v>
      </c>
      <c r="O935" s="9">
        <v>7</v>
      </c>
      <c r="P935" s="5" t="s">
        <v>26</v>
      </c>
      <c r="Q935" s="2">
        <v>5</v>
      </c>
      <c r="R935" s="5" t="s">
        <v>27</v>
      </c>
      <c r="S935" s="5" t="s">
        <v>32</v>
      </c>
      <c r="T935" s="39">
        <v>460</v>
      </c>
    </row>
    <row r="936" spans="1:20" ht="20.100000000000001" customHeight="1" x14ac:dyDescent="0.25">
      <c r="A936" s="26" t="str">
        <f>CONCATENATE(RIGHT(LEFT(RecebimentoConcreto[[#This Row],[Obra]],5),4),"RCBC",TEXT(RecebimentoConcreto[[#This Row],[Ordem]],"0000"))</f>
        <v>0184RCBC0754</v>
      </c>
      <c r="B936" s="1">
        <v>754</v>
      </c>
      <c r="C936" s="1" t="s">
        <v>21</v>
      </c>
      <c r="D936" s="35">
        <v>44811</v>
      </c>
      <c r="E936" s="1" t="s">
        <v>37</v>
      </c>
      <c r="F936" s="2">
        <v>9963</v>
      </c>
      <c r="G936" s="2">
        <v>5408</v>
      </c>
      <c r="H936" s="2">
        <v>16592</v>
      </c>
      <c r="I936" s="5">
        <v>0.4513888888888889</v>
      </c>
      <c r="J936" s="5">
        <v>0.4861111111111111</v>
      </c>
      <c r="K936" s="32">
        <f>_xlfn.MAXIFS(ConsumoConcreto[Fim do Bombeamento],ConsumoConcreto[RecebimentoID],RecebimentoConcreto[[#This Row],[RecebimentoID]])</f>
        <v>0.49513888888888885</v>
      </c>
      <c r="L936" s="1">
        <v>14</v>
      </c>
      <c r="M936" s="37">
        <v>36892</v>
      </c>
      <c r="N936" s="5" t="s">
        <v>1801</v>
      </c>
      <c r="O936" s="9">
        <v>5.5</v>
      </c>
      <c r="P936" s="5" t="s">
        <v>26</v>
      </c>
      <c r="Q936" s="2">
        <v>5</v>
      </c>
      <c r="R936" s="5" t="s">
        <v>27</v>
      </c>
      <c r="S936" s="5" t="s">
        <v>32</v>
      </c>
      <c r="T936" s="39">
        <v>460</v>
      </c>
    </row>
    <row r="937" spans="1:20" ht="20.100000000000001" hidden="1" customHeight="1" x14ac:dyDescent="0.25">
      <c r="A937" s="26" t="str">
        <f>CONCATENATE(RIGHT(LEFT(RecebimentoConcreto[[#This Row],[Obra]],5),4),"RCBC",TEXT(RecebimentoConcreto[[#This Row],[Ordem]],"0000"))</f>
        <v>0184RCBC0755</v>
      </c>
      <c r="B937" s="1">
        <v>755</v>
      </c>
      <c r="C937" s="1" t="s">
        <v>21</v>
      </c>
      <c r="D937" s="35">
        <v>44811</v>
      </c>
      <c r="E937" s="1" t="s">
        <v>37</v>
      </c>
      <c r="F937" s="2">
        <v>9959</v>
      </c>
      <c r="G937" s="2">
        <v>5408</v>
      </c>
      <c r="H937" s="2">
        <v>16588</v>
      </c>
      <c r="I937" s="5">
        <v>0.3888888888888889</v>
      </c>
      <c r="J937" s="5">
        <v>0.39930555555555558</v>
      </c>
      <c r="K937" s="32">
        <f>_xlfn.MAXIFS(ConsumoConcreto[Fim do Bombeamento],ConsumoConcreto[RecebimentoID],RecebimentoConcreto[[#This Row],[RecebimentoID]])</f>
        <v>0.4069444444444445</v>
      </c>
      <c r="L937" s="1">
        <v>14</v>
      </c>
      <c r="M937" s="37">
        <v>36892</v>
      </c>
      <c r="N937" s="5" t="s">
        <v>1801</v>
      </c>
      <c r="O937" s="9">
        <v>7</v>
      </c>
      <c r="P937" s="5" t="s">
        <v>26</v>
      </c>
      <c r="Q937" s="2">
        <v>5</v>
      </c>
      <c r="R937" s="5" t="s">
        <v>27</v>
      </c>
      <c r="S937" s="5" t="s">
        <v>32</v>
      </c>
      <c r="T937" s="39">
        <v>460</v>
      </c>
    </row>
    <row r="938" spans="1:20" ht="20.100000000000001" hidden="1" customHeight="1" x14ac:dyDescent="0.25">
      <c r="A938" s="26" t="str">
        <f>CONCATENATE(RIGHT(LEFT(RecebimentoConcreto[[#This Row],[Obra]],5),4),"RCBC",TEXT(RecebimentoConcreto[[#This Row],[Ordem]],"0000"))</f>
        <v>0184RCBC0756</v>
      </c>
      <c r="B938" s="1">
        <v>756</v>
      </c>
      <c r="C938" s="1" t="s">
        <v>21</v>
      </c>
      <c r="D938" s="35">
        <v>44812</v>
      </c>
      <c r="E938" s="1" t="s">
        <v>1848</v>
      </c>
      <c r="F938" s="2">
        <v>9981</v>
      </c>
      <c r="G938" s="2">
        <v>5408</v>
      </c>
      <c r="H938" s="2">
        <v>16612</v>
      </c>
      <c r="I938" s="5">
        <v>0.45833333333333331</v>
      </c>
      <c r="J938" s="5">
        <v>0.4861111111111111</v>
      </c>
      <c r="K938" s="32">
        <f>_xlfn.MAXIFS(ConsumoConcreto[Fim do Bombeamento],ConsumoConcreto[RecebimentoID],RecebimentoConcreto[[#This Row],[RecebimentoID]])</f>
        <v>0.50208333333333333</v>
      </c>
      <c r="M938" s="37">
        <v>36892</v>
      </c>
      <c r="N938" s="5" t="s">
        <v>1801</v>
      </c>
      <c r="O938" s="9">
        <v>5.5</v>
      </c>
      <c r="P938" s="5" t="s">
        <v>26</v>
      </c>
      <c r="Q938" s="2">
        <v>5</v>
      </c>
      <c r="R938" s="5" t="s">
        <v>27</v>
      </c>
      <c r="S938" s="5" t="s">
        <v>32</v>
      </c>
      <c r="T938" s="39">
        <v>460</v>
      </c>
    </row>
    <row r="939" spans="1:20" ht="20.100000000000001" hidden="1" customHeight="1" x14ac:dyDescent="0.25">
      <c r="A939" s="26" t="str">
        <f>CONCATENATE(RIGHT(LEFT(RecebimentoConcreto[[#This Row],[Obra]],5),4),"RCBC",TEXT(RecebimentoConcreto[[#This Row],[Ordem]],"0000"))</f>
        <v>0184RCBC0757</v>
      </c>
      <c r="B939" s="1">
        <v>757</v>
      </c>
      <c r="C939" s="1" t="s">
        <v>21</v>
      </c>
      <c r="D939" s="35">
        <v>44812</v>
      </c>
      <c r="E939" s="1" t="s">
        <v>106</v>
      </c>
      <c r="F939" s="2">
        <v>9985</v>
      </c>
      <c r="G939" s="2">
        <v>5408</v>
      </c>
      <c r="H939" s="2">
        <v>16614</v>
      </c>
      <c r="I939" s="5">
        <v>0.50694444444444442</v>
      </c>
      <c r="J939" s="5">
        <v>0.54166666666666663</v>
      </c>
      <c r="K939" s="32">
        <f>_xlfn.MAXIFS(ConsumoConcreto[Fim do Bombeamento],ConsumoConcreto[RecebimentoID],RecebimentoConcreto[[#This Row],[RecebimentoID]])</f>
        <v>0.54652777777777783</v>
      </c>
      <c r="M939" s="37">
        <v>36892</v>
      </c>
      <c r="N939" s="5" t="s">
        <v>1801</v>
      </c>
      <c r="O939" s="9">
        <v>5.5</v>
      </c>
      <c r="P939" s="5" t="s">
        <v>26</v>
      </c>
      <c r="Q939" s="2">
        <v>5</v>
      </c>
      <c r="R939" s="5" t="s">
        <v>27</v>
      </c>
      <c r="S939" s="5" t="s">
        <v>32</v>
      </c>
      <c r="T939" s="39">
        <v>460</v>
      </c>
    </row>
    <row r="940" spans="1:20" ht="20.100000000000001" hidden="1" customHeight="1" x14ac:dyDescent="0.25">
      <c r="A940" s="26" t="str">
        <f>CONCATENATE(RIGHT(LEFT(RecebimentoConcreto[[#This Row],[Obra]],5),4),"RCBC",TEXT(RecebimentoConcreto[[#This Row],[Ordem]],"0000"))</f>
        <v>0184RCBC0758</v>
      </c>
      <c r="B940" s="1">
        <v>758</v>
      </c>
      <c r="C940" s="1" t="s">
        <v>21</v>
      </c>
      <c r="D940" s="35">
        <v>44812</v>
      </c>
      <c r="E940" s="1" t="s">
        <v>1708</v>
      </c>
      <c r="F940" s="2">
        <v>9984</v>
      </c>
      <c r="G940" s="2">
        <v>5408</v>
      </c>
      <c r="H940" s="2">
        <v>16615</v>
      </c>
      <c r="I940" s="5">
        <v>0.51736111111111105</v>
      </c>
      <c r="J940" s="5">
        <v>0.5625</v>
      </c>
      <c r="K940" s="32">
        <f>_xlfn.MAXIFS(ConsumoConcreto[Fim do Bombeamento],ConsumoConcreto[RecebimentoID],RecebimentoConcreto[[#This Row],[RecebimentoID]])</f>
        <v>0.57291666666666663</v>
      </c>
      <c r="M940" s="37">
        <v>36892</v>
      </c>
      <c r="N940" s="5" t="s">
        <v>1801</v>
      </c>
      <c r="O940" s="9">
        <v>5.5</v>
      </c>
      <c r="P940" s="5" t="s">
        <v>26</v>
      </c>
      <c r="Q940" s="2">
        <v>5</v>
      </c>
      <c r="R940" s="5" t="s">
        <v>27</v>
      </c>
      <c r="S940" s="5" t="s">
        <v>32</v>
      </c>
      <c r="T940" s="39">
        <v>460</v>
      </c>
    </row>
    <row r="941" spans="1:20" ht="20.100000000000001" hidden="1" customHeight="1" x14ac:dyDescent="0.25">
      <c r="A941" s="26" t="str">
        <f>CONCATENATE(RIGHT(LEFT(RecebimentoConcreto[[#This Row],[Obra]],5),4),"RCBC",TEXT(RecebimentoConcreto[[#This Row],[Ordem]],"0000"))</f>
        <v>0184RCBC0776</v>
      </c>
      <c r="B941" s="1">
        <v>776</v>
      </c>
      <c r="C941" s="1" t="s">
        <v>21</v>
      </c>
      <c r="D941" s="35">
        <v>44602</v>
      </c>
      <c r="E941" s="1" t="s">
        <v>207</v>
      </c>
      <c r="F941" s="2">
        <v>19047</v>
      </c>
      <c r="G941" s="2">
        <v>5408</v>
      </c>
      <c r="H941" s="2">
        <v>1005</v>
      </c>
      <c r="I941" s="5">
        <v>0.39930555555555558</v>
      </c>
      <c r="J941" s="5">
        <v>0.41666666666666669</v>
      </c>
      <c r="K941" s="32">
        <f>_xlfn.MAXIFS(ConsumoConcreto[Fim do Bombeamento],ConsumoConcreto[RecebimentoID],RecebimentoConcreto[[#This Row],[RecebimentoID]])</f>
        <v>0.4375</v>
      </c>
      <c r="L941" s="1">
        <v>12</v>
      </c>
      <c r="M941" s="37">
        <v>36892</v>
      </c>
      <c r="N941" s="5" t="s">
        <v>1801</v>
      </c>
      <c r="O941" s="9">
        <v>5.5</v>
      </c>
      <c r="P941" s="5" t="s">
        <v>26</v>
      </c>
      <c r="Q941" s="2">
        <v>8</v>
      </c>
      <c r="R941" s="5" t="s">
        <v>27</v>
      </c>
      <c r="S941" s="5" t="s">
        <v>32</v>
      </c>
      <c r="T941" s="39">
        <v>470</v>
      </c>
    </row>
    <row r="942" spans="1:20" ht="20.100000000000001" hidden="1" customHeight="1" x14ac:dyDescent="0.25">
      <c r="A942" s="26" t="str">
        <f>CONCATENATE(RIGHT(LEFT(RecebimentoConcreto[[#This Row],[Obra]],5),4),"RCBC",TEXT(RecebimentoConcreto[[#This Row],[Ordem]],"0000"))</f>
        <v>0184RCBC0777</v>
      </c>
      <c r="B942" s="1">
        <v>777</v>
      </c>
      <c r="C942" s="1" t="s">
        <v>21</v>
      </c>
      <c r="D942" s="35">
        <v>44957</v>
      </c>
      <c r="E942" s="1" t="s">
        <v>38</v>
      </c>
      <c r="F942" s="2">
        <v>19481</v>
      </c>
      <c r="G942" s="2">
        <v>5408</v>
      </c>
      <c r="H942" s="2">
        <v>809</v>
      </c>
      <c r="I942" s="5">
        <v>0.59236111111111112</v>
      </c>
      <c r="J942" s="5">
        <v>0.625</v>
      </c>
      <c r="K942" s="32">
        <f>_xlfn.MAXIFS(ConsumoConcreto[Fim do Bombeamento],ConsumoConcreto[RecebimentoID],RecebimentoConcreto[[#This Row],[RecebimentoID]])</f>
        <v>0.66666666666666663</v>
      </c>
      <c r="L942" s="1">
        <v>14</v>
      </c>
      <c r="M942" s="37">
        <v>36892</v>
      </c>
      <c r="N942" s="5" t="s">
        <v>1801</v>
      </c>
      <c r="O942" s="9">
        <v>7</v>
      </c>
      <c r="P942" s="5" t="s">
        <v>26</v>
      </c>
      <c r="Q942" s="2">
        <v>8</v>
      </c>
      <c r="R942" s="5" t="s">
        <v>27</v>
      </c>
      <c r="S942" s="5" t="s">
        <v>32</v>
      </c>
      <c r="T942" s="39">
        <v>470</v>
      </c>
    </row>
    <row r="943" spans="1:20" ht="20.100000000000001" hidden="1" customHeight="1" x14ac:dyDescent="0.25">
      <c r="A943" s="26" t="str">
        <f>CONCATENATE(RIGHT(LEFT(RecebimentoConcreto[[#This Row],[Obra]],5),4),"RCBC",TEXT(RecebimentoConcreto[[#This Row],[Ordem]],"0000"))</f>
        <v>0184RCBC0778</v>
      </c>
      <c r="B943" s="1">
        <v>778</v>
      </c>
      <c r="C943" s="1" t="s">
        <v>21</v>
      </c>
      <c r="D943" s="35">
        <v>44958</v>
      </c>
      <c r="E943" s="1" t="s">
        <v>38</v>
      </c>
      <c r="F943" s="2">
        <v>19601</v>
      </c>
      <c r="G943" s="2">
        <v>5408</v>
      </c>
      <c r="H943" s="2">
        <v>837</v>
      </c>
      <c r="I943" s="5">
        <v>0.65277777777777779</v>
      </c>
      <c r="J943" s="5">
        <v>0.67708333333333337</v>
      </c>
      <c r="K943" s="32">
        <f>_xlfn.MAXIFS(ConsumoConcreto[Fim do Bombeamento],ConsumoConcreto[RecebimentoID],RecebimentoConcreto[[#This Row],[RecebimentoID]])</f>
        <v>0.70833333333333337</v>
      </c>
      <c r="L943" s="1">
        <v>13</v>
      </c>
      <c r="M943" s="37">
        <v>36892</v>
      </c>
      <c r="N943" s="5" t="s">
        <v>1801</v>
      </c>
      <c r="O943" s="9">
        <v>7</v>
      </c>
      <c r="P943" s="5" t="s">
        <v>26</v>
      </c>
      <c r="Q943" s="2">
        <v>8</v>
      </c>
      <c r="R943" s="5" t="s">
        <v>27</v>
      </c>
      <c r="S943" s="5" t="s">
        <v>32</v>
      </c>
      <c r="T943" s="39">
        <v>470</v>
      </c>
    </row>
    <row r="944" spans="1:20" ht="20.100000000000001" hidden="1" customHeight="1" x14ac:dyDescent="0.25">
      <c r="A944" s="26" t="str">
        <f>CONCATENATE(RIGHT(LEFT(RecebimentoConcreto[[#This Row],[Obra]],5),4),"RCBC",TEXT(RecebimentoConcreto[[#This Row],[Ordem]],"0000"))</f>
        <v>0184RCBC0779</v>
      </c>
      <c r="B944" s="1">
        <v>779</v>
      </c>
      <c r="C944" s="1" t="s">
        <v>21</v>
      </c>
      <c r="D944" s="35">
        <v>44958</v>
      </c>
      <c r="E944" s="1" t="s">
        <v>38</v>
      </c>
      <c r="F944" s="2">
        <v>19497</v>
      </c>
      <c r="G944" s="2">
        <v>5408</v>
      </c>
      <c r="H944" s="2">
        <v>833</v>
      </c>
      <c r="I944" s="5">
        <v>0.53680555555555554</v>
      </c>
      <c r="J944" s="5">
        <v>0.59027777777777779</v>
      </c>
      <c r="K944" s="32">
        <f>_xlfn.MAXIFS(ConsumoConcreto[Fim do Bombeamento],ConsumoConcreto[RecebimentoID],RecebimentoConcreto[[#This Row],[RecebimentoID]])</f>
        <v>0.62152777777777779</v>
      </c>
      <c r="L944" s="1">
        <v>13</v>
      </c>
      <c r="M944" s="37">
        <v>36892</v>
      </c>
      <c r="N944" s="5" t="s">
        <v>1801</v>
      </c>
      <c r="O944" s="9">
        <v>7</v>
      </c>
      <c r="P944" s="5" t="s">
        <v>26</v>
      </c>
      <c r="Q944" s="2">
        <v>8</v>
      </c>
      <c r="R944" s="5" t="s">
        <v>27</v>
      </c>
      <c r="S944" s="5" t="s">
        <v>32</v>
      </c>
      <c r="T944" s="39">
        <v>470</v>
      </c>
    </row>
    <row r="945" spans="1:20" ht="20.100000000000001" hidden="1" customHeight="1" x14ac:dyDescent="0.25">
      <c r="A945" s="26" t="str">
        <f>CONCATENATE(RIGHT(LEFT(RecebimentoConcreto[[#This Row],[Obra]],5),4),"RCBC",TEXT(RecebimentoConcreto[[#This Row],[Ordem]],"0000"))</f>
        <v>0184RCBC0780</v>
      </c>
      <c r="B945" s="1">
        <v>780</v>
      </c>
      <c r="C945" s="1" t="s">
        <v>21</v>
      </c>
      <c r="D945" s="35">
        <v>44958</v>
      </c>
      <c r="E945" s="1" t="s">
        <v>1861</v>
      </c>
      <c r="F945" s="2">
        <v>19496</v>
      </c>
      <c r="G945" s="2">
        <v>5408</v>
      </c>
      <c r="H945" s="2">
        <v>831</v>
      </c>
      <c r="I945" s="5">
        <v>0.4201388888888889</v>
      </c>
      <c r="J945" s="5">
        <v>0.45833333333333331</v>
      </c>
      <c r="K945" s="32">
        <f>_xlfn.MAXIFS(ConsumoConcreto[Fim do Bombeamento],ConsumoConcreto[RecebimentoID],RecebimentoConcreto[[#This Row],[RecebimentoID]])</f>
        <v>0.4861111111111111</v>
      </c>
      <c r="L945" s="1">
        <v>12</v>
      </c>
      <c r="M945" s="37">
        <v>36892</v>
      </c>
      <c r="N945" s="5" t="s">
        <v>1801</v>
      </c>
      <c r="O945" s="9">
        <v>7</v>
      </c>
      <c r="P945" s="5" t="s">
        <v>26</v>
      </c>
      <c r="Q945" s="2">
        <v>8</v>
      </c>
      <c r="R945" s="5" t="s">
        <v>27</v>
      </c>
      <c r="S945" s="5" t="s">
        <v>32</v>
      </c>
      <c r="T945" s="39">
        <v>470</v>
      </c>
    </row>
    <row r="946" spans="1:20" ht="20.100000000000001" hidden="1" customHeight="1" x14ac:dyDescent="0.25">
      <c r="A946" s="26" t="str">
        <f>CONCATENATE(RIGHT(LEFT(RecebimentoConcreto[[#This Row],[Obra]],5),4),"RCBC",TEXT(RecebimentoConcreto[[#This Row],[Ordem]],"0000"))</f>
        <v>0184RCBC0781</v>
      </c>
      <c r="B946" s="1">
        <v>781</v>
      </c>
      <c r="C946" s="1" t="s">
        <v>21</v>
      </c>
      <c r="D946" s="35">
        <v>44958</v>
      </c>
      <c r="E946" s="1" t="s">
        <v>36</v>
      </c>
      <c r="F946" s="2">
        <v>19493</v>
      </c>
      <c r="G946" s="2">
        <v>5408</v>
      </c>
      <c r="H946" s="2">
        <v>828</v>
      </c>
      <c r="I946" s="5">
        <v>0.33333333333333331</v>
      </c>
      <c r="J946" s="5">
        <v>0.38541666666666669</v>
      </c>
      <c r="K946" s="32">
        <f>_xlfn.MAXIFS(ConsumoConcreto[Fim do Bombeamento],ConsumoConcreto[RecebimentoID],RecebimentoConcreto[[#This Row],[RecebimentoID]])</f>
        <v>0.40277777777777773</v>
      </c>
      <c r="L946" s="1">
        <v>13</v>
      </c>
      <c r="M946" s="37">
        <v>36892</v>
      </c>
      <c r="N946" s="5" t="s">
        <v>1801</v>
      </c>
      <c r="O946" s="9">
        <v>7</v>
      </c>
      <c r="P946" s="5" t="s">
        <v>26</v>
      </c>
      <c r="Q946" s="2">
        <v>8</v>
      </c>
      <c r="R946" s="5" t="s">
        <v>27</v>
      </c>
      <c r="S946" s="5" t="s">
        <v>32</v>
      </c>
      <c r="T946" s="39">
        <v>470</v>
      </c>
    </row>
    <row r="947" spans="1:20" ht="20.100000000000001" hidden="1" customHeight="1" x14ac:dyDescent="0.25">
      <c r="A947" s="26" t="str">
        <f>CONCATENATE(RIGHT(LEFT(RecebimentoConcreto[[#This Row],[Obra]],5),4),"RCBC",TEXT(RecebimentoConcreto[[#This Row],[Ordem]],"0000"))</f>
        <v>0184RCBC0782</v>
      </c>
      <c r="B947" s="1">
        <v>782</v>
      </c>
      <c r="C947" s="1" t="s">
        <v>21</v>
      </c>
      <c r="D947" s="35">
        <v>44959</v>
      </c>
      <c r="E947" s="1" t="s">
        <v>38</v>
      </c>
      <c r="F947" s="2">
        <v>19611</v>
      </c>
      <c r="G947" s="2">
        <v>5408</v>
      </c>
      <c r="H947" s="2">
        <v>847</v>
      </c>
      <c r="I947" s="5">
        <v>0.57291666666666663</v>
      </c>
      <c r="J947" s="5">
        <v>0.59375</v>
      </c>
      <c r="K947" s="32">
        <f>_xlfn.MAXIFS(ConsumoConcreto[Fim do Bombeamento],ConsumoConcreto[RecebimentoID],RecebimentoConcreto[[#This Row],[RecebimentoID]])</f>
        <v>0.62152777777777779</v>
      </c>
      <c r="L947" s="1">
        <v>12</v>
      </c>
      <c r="M947" s="37">
        <v>36892</v>
      </c>
      <c r="N947" s="5" t="s">
        <v>1801</v>
      </c>
      <c r="O947" s="9">
        <v>7</v>
      </c>
      <c r="P947" s="5" t="s">
        <v>26</v>
      </c>
      <c r="Q947" s="2">
        <v>8</v>
      </c>
      <c r="R947" s="5" t="s">
        <v>27</v>
      </c>
      <c r="S947" s="5" t="s">
        <v>32</v>
      </c>
      <c r="T947" s="39">
        <v>470</v>
      </c>
    </row>
    <row r="948" spans="1:20" ht="20.100000000000001" hidden="1" customHeight="1" x14ac:dyDescent="0.25">
      <c r="A948" s="26" t="str">
        <f>CONCATENATE(RIGHT(LEFT(RecebimentoConcreto[[#This Row],[Obra]],5),4),"RCBC",TEXT(RecebimentoConcreto[[#This Row],[Ordem]],"0000"))</f>
        <v>0184RCBC0783</v>
      </c>
      <c r="B948" s="1">
        <v>783</v>
      </c>
      <c r="C948" s="1" t="s">
        <v>21</v>
      </c>
      <c r="D948" s="35">
        <v>44959</v>
      </c>
      <c r="E948" s="1" t="s">
        <v>1861</v>
      </c>
      <c r="F948" s="2">
        <v>19608</v>
      </c>
      <c r="G948" s="2">
        <v>5408</v>
      </c>
      <c r="H948" s="2">
        <v>845</v>
      </c>
      <c r="I948" s="5">
        <v>0.40972222222222227</v>
      </c>
      <c r="J948" s="5">
        <v>0.4465277777777778</v>
      </c>
      <c r="K948" s="32">
        <f>_xlfn.MAXIFS(ConsumoConcreto[Fim do Bombeamento],ConsumoConcreto[RecebimentoID],RecebimentoConcreto[[#This Row],[RecebimentoID]])</f>
        <v>0.47916666666666669</v>
      </c>
      <c r="L948" s="1">
        <v>13</v>
      </c>
      <c r="M948" s="37">
        <v>36892</v>
      </c>
      <c r="N948" s="5" t="s">
        <v>1801</v>
      </c>
      <c r="O948" s="9">
        <v>7</v>
      </c>
      <c r="P948" s="5" t="s">
        <v>26</v>
      </c>
      <c r="Q948" s="2">
        <v>8</v>
      </c>
      <c r="R948" s="5" t="s">
        <v>27</v>
      </c>
      <c r="S948" s="5" t="s">
        <v>32</v>
      </c>
      <c r="T948" s="39">
        <v>470</v>
      </c>
    </row>
    <row r="949" spans="1:20" ht="20.100000000000001" hidden="1" customHeight="1" x14ac:dyDescent="0.25">
      <c r="A949" s="26" t="str">
        <f>CONCATENATE(RIGHT(LEFT(RecebimentoConcreto[[#This Row],[Obra]],5),4),"RCBC",TEXT(RecebimentoConcreto[[#This Row],[Ordem]],"0000"))</f>
        <v>0184RCBC0784</v>
      </c>
      <c r="B949" s="1">
        <v>784</v>
      </c>
      <c r="C949" s="1" t="s">
        <v>21</v>
      </c>
      <c r="D949" s="35">
        <v>44963</v>
      </c>
      <c r="E949" s="1" t="s">
        <v>37</v>
      </c>
      <c r="F949" s="2">
        <v>19641</v>
      </c>
      <c r="G949" s="2">
        <v>5408</v>
      </c>
      <c r="H949" s="2">
        <v>898</v>
      </c>
      <c r="I949" s="5">
        <v>0.4201388888888889</v>
      </c>
      <c r="J949" s="5">
        <v>0.4513888888888889</v>
      </c>
      <c r="K949" s="32">
        <f>_xlfn.MAXIFS(ConsumoConcreto[Fim do Bombeamento],ConsumoConcreto[RecebimentoID],RecebimentoConcreto[[#This Row],[RecebimentoID]])</f>
        <v>0.47916666666666669</v>
      </c>
      <c r="L949" s="1">
        <v>12</v>
      </c>
      <c r="M949" s="37">
        <v>36892</v>
      </c>
      <c r="N949" s="5" t="s">
        <v>1801</v>
      </c>
      <c r="O949" s="9">
        <v>5.5</v>
      </c>
      <c r="P949" s="5" t="s">
        <v>26</v>
      </c>
      <c r="Q949" s="2">
        <v>8</v>
      </c>
      <c r="R949" s="5" t="s">
        <v>27</v>
      </c>
      <c r="S949" s="5" t="s">
        <v>32</v>
      </c>
      <c r="T949" s="39">
        <v>470</v>
      </c>
    </row>
    <row r="950" spans="1:20" ht="20.100000000000001" hidden="1" customHeight="1" x14ac:dyDescent="0.25">
      <c r="A950" s="26" t="str">
        <f>CONCATENATE(RIGHT(LEFT(RecebimentoConcreto[[#This Row],[Obra]],5),4),"RCBC",TEXT(RecebimentoConcreto[[#This Row],[Ordem]],"0000"))</f>
        <v>0184RCBC0785</v>
      </c>
      <c r="B950" s="1">
        <v>785</v>
      </c>
      <c r="C950" s="1" t="s">
        <v>21</v>
      </c>
      <c r="D950" s="35">
        <v>44963</v>
      </c>
      <c r="E950" s="1" t="s">
        <v>1821</v>
      </c>
      <c r="F950" s="2">
        <v>19639</v>
      </c>
      <c r="G950" s="2">
        <v>5408</v>
      </c>
      <c r="H950" s="2">
        <v>896</v>
      </c>
      <c r="I950" s="5">
        <v>0.36041666666666666</v>
      </c>
      <c r="J950" s="5">
        <v>0.3888888888888889</v>
      </c>
      <c r="K950" s="32">
        <f>_xlfn.MAXIFS(ConsumoConcreto[Fim do Bombeamento],ConsumoConcreto[RecebimentoID],RecebimentoConcreto[[#This Row],[RecebimentoID]])</f>
        <v>0.4069444444444445</v>
      </c>
      <c r="L950" s="1">
        <v>12</v>
      </c>
      <c r="M950" s="37">
        <v>36892</v>
      </c>
      <c r="N950" s="5" t="s">
        <v>1801</v>
      </c>
      <c r="O950" s="9">
        <v>5.5</v>
      </c>
      <c r="P950" s="5" t="s">
        <v>26</v>
      </c>
      <c r="Q950" s="2">
        <v>8</v>
      </c>
      <c r="R950" s="5" t="s">
        <v>27</v>
      </c>
      <c r="S950" s="5" t="s">
        <v>32</v>
      </c>
      <c r="T950" s="39">
        <v>470</v>
      </c>
    </row>
    <row r="951" spans="1:20" ht="20.100000000000001" hidden="1" customHeight="1" x14ac:dyDescent="0.25">
      <c r="A951" s="26" t="str">
        <f>CONCATENATE(RIGHT(LEFT(RecebimentoConcreto[[#This Row],[Obra]],5),4),"RCBC",TEXT(RecebimentoConcreto[[#This Row],[Ordem]],"0000"))</f>
        <v>0184RCBC0786</v>
      </c>
      <c r="B951" s="1">
        <v>786</v>
      </c>
      <c r="C951" s="1" t="s">
        <v>21</v>
      </c>
      <c r="D951" s="35">
        <v>44967</v>
      </c>
      <c r="E951" s="1" t="s">
        <v>1708</v>
      </c>
      <c r="F951" s="2">
        <v>19043</v>
      </c>
      <c r="G951" s="2">
        <v>5408</v>
      </c>
      <c r="H951" s="2">
        <v>1001</v>
      </c>
      <c r="I951" s="5">
        <v>0.34027777777777773</v>
      </c>
      <c r="J951" s="5">
        <v>0.36805555555555558</v>
      </c>
      <c r="K951" s="32">
        <f>_xlfn.MAXIFS(ConsumoConcreto[Fim do Bombeamento],ConsumoConcreto[RecebimentoID],RecebimentoConcreto[[#This Row],[RecebimentoID]])</f>
        <v>0.38055555555555554</v>
      </c>
      <c r="L951" s="1">
        <v>12</v>
      </c>
      <c r="M951" s="37">
        <v>36892</v>
      </c>
      <c r="N951" s="5" t="s">
        <v>1801</v>
      </c>
      <c r="O951" s="9">
        <v>5.5</v>
      </c>
      <c r="P951" s="5" t="s">
        <v>26</v>
      </c>
      <c r="Q951" s="2">
        <v>8</v>
      </c>
      <c r="R951" s="5" t="s">
        <v>27</v>
      </c>
      <c r="S951" s="5" t="s">
        <v>32</v>
      </c>
      <c r="T951" s="39">
        <v>470</v>
      </c>
    </row>
    <row r="952" spans="1:20" ht="20.100000000000001" hidden="1" customHeight="1" x14ac:dyDescent="0.25">
      <c r="A952" s="26" t="str">
        <f>CONCATENATE(RIGHT(LEFT(RecebimentoConcreto[[#This Row],[Obra]],5),4),"RCBC",TEXT(RecebimentoConcreto[[#This Row],[Ordem]],"0000"))</f>
        <v>0184RCBC0795</v>
      </c>
      <c r="B952" s="1">
        <v>795</v>
      </c>
      <c r="C952" s="1" t="s">
        <v>21</v>
      </c>
      <c r="D952" s="35"/>
      <c r="K952" s="32">
        <f>_xlfn.MAXIFS(ConsumoConcreto[Fim do Bombeamento],ConsumoConcreto[RecebimentoID],RecebimentoConcreto[[#This Row],[RecebimentoID]])</f>
        <v>0</v>
      </c>
      <c r="M952" s="37">
        <v>36892</v>
      </c>
      <c r="N952" s="5" t="s">
        <v>1801</v>
      </c>
      <c r="O952" s="9"/>
      <c r="P952" s="5" t="s">
        <v>26</v>
      </c>
      <c r="Q952" s="2"/>
      <c r="R952" s="5" t="s">
        <v>27</v>
      </c>
      <c r="S952" s="5"/>
    </row>
    <row r="953" spans="1:20" ht="20.100000000000001" hidden="1" customHeight="1" x14ac:dyDescent="0.25">
      <c r="A953" s="26" t="str">
        <f>CONCATENATE(RIGHT(LEFT(RecebimentoConcreto[[#This Row],[Obra]],5),4),"RCBC",TEXT(RecebimentoConcreto[[#This Row],[Ordem]],"0000"))</f>
        <v>0184RCBC0796</v>
      </c>
      <c r="B953" s="1">
        <v>796</v>
      </c>
      <c r="C953" s="1" t="s">
        <v>21</v>
      </c>
      <c r="D953" s="35"/>
      <c r="K953" s="32">
        <f>_xlfn.MAXIFS(ConsumoConcreto[Fim do Bombeamento],ConsumoConcreto[RecebimentoID],RecebimentoConcreto[[#This Row],[RecebimentoID]])</f>
        <v>0</v>
      </c>
      <c r="M953" s="37">
        <v>36892</v>
      </c>
      <c r="N953" s="5" t="s">
        <v>1801</v>
      </c>
      <c r="O953" s="9"/>
      <c r="P953" s="5" t="s">
        <v>26</v>
      </c>
      <c r="Q953" s="2"/>
      <c r="R953" s="5" t="s">
        <v>27</v>
      </c>
      <c r="S953" s="5"/>
    </row>
    <row r="954" spans="1:20" ht="20.100000000000001" hidden="1" customHeight="1" x14ac:dyDescent="0.25">
      <c r="A954" s="26" t="str">
        <f>CONCATENATE(RIGHT(LEFT(RecebimentoConcreto[[#This Row],[Obra]],5),4),"RCBC",TEXT(RecebimentoConcreto[[#This Row],[Ordem]],"0000"))</f>
        <v>0184RCBC0797</v>
      </c>
      <c r="B954" s="1">
        <v>797</v>
      </c>
      <c r="C954" s="1" t="s">
        <v>21</v>
      </c>
      <c r="D954" s="35"/>
      <c r="K954" s="32">
        <f>_xlfn.MAXIFS(ConsumoConcreto[Fim do Bombeamento],ConsumoConcreto[RecebimentoID],RecebimentoConcreto[[#This Row],[RecebimentoID]])</f>
        <v>0</v>
      </c>
      <c r="M954" s="37">
        <v>36892</v>
      </c>
      <c r="N954" s="5" t="s">
        <v>1801</v>
      </c>
      <c r="O954" s="9"/>
      <c r="P954" s="5" t="s">
        <v>26</v>
      </c>
      <c r="Q954" s="2"/>
      <c r="R954" s="5" t="s">
        <v>27</v>
      </c>
      <c r="S954" s="5"/>
    </row>
    <row r="955" spans="1:20" ht="20.100000000000001" hidden="1" customHeight="1" x14ac:dyDescent="0.25">
      <c r="A955" s="26" t="str">
        <f>CONCATENATE(RIGHT(LEFT(RecebimentoConcreto[[#This Row],[Obra]],5),4),"RCBC",TEXT(RecebimentoConcreto[[#This Row],[Ordem]],"0000"))</f>
        <v>0184RCBC0804</v>
      </c>
      <c r="B955" s="1">
        <v>804</v>
      </c>
      <c r="C955" s="1" t="s">
        <v>21</v>
      </c>
      <c r="D955" s="35">
        <v>44905</v>
      </c>
      <c r="E955" s="1" t="s">
        <v>1860</v>
      </c>
      <c r="F955" s="2">
        <v>12095</v>
      </c>
      <c r="G955" s="2">
        <v>5408</v>
      </c>
      <c r="H955" s="2">
        <v>18549</v>
      </c>
      <c r="I955" s="5">
        <v>0.63541666666666663</v>
      </c>
      <c r="J955" s="5">
        <v>0.68055555555555547</v>
      </c>
      <c r="K955" s="32">
        <f>_xlfn.MAXIFS(ConsumoConcreto[Fim do Bombeamento],ConsumoConcreto[RecebimentoID],RecebimentoConcreto[[#This Row],[RecebimentoID]])</f>
        <v>0.7104166666666667</v>
      </c>
      <c r="L955" s="1">
        <v>13</v>
      </c>
      <c r="M955" s="37">
        <v>36892</v>
      </c>
      <c r="N955" s="5" t="s">
        <v>1801</v>
      </c>
      <c r="O955" s="9">
        <v>5.5</v>
      </c>
      <c r="P955" s="5" t="s">
        <v>26</v>
      </c>
      <c r="Q955" s="2">
        <v>7</v>
      </c>
      <c r="R955" s="5" t="s">
        <v>27</v>
      </c>
      <c r="S955" s="5" t="s">
        <v>32</v>
      </c>
      <c r="T955" s="39">
        <v>470</v>
      </c>
    </row>
    <row r="956" spans="1:20" ht="20.100000000000001" hidden="1" customHeight="1" x14ac:dyDescent="0.25">
      <c r="A956" s="26" t="str">
        <f>CONCATENATE(RIGHT(LEFT(RecebimentoConcreto[[#This Row],[Obra]],5),4),"RCBC",TEXT(RecebimentoConcreto[[#This Row],[Ordem]],"0000"))</f>
        <v>0184RCBC0805</v>
      </c>
      <c r="B956" s="1">
        <v>805</v>
      </c>
      <c r="C956" s="1" t="s">
        <v>21</v>
      </c>
      <c r="D956" s="35">
        <v>44909</v>
      </c>
      <c r="E956" s="1" t="s">
        <v>1859</v>
      </c>
      <c r="F956" s="2">
        <v>13637</v>
      </c>
      <c r="G956" s="2">
        <v>5408</v>
      </c>
      <c r="H956" s="2">
        <v>18590</v>
      </c>
      <c r="I956" s="5">
        <v>0.34375</v>
      </c>
      <c r="J956" s="5">
        <v>0.3888888888888889</v>
      </c>
      <c r="K956" s="32">
        <f>_xlfn.MAXIFS(ConsumoConcreto[Fim do Bombeamento],ConsumoConcreto[RecebimentoID],RecebimentoConcreto[[#This Row],[RecebimentoID]])</f>
        <v>0.42708333333333331</v>
      </c>
      <c r="L956" s="1">
        <v>12</v>
      </c>
      <c r="M956" s="37">
        <v>36892</v>
      </c>
      <c r="N956" s="5" t="s">
        <v>1801</v>
      </c>
      <c r="O956" s="9">
        <v>5.5</v>
      </c>
      <c r="P956" s="5" t="s">
        <v>26</v>
      </c>
      <c r="Q956" s="2">
        <v>7</v>
      </c>
      <c r="R956" s="5" t="s">
        <v>27</v>
      </c>
      <c r="S956" s="5" t="s">
        <v>32</v>
      </c>
      <c r="T956" s="39">
        <v>470</v>
      </c>
    </row>
    <row r="957" spans="1:20" ht="20.100000000000001" hidden="1" customHeight="1" x14ac:dyDescent="0.25">
      <c r="A957" s="26" t="str">
        <f>CONCATENATE(RIGHT(LEFT(RecebimentoConcreto[[#This Row],[Obra]],5),4),"RCBC",TEXT(RecebimentoConcreto[[#This Row],[Ordem]],"0000"))</f>
        <v>0184RCBC0806</v>
      </c>
      <c r="B957" s="1">
        <v>806</v>
      </c>
      <c r="C957" s="1" t="s">
        <v>21</v>
      </c>
      <c r="D957" s="35">
        <v>44909</v>
      </c>
      <c r="E957" s="1" t="s">
        <v>38</v>
      </c>
      <c r="F957" s="2">
        <v>13643</v>
      </c>
      <c r="G957" s="2">
        <v>5408</v>
      </c>
      <c r="H957" s="2">
        <v>18596</v>
      </c>
      <c r="I957" s="5">
        <v>0.45833333333333331</v>
      </c>
      <c r="J957" s="5">
        <v>0.47916666666666669</v>
      </c>
      <c r="K957" s="32">
        <f>_xlfn.MAXIFS(ConsumoConcreto[Fim do Bombeamento],ConsumoConcreto[RecebimentoID],RecebimentoConcreto[[#This Row],[RecebimentoID]])</f>
        <v>0.49652777777777773</v>
      </c>
      <c r="L957" s="1">
        <v>13</v>
      </c>
      <c r="M957" s="37">
        <v>36892</v>
      </c>
      <c r="N957" s="5" t="s">
        <v>1801</v>
      </c>
      <c r="O957" s="9">
        <v>5.5</v>
      </c>
      <c r="P957" s="5" t="s">
        <v>26</v>
      </c>
      <c r="Q957" s="2">
        <v>7</v>
      </c>
      <c r="R957" s="5" t="s">
        <v>27</v>
      </c>
      <c r="S957" s="5" t="s">
        <v>32</v>
      </c>
      <c r="T957" s="39">
        <v>470</v>
      </c>
    </row>
    <row r="958" spans="1:20" ht="20.100000000000001" hidden="1" customHeight="1" x14ac:dyDescent="0.25">
      <c r="A958" s="26" t="str">
        <f>CONCATENATE(RIGHT(LEFT(RecebimentoConcreto[[#This Row],[Obra]],5),4),"RCBC",TEXT(RecebimentoConcreto[[#This Row],[Ordem]],"0000"))</f>
        <v>0184RCBC0807</v>
      </c>
      <c r="B958" s="1">
        <v>807</v>
      </c>
      <c r="C958" s="1" t="s">
        <v>21</v>
      </c>
      <c r="D958" s="35">
        <v>44909</v>
      </c>
      <c r="E958" s="1" t="s">
        <v>37</v>
      </c>
      <c r="F958" s="2">
        <v>13651</v>
      </c>
      <c r="G958" s="2">
        <v>5408</v>
      </c>
      <c r="H958" s="2">
        <v>18604</v>
      </c>
      <c r="I958" s="5">
        <v>0.56597222222222221</v>
      </c>
      <c r="J958" s="5">
        <v>0.59375</v>
      </c>
      <c r="K958" s="32">
        <f>_xlfn.MAXIFS(ConsumoConcreto[Fim do Bombeamento],ConsumoConcreto[RecebimentoID],RecebimentoConcreto[[#This Row],[RecebimentoID]])</f>
        <v>0.61111111111111105</v>
      </c>
      <c r="L958" s="1">
        <v>13</v>
      </c>
      <c r="M958" s="37">
        <v>36892</v>
      </c>
      <c r="N958" s="5" t="s">
        <v>1801</v>
      </c>
      <c r="O958" s="9">
        <v>5.5</v>
      </c>
      <c r="P958" s="5" t="s">
        <v>26</v>
      </c>
      <c r="Q958" s="2">
        <v>7</v>
      </c>
      <c r="R958" s="5" t="s">
        <v>27</v>
      </c>
      <c r="S958" s="5" t="s">
        <v>32</v>
      </c>
      <c r="T958" s="39">
        <v>470</v>
      </c>
    </row>
    <row r="959" spans="1:20" ht="20.100000000000001" hidden="1" customHeight="1" x14ac:dyDescent="0.25">
      <c r="A959" s="26" t="str">
        <f>CONCATENATE(RIGHT(LEFT(RecebimentoConcreto[[#This Row],[Obra]],5),4),"RCBC",TEXT(RecebimentoConcreto[[#This Row],[Ordem]],"0000"))</f>
        <v>0184RCBC0808</v>
      </c>
      <c r="B959" s="1">
        <v>808</v>
      </c>
      <c r="C959" s="1" t="s">
        <v>21</v>
      </c>
      <c r="D959" s="35">
        <v>44911</v>
      </c>
      <c r="E959" s="1" t="s">
        <v>38</v>
      </c>
      <c r="F959" s="2">
        <v>13699</v>
      </c>
      <c r="G959" s="2">
        <v>5408</v>
      </c>
      <c r="H959" s="2">
        <v>18652</v>
      </c>
      <c r="I959" s="5">
        <v>0.40625</v>
      </c>
      <c r="J959" s="5">
        <v>0.4375</v>
      </c>
      <c r="K959" s="32">
        <f>_xlfn.MAXIFS(ConsumoConcreto[Fim do Bombeamento],ConsumoConcreto[RecebimentoID],RecebimentoConcreto[[#This Row],[RecebimentoID]])</f>
        <v>0.46875</v>
      </c>
      <c r="L959" s="1">
        <v>14</v>
      </c>
      <c r="M959" s="37">
        <v>36892</v>
      </c>
      <c r="N959" s="5" t="s">
        <v>1801</v>
      </c>
      <c r="O959" s="9">
        <v>5.5</v>
      </c>
      <c r="P959" s="5" t="s">
        <v>26</v>
      </c>
      <c r="Q959" s="2">
        <v>7</v>
      </c>
      <c r="R959" s="5" t="s">
        <v>27</v>
      </c>
      <c r="S959" s="5" t="s">
        <v>32</v>
      </c>
      <c r="T959" s="39">
        <v>470</v>
      </c>
    </row>
    <row r="960" spans="1:20" ht="20.100000000000001" hidden="1" customHeight="1" x14ac:dyDescent="0.25">
      <c r="A960" s="26" t="str">
        <f>CONCATENATE(RIGHT(LEFT(RecebimentoConcreto[[#This Row],[Obra]],5),4),"RCBC",TEXT(RecebimentoConcreto[[#This Row],[Ordem]],"0000"))</f>
        <v>0184RCBC0809</v>
      </c>
      <c r="B960" s="1">
        <v>809</v>
      </c>
      <c r="C960" s="1" t="s">
        <v>21</v>
      </c>
      <c r="D960" s="35">
        <v>44911</v>
      </c>
      <c r="E960" s="1" t="s">
        <v>37</v>
      </c>
      <c r="F960" s="2">
        <v>19248</v>
      </c>
      <c r="G960" s="2">
        <v>5408</v>
      </c>
      <c r="H960" s="2">
        <v>18655</v>
      </c>
      <c r="I960" s="5">
        <v>0.44097222222222227</v>
      </c>
      <c r="J960" s="5">
        <v>0.47916666666666669</v>
      </c>
      <c r="K960" s="32">
        <f>_xlfn.MAXIFS(ConsumoConcreto[Fim do Bombeamento],ConsumoConcreto[RecebimentoID],RecebimentoConcreto[[#This Row],[RecebimentoID]])</f>
        <v>0.51041666666666663</v>
      </c>
      <c r="L960" s="1">
        <v>13.5</v>
      </c>
      <c r="M960" s="37">
        <v>36892</v>
      </c>
      <c r="N960" s="5" t="s">
        <v>1801</v>
      </c>
      <c r="O960" s="9">
        <v>5.5</v>
      </c>
      <c r="P960" s="5" t="s">
        <v>26</v>
      </c>
      <c r="Q960" s="2">
        <v>7</v>
      </c>
      <c r="R960" s="5" t="s">
        <v>27</v>
      </c>
      <c r="S960" s="5" t="s">
        <v>32</v>
      </c>
      <c r="T960" s="39">
        <v>470</v>
      </c>
    </row>
    <row r="961" spans="1:20" ht="20.100000000000001" hidden="1" customHeight="1" x14ac:dyDescent="0.25">
      <c r="A961" s="26" t="str">
        <f>CONCATENATE(RIGHT(LEFT(RecebimentoConcreto[[#This Row],[Obra]],5),4),"RCBC",TEXT(RecebimentoConcreto[[#This Row],[Ordem]],"0000"))</f>
        <v>0184RCBC0810</v>
      </c>
      <c r="B961" s="1">
        <v>810</v>
      </c>
      <c r="C961" s="1" t="s">
        <v>21</v>
      </c>
      <c r="D961" s="35">
        <v>44911</v>
      </c>
      <c r="E961" s="1" t="s">
        <v>1860</v>
      </c>
      <c r="F961" s="2">
        <v>19251</v>
      </c>
      <c r="G961" s="2">
        <v>5408</v>
      </c>
      <c r="H961" s="2">
        <v>18659</v>
      </c>
      <c r="I961" s="5">
        <v>0.47222222222222227</v>
      </c>
      <c r="J961" s="5">
        <v>0.51388888888888895</v>
      </c>
      <c r="K961" s="32">
        <f>_xlfn.MAXIFS(ConsumoConcreto[Fim do Bombeamento],ConsumoConcreto[RecebimentoID],RecebimentoConcreto[[#This Row],[RecebimentoID]])</f>
        <v>0.54166666666666663</v>
      </c>
      <c r="L961" s="1">
        <v>13</v>
      </c>
      <c r="M961" s="37">
        <v>36892</v>
      </c>
      <c r="N961" s="5" t="s">
        <v>1801</v>
      </c>
      <c r="O961" s="9">
        <v>5.5</v>
      </c>
      <c r="P961" s="5" t="s">
        <v>26</v>
      </c>
      <c r="Q961" s="2">
        <v>7</v>
      </c>
      <c r="R961" s="5" t="s">
        <v>27</v>
      </c>
      <c r="S961" s="5" t="s">
        <v>32</v>
      </c>
      <c r="T961" s="39">
        <v>470</v>
      </c>
    </row>
    <row r="962" spans="1:20" ht="20.100000000000001" hidden="1" customHeight="1" x14ac:dyDescent="0.25">
      <c r="A962" s="26" t="str">
        <f>CONCATENATE(RIGHT(LEFT(RecebimentoConcreto[[#This Row],[Obra]],5),4),"RCBC",TEXT(RecebimentoConcreto[[#This Row],[Ordem]],"0000"))</f>
        <v>0184RCBC0811</v>
      </c>
      <c r="B962" s="1">
        <v>811</v>
      </c>
      <c r="C962" s="1" t="s">
        <v>21</v>
      </c>
      <c r="D962" s="35">
        <v>44949</v>
      </c>
      <c r="E962" s="1" t="s">
        <v>38</v>
      </c>
      <c r="F962" s="2">
        <v>19364</v>
      </c>
      <c r="G962" s="2">
        <v>5408</v>
      </c>
      <c r="H962" s="2">
        <v>684</v>
      </c>
      <c r="I962" s="5">
        <v>0.3666666666666667</v>
      </c>
      <c r="J962" s="5">
        <v>0.41666666666666669</v>
      </c>
      <c r="K962" s="32">
        <f>_xlfn.MAXIFS(ConsumoConcreto[Fim do Bombeamento],ConsumoConcreto[RecebimentoID],RecebimentoConcreto[[#This Row],[RecebimentoID]])</f>
        <v>0.4548611111111111</v>
      </c>
      <c r="L962" s="1">
        <v>12</v>
      </c>
      <c r="M962" s="37">
        <v>36892</v>
      </c>
      <c r="N962" s="5" t="s">
        <v>1801</v>
      </c>
      <c r="O962" s="9">
        <v>6</v>
      </c>
      <c r="P962" s="5" t="s">
        <v>26</v>
      </c>
      <c r="Q962" s="2">
        <v>7</v>
      </c>
      <c r="R962" s="5" t="s">
        <v>27</v>
      </c>
      <c r="S962" s="5" t="s">
        <v>32</v>
      </c>
      <c r="T962" s="39">
        <v>470</v>
      </c>
    </row>
    <row r="963" spans="1:20" ht="20.100000000000001" hidden="1" customHeight="1" x14ac:dyDescent="0.25">
      <c r="A963" s="26" t="str">
        <f>CONCATENATE(RIGHT(LEFT(RecebimentoConcreto[[#This Row],[Obra]],5),4),"RCBC",TEXT(RecebimentoConcreto[[#This Row],[Ordem]],"0000"))</f>
        <v>0184RCBC0812</v>
      </c>
      <c r="B963" s="1">
        <v>812</v>
      </c>
      <c r="C963" s="1" t="s">
        <v>21</v>
      </c>
      <c r="D963" s="35">
        <v>44949</v>
      </c>
      <c r="E963" s="1" t="s">
        <v>36</v>
      </c>
      <c r="F963" s="2">
        <v>19369</v>
      </c>
      <c r="G963" s="2">
        <v>5408</v>
      </c>
      <c r="H963" s="2">
        <v>688</v>
      </c>
      <c r="I963" s="5">
        <v>0.4861111111111111</v>
      </c>
      <c r="J963" s="5">
        <v>0.53125</v>
      </c>
      <c r="K963" s="32">
        <f>_xlfn.MAXIFS(ConsumoConcreto[Fim do Bombeamento],ConsumoConcreto[RecebimentoID],RecebimentoConcreto[[#This Row],[RecebimentoID]])</f>
        <v>0.56041666666666667</v>
      </c>
      <c r="L963" s="1">
        <v>12</v>
      </c>
      <c r="M963" s="37">
        <v>36892</v>
      </c>
      <c r="N963" s="5" t="s">
        <v>1801</v>
      </c>
      <c r="O963" s="9">
        <v>6</v>
      </c>
      <c r="P963" s="5" t="s">
        <v>26</v>
      </c>
      <c r="Q963" s="2">
        <v>7</v>
      </c>
      <c r="R963" s="5" t="s">
        <v>27</v>
      </c>
      <c r="S963" s="5" t="s">
        <v>32</v>
      </c>
      <c r="T963" s="39">
        <v>470</v>
      </c>
    </row>
    <row r="964" spans="1:20" ht="20.100000000000001" hidden="1" customHeight="1" x14ac:dyDescent="0.25">
      <c r="A964" s="26" t="str">
        <f>CONCATENATE(RIGHT(LEFT(RecebimentoConcreto[[#This Row],[Obra]],5),4),"RCBC",TEXT(RecebimentoConcreto[[#This Row],[Ordem]],"0000"))</f>
        <v>0184RCBC0813</v>
      </c>
      <c r="B964" s="1">
        <v>813</v>
      </c>
      <c r="C964" s="1" t="s">
        <v>21</v>
      </c>
      <c r="D964" s="35">
        <v>44949</v>
      </c>
      <c r="E964" s="1" t="s">
        <v>1861</v>
      </c>
      <c r="F964" s="2">
        <v>19373</v>
      </c>
      <c r="G964" s="2">
        <v>5408</v>
      </c>
      <c r="H964" s="2">
        <v>692</v>
      </c>
      <c r="I964" s="5">
        <v>0.59722222222222221</v>
      </c>
      <c r="J964" s="5">
        <v>0.61805555555555558</v>
      </c>
      <c r="K964" s="32">
        <f>_xlfn.MAXIFS(ConsumoConcreto[Fim do Bombeamento],ConsumoConcreto[RecebimentoID],RecebimentoConcreto[[#This Row],[RecebimentoID]])</f>
        <v>0.625</v>
      </c>
      <c r="L964" s="1">
        <v>13.5</v>
      </c>
      <c r="M964" s="37">
        <v>36892</v>
      </c>
      <c r="N964" s="5" t="s">
        <v>1801</v>
      </c>
      <c r="O964" s="9">
        <v>5.5</v>
      </c>
      <c r="P964" s="5" t="s">
        <v>26</v>
      </c>
      <c r="Q964" s="2">
        <v>7</v>
      </c>
      <c r="R964" s="5" t="s">
        <v>27</v>
      </c>
      <c r="S964" s="5" t="s">
        <v>32</v>
      </c>
      <c r="T964" s="39">
        <v>470</v>
      </c>
    </row>
    <row r="965" spans="1:20" ht="20.100000000000001" hidden="1" customHeight="1" x14ac:dyDescent="0.25">
      <c r="A965" s="26" t="str">
        <f>CONCATENATE(RIGHT(LEFT(RecebimentoConcreto[[#This Row],[Obra]],5),4),"RCBC",TEXT(RecebimentoConcreto[[#This Row],[Ordem]],"0000"))</f>
        <v>0184RCBC0814</v>
      </c>
      <c r="B965" s="1">
        <v>814</v>
      </c>
      <c r="C965" s="1" t="s">
        <v>21</v>
      </c>
      <c r="D965" s="35">
        <v>44949</v>
      </c>
      <c r="E965" s="1" t="s">
        <v>38</v>
      </c>
      <c r="F965" s="2">
        <v>19370</v>
      </c>
      <c r="G965" s="2">
        <v>5408</v>
      </c>
      <c r="H965" s="2">
        <v>689</v>
      </c>
      <c r="I965" s="5">
        <v>0.51041666666666663</v>
      </c>
      <c r="J965" s="5">
        <v>0.57986111111111105</v>
      </c>
      <c r="K965" s="32">
        <f>_xlfn.MAXIFS(ConsumoConcreto[Fim do Bombeamento],ConsumoConcreto[RecebimentoID],RecebimentoConcreto[[#This Row],[RecebimentoID]])</f>
        <v>0.59027777777777779</v>
      </c>
      <c r="L965" s="1">
        <v>13</v>
      </c>
      <c r="M965" s="37">
        <v>36892</v>
      </c>
      <c r="N965" s="5" t="s">
        <v>1801</v>
      </c>
      <c r="O965" s="9">
        <v>5</v>
      </c>
      <c r="P965" s="5" t="s">
        <v>26</v>
      </c>
      <c r="Q965" s="2">
        <v>7</v>
      </c>
      <c r="R965" s="5" t="s">
        <v>27</v>
      </c>
      <c r="S965" s="5" t="s">
        <v>32</v>
      </c>
      <c r="T965" s="39">
        <v>470</v>
      </c>
    </row>
    <row r="966" spans="1:20" ht="20.100000000000001" hidden="1" customHeight="1" x14ac:dyDescent="0.25">
      <c r="A966" s="26" t="str">
        <f>CONCATENATE(RIGHT(LEFT(RecebimentoConcreto[[#This Row],[Obra]],5),4),"RCBC",TEXT(RecebimentoConcreto[[#This Row],[Ordem]],"0000"))</f>
        <v>0184RCBC0815</v>
      </c>
      <c r="B966" s="1">
        <v>815</v>
      </c>
      <c r="C966" s="1" t="s">
        <v>21</v>
      </c>
      <c r="D966" s="35">
        <v>44949</v>
      </c>
      <c r="E966" s="1" t="s">
        <v>38</v>
      </c>
      <c r="F966" s="2">
        <v>19375</v>
      </c>
      <c r="G966" s="2">
        <v>5408</v>
      </c>
      <c r="H966" s="2">
        <v>695</v>
      </c>
      <c r="I966" s="5">
        <v>0.61458333333333337</v>
      </c>
      <c r="J966" s="5">
        <v>0.63541666666666663</v>
      </c>
      <c r="K966" s="32">
        <f>_xlfn.MAXIFS(ConsumoConcreto[Fim do Bombeamento],ConsumoConcreto[RecebimentoID],RecebimentoConcreto[[#This Row],[RecebimentoID]])</f>
        <v>0.64583333333333337</v>
      </c>
      <c r="L966" s="1">
        <v>14</v>
      </c>
      <c r="M966" s="37">
        <v>36892</v>
      </c>
      <c r="N966" s="5" t="s">
        <v>1801</v>
      </c>
      <c r="O966" s="9">
        <v>5.5</v>
      </c>
      <c r="P966" s="5" t="s">
        <v>26</v>
      </c>
      <c r="Q966" s="2">
        <v>7</v>
      </c>
      <c r="R966" s="5" t="s">
        <v>27</v>
      </c>
      <c r="S966" s="5" t="s">
        <v>32</v>
      </c>
      <c r="T966" s="39">
        <v>470</v>
      </c>
    </row>
    <row r="967" spans="1:20" ht="20.100000000000001" hidden="1" customHeight="1" x14ac:dyDescent="0.25">
      <c r="A967" s="26" t="str">
        <f>CONCATENATE(RIGHT(LEFT(RecebimentoConcreto[[#This Row],[Obra]],5),4),"RCBC",TEXT(RecebimentoConcreto[[#This Row],[Ordem]],"0000"))</f>
        <v>0184RCBC0816</v>
      </c>
      <c r="B967" s="1">
        <v>816</v>
      </c>
      <c r="C967" s="1" t="s">
        <v>21</v>
      </c>
      <c r="D967" s="35">
        <v>44949</v>
      </c>
      <c r="E967" s="1" t="s">
        <v>1708</v>
      </c>
      <c r="F967" s="2">
        <v>19376</v>
      </c>
      <c r="G967" s="2">
        <v>5408</v>
      </c>
      <c r="H967" s="2">
        <v>696</v>
      </c>
      <c r="I967" s="5">
        <v>0.64236111111111105</v>
      </c>
      <c r="J967" s="5">
        <v>0.69097222222222221</v>
      </c>
      <c r="K967" s="32">
        <f>_xlfn.MAXIFS(ConsumoConcreto[Fim do Bombeamento],ConsumoConcreto[RecebimentoID],RecebimentoConcreto[[#This Row],[RecebimentoID]])</f>
        <v>0.70624999999999993</v>
      </c>
      <c r="L967" s="1">
        <v>13</v>
      </c>
      <c r="M967" s="37">
        <v>36892</v>
      </c>
      <c r="N967" s="5" t="s">
        <v>1801</v>
      </c>
      <c r="O967" s="9">
        <v>5.5</v>
      </c>
      <c r="P967" s="5" t="s">
        <v>26</v>
      </c>
      <c r="Q967" s="2">
        <v>7</v>
      </c>
      <c r="R967" s="5" t="s">
        <v>27</v>
      </c>
      <c r="S967" s="5" t="s">
        <v>32</v>
      </c>
      <c r="T967" s="39">
        <v>470</v>
      </c>
    </row>
    <row r="968" spans="1:20" ht="20.100000000000001" hidden="1" customHeight="1" x14ac:dyDescent="0.25">
      <c r="A968" s="26" t="str">
        <f>CONCATENATE(RIGHT(LEFT(RecebimentoConcreto[[#This Row],[Obra]],5),4),"RCBC",TEXT(RecebimentoConcreto[[#This Row],[Ordem]],"0000"))</f>
        <v>0184RCBC0817</v>
      </c>
      <c r="B968" s="1">
        <v>817</v>
      </c>
      <c r="C968" s="1" t="s">
        <v>21</v>
      </c>
      <c r="D968" s="35">
        <v>44949</v>
      </c>
      <c r="E968" s="1" t="s">
        <v>38</v>
      </c>
      <c r="F968" s="2">
        <v>19378</v>
      </c>
      <c r="G968" s="2">
        <v>5408</v>
      </c>
      <c r="H968" s="2">
        <v>698</v>
      </c>
      <c r="I968" s="5">
        <v>0.67708333333333337</v>
      </c>
      <c r="J968" s="5">
        <v>0.73472222222222217</v>
      </c>
      <c r="K968" s="32">
        <f>_xlfn.MAXIFS(ConsumoConcreto[Fim do Bombeamento],ConsumoConcreto[RecebimentoID],RecebimentoConcreto[[#This Row],[RecebimentoID]])</f>
        <v>0.74305555555555547</v>
      </c>
      <c r="L968" s="1">
        <v>12</v>
      </c>
      <c r="M968" s="37">
        <v>36892</v>
      </c>
      <c r="N968" s="5" t="s">
        <v>1801</v>
      </c>
      <c r="O968" s="9">
        <v>5.5</v>
      </c>
      <c r="P968" s="5" t="s">
        <v>26</v>
      </c>
      <c r="Q968" s="2">
        <v>7</v>
      </c>
      <c r="R968" s="5" t="s">
        <v>27</v>
      </c>
      <c r="S968" s="5" t="s">
        <v>32</v>
      </c>
      <c r="T968" s="39">
        <v>470</v>
      </c>
    </row>
    <row r="969" spans="1:20" ht="20.100000000000001" hidden="1" customHeight="1" x14ac:dyDescent="0.25">
      <c r="A969" s="26" t="str">
        <f>CONCATENATE(RIGHT(LEFT(RecebimentoConcreto[[#This Row],[Obra]],5),4),"RCBC",TEXT(RecebimentoConcreto[[#This Row],[Ordem]],"0000"))</f>
        <v>0184RCBC0818</v>
      </c>
      <c r="B969" s="1">
        <v>818</v>
      </c>
      <c r="C969" s="1" t="s">
        <v>21</v>
      </c>
      <c r="D969" s="35">
        <v>44950</v>
      </c>
      <c r="E969" s="1" t="s">
        <v>36</v>
      </c>
      <c r="F969" s="2">
        <v>19391</v>
      </c>
      <c r="G969" s="2">
        <v>5408</v>
      </c>
      <c r="H969" s="2">
        <v>713</v>
      </c>
      <c r="I969" s="5">
        <v>0.3666666666666667</v>
      </c>
      <c r="J969" s="5">
        <v>0.39583333333333331</v>
      </c>
      <c r="K969" s="32">
        <f>_xlfn.MAXIFS(ConsumoConcreto[Fim do Bombeamento],ConsumoConcreto[RecebimentoID],RecebimentoConcreto[[#This Row],[RecebimentoID]])</f>
        <v>0.4201388888888889</v>
      </c>
      <c r="L969" s="1">
        <v>12</v>
      </c>
      <c r="M969" s="37">
        <v>36892</v>
      </c>
      <c r="N969" s="5" t="s">
        <v>1801</v>
      </c>
      <c r="O969" s="9">
        <v>5.5</v>
      </c>
      <c r="P969" s="5" t="s">
        <v>26</v>
      </c>
      <c r="Q969" s="2">
        <v>7</v>
      </c>
      <c r="R969" s="5" t="s">
        <v>27</v>
      </c>
      <c r="S969" s="5" t="s">
        <v>32</v>
      </c>
      <c r="T969" s="39">
        <v>470</v>
      </c>
    </row>
    <row r="970" spans="1:20" ht="20.100000000000001" hidden="1" customHeight="1" x14ac:dyDescent="0.25">
      <c r="A970" s="26" t="str">
        <f>CONCATENATE(RIGHT(LEFT(RecebimentoConcreto[[#This Row],[Obra]],5),4),"RCBC",TEXT(RecebimentoConcreto[[#This Row],[Ordem]],"0000"))</f>
        <v>0184RCBC0819</v>
      </c>
      <c r="B970" s="1">
        <v>819</v>
      </c>
      <c r="C970" s="1" t="s">
        <v>21</v>
      </c>
      <c r="D970" s="35">
        <v>44950</v>
      </c>
      <c r="E970" s="1" t="s">
        <v>38</v>
      </c>
      <c r="F970" s="2">
        <v>19392</v>
      </c>
      <c r="G970" s="2">
        <v>5408</v>
      </c>
      <c r="H970" s="2">
        <v>714</v>
      </c>
      <c r="I970" s="5">
        <v>0.3923611111111111</v>
      </c>
      <c r="J970" s="5">
        <v>0.4513888888888889</v>
      </c>
      <c r="K970" s="32">
        <f>_xlfn.MAXIFS(ConsumoConcreto[Fim do Bombeamento],ConsumoConcreto[RecebimentoID],RecebimentoConcreto[[#This Row],[RecebimentoID]])</f>
        <v>0.46875</v>
      </c>
      <c r="L970" s="1">
        <v>13</v>
      </c>
      <c r="M970" s="37">
        <v>36892</v>
      </c>
      <c r="N970" s="5" t="s">
        <v>1801</v>
      </c>
      <c r="O970" s="9">
        <v>5.5</v>
      </c>
      <c r="P970" s="5" t="s">
        <v>26</v>
      </c>
      <c r="Q970" s="2">
        <v>7</v>
      </c>
      <c r="R970" s="5" t="s">
        <v>27</v>
      </c>
      <c r="S970" s="5" t="s">
        <v>32</v>
      </c>
      <c r="T970" s="39">
        <v>470</v>
      </c>
    </row>
    <row r="971" spans="1:20" ht="20.100000000000001" hidden="1" customHeight="1" x14ac:dyDescent="0.25">
      <c r="A971" s="26" t="str">
        <f>CONCATENATE(RIGHT(LEFT(RecebimentoConcreto[[#This Row],[Obra]],5),4),"RCBC",TEXT(RecebimentoConcreto[[#This Row],[Ordem]],"0000"))</f>
        <v>0184RCBC0820</v>
      </c>
      <c r="B971" s="1">
        <v>820</v>
      </c>
      <c r="C971" s="1" t="s">
        <v>21</v>
      </c>
      <c r="D971" s="35">
        <v>44950</v>
      </c>
      <c r="E971" s="1" t="s">
        <v>37</v>
      </c>
      <c r="F971" s="2">
        <v>19395</v>
      </c>
      <c r="G971" s="2">
        <v>5408</v>
      </c>
      <c r="H971" s="2">
        <v>717</v>
      </c>
      <c r="I971" s="5">
        <v>0.44097222222222227</v>
      </c>
      <c r="J971" s="5">
        <v>0.50694444444444442</v>
      </c>
      <c r="K971" s="32">
        <f>_xlfn.MAXIFS(ConsumoConcreto[Fim do Bombeamento],ConsumoConcreto[RecebimentoID],RecebimentoConcreto[[#This Row],[RecebimentoID]])</f>
        <v>0.52777777777777779</v>
      </c>
      <c r="L971" s="1">
        <v>13</v>
      </c>
      <c r="M971" s="37">
        <v>36892</v>
      </c>
      <c r="N971" s="5" t="s">
        <v>1801</v>
      </c>
      <c r="O971" s="9">
        <v>5.5</v>
      </c>
      <c r="P971" s="5" t="s">
        <v>26</v>
      </c>
      <c r="Q971" s="2">
        <v>7</v>
      </c>
      <c r="R971" s="5" t="s">
        <v>27</v>
      </c>
      <c r="S971" s="5" t="s">
        <v>32</v>
      </c>
      <c r="T971" s="39">
        <v>470</v>
      </c>
    </row>
    <row r="972" spans="1:20" ht="20.100000000000001" hidden="1" customHeight="1" x14ac:dyDescent="0.25">
      <c r="A972" s="26" t="str">
        <f>CONCATENATE(RIGHT(LEFT(RecebimentoConcreto[[#This Row],[Obra]],5),4),"RCBC",TEXT(RecebimentoConcreto[[#This Row],[Ordem]],"0000"))</f>
        <v>0184RCBC0821</v>
      </c>
      <c r="B972" s="1">
        <v>821</v>
      </c>
      <c r="C972" s="1" t="s">
        <v>21</v>
      </c>
      <c r="D972" s="35">
        <v>44952</v>
      </c>
      <c r="E972" s="1" t="s">
        <v>36</v>
      </c>
      <c r="F972" s="2">
        <v>19416</v>
      </c>
      <c r="G972" s="2">
        <v>5408</v>
      </c>
      <c r="H972" s="2">
        <v>740</v>
      </c>
      <c r="I972" s="5">
        <v>0.3576388888888889</v>
      </c>
      <c r="J972" s="5">
        <v>0.3888888888888889</v>
      </c>
      <c r="K972" s="32">
        <f>_xlfn.MAXIFS(ConsumoConcreto[Fim do Bombeamento],ConsumoConcreto[RecebimentoID],RecebimentoConcreto[[#This Row],[RecebimentoID]])</f>
        <v>0.39930555555555558</v>
      </c>
      <c r="M972" s="37">
        <v>36892</v>
      </c>
      <c r="N972" s="5" t="s">
        <v>1801</v>
      </c>
      <c r="O972" s="9">
        <v>5.5</v>
      </c>
      <c r="P972" s="5" t="s">
        <v>26</v>
      </c>
      <c r="Q972" s="2">
        <v>7</v>
      </c>
      <c r="R972" s="5" t="s">
        <v>27</v>
      </c>
      <c r="S972" s="5" t="s">
        <v>32</v>
      </c>
      <c r="T972" s="39">
        <v>470</v>
      </c>
    </row>
    <row r="973" spans="1:20" ht="20.100000000000001" hidden="1" customHeight="1" x14ac:dyDescent="0.25">
      <c r="A973" s="26" t="str">
        <f>CONCATENATE(RIGHT(LEFT(RecebimentoConcreto[[#This Row],[Obra]],5),4),"RCBC",TEXT(RecebimentoConcreto[[#This Row],[Ordem]],"0000"))</f>
        <v>0184RCBC0822</v>
      </c>
      <c r="B973" s="1">
        <v>822</v>
      </c>
      <c r="C973" s="1" t="s">
        <v>21</v>
      </c>
      <c r="D973" s="35">
        <v>44952</v>
      </c>
      <c r="E973" s="1" t="s">
        <v>207</v>
      </c>
      <c r="F973" s="2">
        <v>19420</v>
      </c>
      <c r="G973" s="2">
        <v>5408</v>
      </c>
      <c r="H973" s="2">
        <v>744</v>
      </c>
      <c r="I973" s="5">
        <v>0.43055555555555558</v>
      </c>
      <c r="J973" s="5">
        <v>0.4465277777777778</v>
      </c>
      <c r="K973" s="32">
        <f>_xlfn.MAXIFS(ConsumoConcreto[Fim do Bombeamento],ConsumoConcreto[RecebimentoID],RecebimentoConcreto[[#This Row],[RecebimentoID]])</f>
        <v>0.47222222222222227</v>
      </c>
      <c r="L973" s="1">
        <v>14</v>
      </c>
      <c r="M973" s="37">
        <v>36892</v>
      </c>
      <c r="N973" s="5" t="s">
        <v>1801</v>
      </c>
      <c r="O973" s="9">
        <v>5.5</v>
      </c>
      <c r="P973" s="5" t="s">
        <v>26</v>
      </c>
      <c r="Q973" s="2">
        <v>7</v>
      </c>
      <c r="R973" s="5" t="s">
        <v>27</v>
      </c>
      <c r="S973" s="5" t="s">
        <v>32</v>
      </c>
      <c r="T973" s="39">
        <v>470</v>
      </c>
    </row>
    <row r="974" spans="1:20" ht="20.100000000000001" hidden="1" customHeight="1" x14ac:dyDescent="0.25">
      <c r="A974" s="26" t="str">
        <f>CONCATENATE(RIGHT(LEFT(RecebimentoConcreto[[#This Row],[Obra]],5),4),"RCBC",TEXT(RecebimentoConcreto[[#This Row],[Ordem]],"0000"))</f>
        <v>0184RCBC0823</v>
      </c>
      <c r="B974" s="1">
        <v>823</v>
      </c>
      <c r="C974" s="1" t="s">
        <v>21</v>
      </c>
      <c r="D974" s="35">
        <v>44952</v>
      </c>
      <c r="E974" s="1" t="s">
        <v>37</v>
      </c>
      <c r="F974" s="2">
        <v>19425</v>
      </c>
      <c r="G974" s="2">
        <v>5408</v>
      </c>
      <c r="H974" s="2">
        <v>749</v>
      </c>
      <c r="I974" s="5">
        <v>0.54513888888888895</v>
      </c>
      <c r="J974" s="5">
        <v>0.58680555555555558</v>
      </c>
      <c r="K974" s="32">
        <f>_xlfn.MAXIFS(ConsumoConcreto[Fim do Bombeamento],ConsumoConcreto[RecebimentoID],RecebimentoConcreto[[#This Row],[RecebimentoID]])</f>
        <v>0.60416666666666663</v>
      </c>
      <c r="L974" s="1">
        <v>13</v>
      </c>
      <c r="M974" s="37">
        <v>36892</v>
      </c>
      <c r="N974" s="5" t="s">
        <v>1801</v>
      </c>
      <c r="O974" s="9">
        <v>5.5</v>
      </c>
      <c r="P974" s="5" t="s">
        <v>26</v>
      </c>
      <c r="Q974" s="2">
        <v>7</v>
      </c>
      <c r="R974" s="5" t="s">
        <v>27</v>
      </c>
      <c r="S974" s="5" t="s">
        <v>32</v>
      </c>
      <c r="T974" s="39">
        <v>470</v>
      </c>
    </row>
    <row r="975" spans="1:20" ht="20.100000000000001" hidden="1" customHeight="1" x14ac:dyDescent="0.25">
      <c r="A975" s="26" t="str">
        <f>CONCATENATE(RIGHT(LEFT(RecebimentoConcreto[[#This Row],[Obra]],5),4),"RCBC",TEXT(RecebimentoConcreto[[#This Row],[Ordem]],"0000"))</f>
        <v>0184RCBC0824</v>
      </c>
      <c r="B975" s="1">
        <v>824</v>
      </c>
      <c r="C975" s="1" t="s">
        <v>21</v>
      </c>
      <c r="D975" s="35">
        <v>44952</v>
      </c>
      <c r="E975" s="1" t="s">
        <v>208</v>
      </c>
      <c r="F975" s="2">
        <v>19430</v>
      </c>
      <c r="G975" s="2">
        <v>5408</v>
      </c>
      <c r="H975" s="2">
        <v>755</v>
      </c>
      <c r="I975" s="5">
        <v>0.625</v>
      </c>
      <c r="J975" s="5">
        <v>0.64583333333333337</v>
      </c>
      <c r="K975" s="32">
        <f>_xlfn.MAXIFS(ConsumoConcreto[Fim do Bombeamento],ConsumoConcreto[RecebimentoID],RecebimentoConcreto[[#This Row],[RecebimentoID]])</f>
        <v>0.67013888888888884</v>
      </c>
      <c r="L975" s="1">
        <v>14</v>
      </c>
      <c r="M975" s="37">
        <v>36892</v>
      </c>
      <c r="N975" s="5" t="s">
        <v>1801</v>
      </c>
      <c r="O975" s="9">
        <v>5.5</v>
      </c>
      <c r="P975" s="5" t="s">
        <v>26</v>
      </c>
      <c r="Q975" s="2">
        <v>7</v>
      </c>
      <c r="R975" s="5" t="s">
        <v>27</v>
      </c>
      <c r="S975" s="5" t="s">
        <v>32</v>
      </c>
      <c r="T975" s="39">
        <v>470</v>
      </c>
    </row>
    <row r="976" spans="1:20" ht="20.100000000000001" hidden="1" customHeight="1" x14ac:dyDescent="0.25">
      <c r="A976" s="26" t="str">
        <f>CONCATENATE(RIGHT(LEFT(RecebimentoConcreto[[#This Row],[Obra]],5),4),"RCBC",TEXT(RecebimentoConcreto[[#This Row],[Ordem]],"0000"))</f>
        <v>0184RCBC0825</v>
      </c>
      <c r="B976" s="1">
        <v>825</v>
      </c>
      <c r="C976" s="1" t="s">
        <v>21</v>
      </c>
      <c r="D976" s="35">
        <v>44952</v>
      </c>
      <c r="E976" s="1" t="s">
        <v>37</v>
      </c>
      <c r="F976" s="2">
        <v>19431</v>
      </c>
      <c r="G976" s="2">
        <v>5408</v>
      </c>
      <c r="H976" s="2">
        <v>756</v>
      </c>
      <c r="I976" s="5">
        <v>0.64583333333333337</v>
      </c>
      <c r="J976" s="5">
        <v>0.69444444444444453</v>
      </c>
      <c r="K976" s="32">
        <f>_xlfn.MAXIFS(ConsumoConcreto[Fim do Bombeamento],ConsumoConcreto[RecebimentoID],RecebimentoConcreto[[#This Row],[RecebimentoID]])</f>
        <v>0.71875</v>
      </c>
      <c r="L976" s="1">
        <v>14</v>
      </c>
      <c r="M976" s="37">
        <v>36892</v>
      </c>
      <c r="N976" s="5" t="s">
        <v>1801</v>
      </c>
      <c r="O976" s="9">
        <v>5.5</v>
      </c>
      <c r="P976" s="5" t="s">
        <v>26</v>
      </c>
      <c r="Q976" s="2">
        <v>7</v>
      </c>
      <c r="R976" s="5" t="s">
        <v>27</v>
      </c>
      <c r="S976" s="5" t="s">
        <v>32</v>
      </c>
      <c r="T976" s="39">
        <v>470</v>
      </c>
    </row>
    <row r="977" spans="1:20" ht="20.100000000000001" hidden="1" customHeight="1" x14ac:dyDescent="0.25">
      <c r="A977" s="26" t="str">
        <f>CONCATENATE(RIGHT(LEFT(RecebimentoConcreto[[#This Row],[Obra]],5),4),"RCBC",TEXT(RecebimentoConcreto[[#This Row],[Ordem]],"0000"))</f>
        <v>0184RCBC0826</v>
      </c>
      <c r="B977" s="1">
        <v>826</v>
      </c>
      <c r="C977" s="1" t="s">
        <v>21</v>
      </c>
      <c r="D977" s="35">
        <v>44952</v>
      </c>
      <c r="E977" s="1" t="s">
        <v>36</v>
      </c>
      <c r="F977" s="2">
        <v>19432</v>
      </c>
      <c r="G977" s="2">
        <v>5408</v>
      </c>
      <c r="H977" s="2">
        <v>757</v>
      </c>
      <c r="I977" s="5">
        <v>0.66666666666666663</v>
      </c>
      <c r="J977" s="5">
        <v>0.72222222222222221</v>
      </c>
      <c r="K977" s="32">
        <f>_xlfn.MAXIFS(ConsumoConcreto[Fim do Bombeamento],ConsumoConcreto[RecebimentoID],RecebimentoConcreto[[#This Row],[RecebimentoID]])</f>
        <v>0.61458333333333337</v>
      </c>
      <c r="L977" s="1">
        <v>13</v>
      </c>
      <c r="M977" s="37">
        <v>36892</v>
      </c>
      <c r="N977" s="5" t="s">
        <v>1801</v>
      </c>
      <c r="O977" s="9">
        <v>5.5</v>
      </c>
      <c r="P977" s="5" t="s">
        <v>26</v>
      </c>
      <c r="Q977" s="2">
        <v>7</v>
      </c>
      <c r="R977" s="5" t="s">
        <v>27</v>
      </c>
      <c r="S977" s="5" t="s">
        <v>32</v>
      </c>
      <c r="T977" s="39">
        <v>470</v>
      </c>
    </row>
    <row r="978" spans="1:20" ht="20.100000000000001" hidden="1" customHeight="1" x14ac:dyDescent="0.25">
      <c r="A978" s="26" t="str">
        <f>CONCATENATE(RIGHT(LEFT(RecebimentoConcreto[[#This Row],[Obra]],5),4),"RCBC",TEXT(RecebimentoConcreto[[#This Row],[Ordem]],"0000"))</f>
        <v>0184RCBC0827</v>
      </c>
      <c r="B978" s="1">
        <v>827</v>
      </c>
      <c r="C978" s="1" t="s">
        <v>21</v>
      </c>
      <c r="D978" s="35">
        <v>44953</v>
      </c>
      <c r="E978" s="1" t="s">
        <v>1861</v>
      </c>
      <c r="F978" s="2">
        <v>19447</v>
      </c>
      <c r="G978" s="2">
        <v>5408</v>
      </c>
      <c r="H978" s="2">
        <v>773</v>
      </c>
      <c r="I978" s="5">
        <v>0.59236111111111112</v>
      </c>
      <c r="J978" s="5">
        <v>0.62152777777777779</v>
      </c>
      <c r="K978" s="32">
        <f>_xlfn.MAXIFS(ConsumoConcreto[Fim do Bombeamento],ConsumoConcreto[RecebimentoID],RecebimentoConcreto[[#This Row],[RecebimentoID]])</f>
        <v>0.63888888888888895</v>
      </c>
      <c r="L978" s="1">
        <v>13</v>
      </c>
      <c r="M978" s="37">
        <v>36892</v>
      </c>
      <c r="N978" s="5" t="s">
        <v>1801</v>
      </c>
      <c r="O978" s="9">
        <v>5.5</v>
      </c>
      <c r="P978" s="5" t="s">
        <v>26</v>
      </c>
      <c r="Q978" s="2">
        <v>7</v>
      </c>
      <c r="R978" s="5" t="s">
        <v>27</v>
      </c>
      <c r="S978" s="5" t="s">
        <v>32</v>
      </c>
      <c r="T978" s="39">
        <v>470</v>
      </c>
    </row>
    <row r="979" spans="1:20" ht="20.100000000000001" hidden="1" customHeight="1" x14ac:dyDescent="0.25">
      <c r="A979" s="26" t="str">
        <f>CONCATENATE(RIGHT(LEFT(RecebimentoConcreto[[#This Row],[Obra]],5),4),"RCBC",TEXT(RecebimentoConcreto[[#This Row],[Ordem]],"0000"))</f>
        <v>0184RCBC0828</v>
      </c>
      <c r="B979" s="1">
        <v>828</v>
      </c>
      <c r="C979" s="1" t="s">
        <v>21</v>
      </c>
      <c r="D979" s="35">
        <v>44953</v>
      </c>
      <c r="E979" s="1" t="s">
        <v>1708</v>
      </c>
      <c r="F979" s="2">
        <v>19439</v>
      </c>
      <c r="G979" s="2">
        <v>5408</v>
      </c>
      <c r="H979" s="2">
        <v>765</v>
      </c>
      <c r="I979" s="5">
        <v>0.35416666666666669</v>
      </c>
      <c r="J979" s="5">
        <v>0.375</v>
      </c>
      <c r="K979" s="32">
        <f>_xlfn.MAXIFS(ConsumoConcreto[Fim do Bombeamento],ConsumoConcreto[RecebimentoID],RecebimentoConcreto[[#This Row],[RecebimentoID]])</f>
        <v>0.39930555555555558</v>
      </c>
      <c r="L979" s="1">
        <v>14</v>
      </c>
      <c r="M979" s="37">
        <v>36892</v>
      </c>
      <c r="N979" s="5" t="s">
        <v>1801</v>
      </c>
      <c r="O979" s="9">
        <v>5.5</v>
      </c>
      <c r="P979" s="5" t="s">
        <v>26</v>
      </c>
      <c r="Q979" s="2">
        <v>7</v>
      </c>
      <c r="R979" s="5" t="s">
        <v>27</v>
      </c>
      <c r="S979" s="5" t="s">
        <v>32</v>
      </c>
      <c r="T979" s="39">
        <v>470</v>
      </c>
    </row>
    <row r="980" spans="1:20" ht="20.100000000000001" hidden="1" customHeight="1" x14ac:dyDescent="0.25">
      <c r="A980" s="26" t="str">
        <f>CONCATENATE(RIGHT(LEFT(RecebimentoConcreto[[#This Row],[Obra]],5),4),"RCBC",TEXT(RecebimentoConcreto[[#This Row],[Ordem]],"0000"))</f>
        <v>0184RCBC0829</v>
      </c>
      <c r="B980" s="1">
        <v>829</v>
      </c>
      <c r="C980" s="1" t="s">
        <v>21</v>
      </c>
      <c r="D980" s="35">
        <v>44957</v>
      </c>
      <c r="E980" s="1" t="s">
        <v>1859</v>
      </c>
      <c r="F980" s="2">
        <v>19483</v>
      </c>
      <c r="G980" s="2">
        <v>5408</v>
      </c>
      <c r="H980" s="2">
        <v>18769</v>
      </c>
      <c r="I980" s="5">
        <v>0.66666666666666663</v>
      </c>
      <c r="J980" s="5">
        <v>0.70486111111111116</v>
      </c>
      <c r="K980" s="32">
        <f>_xlfn.MAXIFS(ConsumoConcreto[Fim do Bombeamento],ConsumoConcreto[RecebimentoID],RecebimentoConcreto[[#This Row],[RecebimentoID]])</f>
        <v>0.71527777777777779</v>
      </c>
      <c r="L980" s="1">
        <v>13</v>
      </c>
      <c r="M980" s="37">
        <v>36892</v>
      </c>
      <c r="N980" s="5" t="s">
        <v>1801</v>
      </c>
      <c r="O980" s="9">
        <v>5.5</v>
      </c>
      <c r="P980" s="5" t="s">
        <v>26</v>
      </c>
      <c r="Q980" s="2">
        <v>7</v>
      </c>
      <c r="R980" s="5" t="s">
        <v>27</v>
      </c>
      <c r="S980" s="5" t="s">
        <v>32</v>
      </c>
      <c r="T980" s="39">
        <v>470</v>
      </c>
    </row>
    <row r="981" spans="1:20" ht="20.100000000000001" hidden="1" customHeight="1" x14ac:dyDescent="0.25">
      <c r="A981" s="26" t="str">
        <f>CONCATENATE(RIGHT(LEFT(RecebimentoConcreto[[#This Row],[Obra]],5),4),"RCBC",TEXT(RecebimentoConcreto[[#This Row],[Ordem]],"0000"))</f>
        <v>0184RCBC0830</v>
      </c>
      <c r="B981" s="1">
        <v>830</v>
      </c>
      <c r="C981" s="1" t="s">
        <v>21</v>
      </c>
      <c r="D981" s="35">
        <v>44960</v>
      </c>
      <c r="E981" s="1" t="s">
        <v>1859</v>
      </c>
      <c r="F981" s="2">
        <v>19627</v>
      </c>
      <c r="G981" s="2">
        <v>5408</v>
      </c>
      <c r="H981" s="2">
        <v>867</v>
      </c>
      <c r="I981" s="5">
        <v>0.40625</v>
      </c>
      <c r="J981" s="5">
        <v>0.4375</v>
      </c>
      <c r="K981" s="32">
        <f>_xlfn.MAXIFS(ConsumoConcreto[Fim do Bombeamento],ConsumoConcreto[RecebimentoID],RecebimentoConcreto[[#This Row],[RecebimentoID]])</f>
        <v>0.45833333333333331</v>
      </c>
      <c r="L981" s="1">
        <v>12</v>
      </c>
      <c r="M981" s="37">
        <v>36892</v>
      </c>
      <c r="N981" s="5" t="s">
        <v>1801</v>
      </c>
      <c r="O981" s="9">
        <v>5.5</v>
      </c>
      <c r="P981" s="5" t="s">
        <v>26</v>
      </c>
      <c r="Q981" s="2">
        <v>8</v>
      </c>
      <c r="R981" s="5" t="s">
        <v>27</v>
      </c>
      <c r="S981" s="5" t="s">
        <v>32</v>
      </c>
      <c r="T981" s="39">
        <v>470</v>
      </c>
    </row>
    <row r="982" spans="1:20" ht="20.100000000000001" hidden="1" customHeight="1" x14ac:dyDescent="0.25">
      <c r="A982" s="26" t="str">
        <f>CONCATENATE(RIGHT(LEFT(RecebimentoConcreto[[#This Row],[Obra]],5),4),"RCBC",TEXT(RecebimentoConcreto[[#This Row],[Ordem]],"0000"))</f>
        <v>0184RCBC0831</v>
      </c>
      <c r="B982" s="1">
        <v>831</v>
      </c>
      <c r="C982" s="1" t="s">
        <v>21</v>
      </c>
      <c r="D982" s="35">
        <v>44960</v>
      </c>
      <c r="E982" s="1" t="s">
        <v>36</v>
      </c>
      <c r="F982" s="2">
        <v>19625</v>
      </c>
      <c r="G982" s="2">
        <v>5408</v>
      </c>
      <c r="H982" s="2">
        <v>865</v>
      </c>
      <c r="I982" s="5">
        <v>0.34722222222222227</v>
      </c>
      <c r="J982" s="5">
        <v>0.38194444444444442</v>
      </c>
      <c r="K982" s="32">
        <f>_xlfn.MAXIFS(ConsumoConcreto[Fim do Bombeamento],ConsumoConcreto[RecebimentoID],RecebimentoConcreto[[#This Row],[RecebimentoID]])</f>
        <v>0.40625</v>
      </c>
      <c r="L982" s="1">
        <v>12</v>
      </c>
      <c r="M982" s="37">
        <v>36892</v>
      </c>
      <c r="N982" s="5" t="s">
        <v>1801</v>
      </c>
      <c r="O982" s="9">
        <v>5.5</v>
      </c>
      <c r="P982" s="5" t="s">
        <v>26</v>
      </c>
      <c r="Q982" s="2">
        <v>8</v>
      </c>
      <c r="R982" s="5" t="s">
        <v>27</v>
      </c>
      <c r="S982" s="5" t="s">
        <v>32</v>
      </c>
      <c r="T982" s="39">
        <v>470</v>
      </c>
    </row>
    <row r="983" spans="1:20" ht="20.100000000000001" hidden="1" customHeight="1" x14ac:dyDescent="0.25">
      <c r="A983" s="26" t="str">
        <f>CONCATENATE(RIGHT(LEFT(RecebimentoConcreto[[#This Row],[Obra]],5),4),"RCBC",TEXT(RecebimentoConcreto[[#This Row],[Ordem]],"0000"))</f>
        <v>0184RCBC0833</v>
      </c>
      <c r="B983" s="1">
        <v>833</v>
      </c>
      <c r="C983" s="1" t="s">
        <v>21</v>
      </c>
      <c r="D983" s="35">
        <v>44963</v>
      </c>
      <c r="E983" s="1" t="s">
        <v>36</v>
      </c>
      <c r="F983" s="2">
        <v>19649</v>
      </c>
      <c r="G983" s="2">
        <v>5408</v>
      </c>
      <c r="H983" s="2">
        <v>906</v>
      </c>
      <c r="I983" s="5">
        <v>0.67013888888888884</v>
      </c>
      <c r="J983" s="5">
        <v>0.69444444444444453</v>
      </c>
      <c r="K983" s="32">
        <f>_xlfn.MAXIFS(ConsumoConcreto[Fim do Bombeamento],ConsumoConcreto[RecebimentoID],RecebimentoConcreto[[#This Row],[RecebimentoID]])</f>
        <v>0.70833333333333337</v>
      </c>
      <c r="L983" s="1">
        <v>13</v>
      </c>
      <c r="M983" s="37">
        <v>36892</v>
      </c>
      <c r="N983" s="5" t="s">
        <v>1801</v>
      </c>
      <c r="O983" s="9">
        <v>5.5</v>
      </c>
      <c r="P983" s="5" t="s">
        <v>26</v>
      </c>
      <c r="Q983" s="2">
        <v>8</v>
      </c>
      <c r="R983" s="5" t="s">
        <v>27</v>
      </c>
      <c r="S983" s="5" t="s">
        <v>32</v>
      </c>
      <c r="T983" s="39">
        <v>470</v>
      </c>
    </row>
    <row r="984" spans="1:20" ht="20.100000000000001" hidden="1" customHeight="1" x14ac:dyDescent="0.25">
      <c r="A984" s="26" t="str">
        <f>CONCATENATE(RIGHT(LEFT(RecebimentoConcreto[[#This Row],[Obra]],5),4),"RCBC",TEXT(RecebimentoConcreto[[#This Row],[Ordem]],"0000"))</f>
        <v>0184RCBC0834</v>
      </c>
      <c r="B984" s="1">
        <v>834</v>
      </c>
      <c r="C984" s="1" t="s">
        <v>21</v>
      </c>
      <c r="D984" s="35">
        <v>44963</v>
      </c>
      <c r="E984" s="1" t="s">
        <v>1708</v>
      </c>
      <c r="F984" s="2">
        <v>19646</v>
      </c>
      <c r="G984" s="2">
        <v>5408</v>
      </c>
      <c r="H984" s="2">
        <v>903</v>
      </c>
      <c r="I984" s="5">
        <v>0.60277777777777775</v>
      </c>
      <c r="J984" s="5">
        <v>0.63194444444444442</v>
      </c>
      <c r="K984" s="32">
        <f>_xlfn.MAXIFS(ConsumoConcreto[Fim do Bombeamento],ConsumoConcreto[RecebimentoID],RecebimentoConcreto[[#This Row],[RecebimentoID]])</f>
        <v>0.66666666666666663</v>
      </c>
      <c r="L984" s="1">
        <v>14</v>
      </c>
      <c r="M984" s="37">
        <v>36892</v>
      </c>
      <c r="N984" s="5" t="s">
        <v>1801</v>
      </c>
      <c r="O984" s="9">
        <v>5.5</v>
      </c>
      <c r="P984" s="5" t="s">
        <v>26</v>
      </c>
      <c r="Q984" s="2">
        <v>8</v>
      </c>
      <c r="R984" s="5" t="s">
        <v>27</v>
      </c>
      <c r="S984" s="5" t="s">
        <v>32</v>
      </c>
      <c r="T984" s="39">
        <v>470</v>
      </c>
    </row>
    <row r="985" spans="1:20" ht="20.100000000000001" hidden="1" customHeight="1" x14ac:dyDescent="0.25">
      <c r="A985" s="26" t="str">
        <f>CONCATENATE(RIGHT(LEFT(RecebimentoConcreto[[#This Row],[Obra]],5),4),"RCBC",TEXT(RecebimentoConcreto[[#This Row],[Ordem]],"0000"))</f>
        <v>0184RCBC0835</v>
      </c>
      <c r="B985" s="1">
        <v>835</v>
      </c>
      <c r="C985" s="1" t="s">
        <v>21</v>
      </c>
      <c r="D985" s="35">
        <v>44963</v>
      </c>
      <c r="E985" s="1" t="s">
        <v>38</v>
      </c>
      <c r="F985" s="2">
        <v>19642</v>
      </c>
      <c r="G985" s="2">
        <v>5408</v>
      </c>
      <c r="H985" s="2">
        <v>899</v>
      </c>
      <c r="I985" s="5">
        <v>0.54166666666666663</v>
      </c>
      <c r="J985" s="5">
        <v>0.57986111111111105</v>
      </c>
      <c r="K985" s="32">
        <f>_xlfn.MAXIFS(ConsumoConcreto[Fim do Bombeamento],ConsumoConcreto[RecebimentoID],RecebimentoConcreto[[#This Row],[RecebimentoID]])</f>
        <v>0.59375</v>
      </c>
      <c r="L985" s="1">
        <v>13.5</v>
      </c>
      <c r="M985" s="37">
        <v>36892</v>
      </c>
      <c r="N985" s="5" t="s">
        <v>1801</v>
      </c>
      <c r="O985" s="9">
        <v>5.5</v>
      </c>
      <c r="P985" s="5" t="s">
        <v>26</v>
      </c>
      <c r="Q985" s="2">
        <v>8</v>
      </c>
      <c r="R985" s="5" t="s">
        <v>27</v>
      </c>
      <c r="S985" s="5" t="s">
        <v>32</v>
      </c>
      <c r="T985" s="39">
        <v>470</v>
      </c>
    </row>
    <row r="986" spans="1:20" ht="20.100000000000001" hidden="1" customHeight="1" x14ac:dyDescent="0.25">
      <c r="A986" s="26" t="str">
        <f>CONCATENATE(RIGHT(LEFT(RecebimentoConcreto[[#This Row],[Obra]],5),4),"RCBC",TEXT(RecebimentoConcreto[[#This Row],[Ordem]],"0000"))</f>
        <v>0184RCBC0837</v>
      </c>
      <c r="B986" s="1">
        <v>837</v>
      </c>
      <c r="C986" s="1" t="s">
        <v>21</v>
      </c>
      <c r="D986" s="35">
        <v>44964</v>
      </c>
      <c r="E986" s="1" t="s">
        <v>1708</v>
      </c>
      <c r="F986" s="2">
        <v>19672</v>
      </c>
      <c r="G986" s="2">
        <v>5408</v>
      </c>
      <c r="H986" s="2">
        <v>915</v>
      </c>
      <c r="I986" s="5">
        <v>0.40902777777777777</v>
      </c>
      <c r="J986" s="5">
        <v>0.43402777777777773</v>
      </c>
      <c r="K986" s="32">
        <f>_xlfn.MAXIFS(ConsumoConcreto[Fim do Bombeamento],ConsumoConcreto[RecebimentoID],RecebimentoConcreto[[#This Row],[RecebimentoID]])</f>
        <v>0.45833333333333331</v>
      </c>
      <c r="L986" s="1">
        <v>13</v>
      </c>
      <c r="M986" s="37">
        <v>36892</v>
      </c>
      <c r="N986" s="5" t="s">
        <v>1801</v>
      </c>
      <c r="O986" s="9">
        <v>5.5</v>
      </c>
      <c r="P986" s="5" t="s">
        <v>26</v>
      </c>
      <c r="Q986" s="2">
        <v>8</v>
      </c>
      <c r="R986" s="5" t="s">
        <v>27</v>
      </c>
      <c r="S986" s="5" t="s">
        <v>32</v>
      </c>
      <c r="T986" s="39">
        <v>470</v>
      </c>
    </row>
    <row r="987" spans="1:20" ht="20.100000000000001" hidden="1" customHeight="1" x14ac:dyDescent="0.25">
      <c r="A987" s="26" t="str">
        <f>CONCATENATE(RIGHT(LEFT(RecebimentoConcreto[[#This Row],[Obra]],5),4),"RCBC",TEXT(RecebimentoConcreto[[#This Row],[Ordem]],"0000"))</f>
        <v>0184RCBC0869</v>
      </c>
      <c r="B987" s="1">
        <v>869</v>
      </c>
      <c r="C987" s="1" t="s">
        <v>21</v>
      </c>
      <c r="D987" s="35">
        <v>44958</v>
      </c>
      <c r="E987" s="1" t="s">
        <v>38</v>
      </c>
      <c r="F987" s="2">
        <v>19915</v>
      </c>
      <c r="G987" s="2">
        <v>5408</v>
      </c>
      <c r="H987" s="2">
        <v>1075</v>
      </c>
      <c r="I987" s="5">
        <v>0.63541666666666663</v>
      </c>
      <c r="J987" s="5">
        <v>0.64930555555555558</v>
      </c>
      <c r="K987" s="32">
        <f>_xlfn.MAXIFS(ConsumoConcreto[Fim do Bombeamento],ConsumoConcreto[RecebimentoID],RecebimentoConcreto[[#This Row],[RecebimentoID]])</f>
        <v>0.67361111111111116</v>
      </c>
      <c r="L987" s="1">
        <v>11</v>
      </c>
      <c r="M987" s="37">
        <v>36892</v>
      </c>
      <c r="N987" s="5" t="s">
        <v>1801</v>
      </c>
      <c r="O987" s="9">
        <v>5.5</v>
      </c>
      <c r="P987" s="5" t="s">
        <v>26</v>
      </c>
      <c r="Q987" s="2">
        <v>9</v>
      </c>
      <c r="R987" s="5" t="s">
        <v>27</v>
      </c>
      <c r="S987" s="5" t="s">
        <v>32</v>
      </c>
      <c r="T987" s="39">
        <v>470</v>
      </c>
    </row>
    <row r="988" spans="1:20" ht="20.100000000000001" hidden="1" customHeight="1" x14ac:dyDescent="0.25">
      <c r="A988" s="26" t="str">
        <f>CONCATENATE(RIGHT(LEFT(RecebimentoConcreto[[#This Row],[Obra]],5),4),"RCBC",TEXT(RecebimentoConcreto[[#This Row],[Ordem]],"0000"))</f>
        <v>0184RCBC0870</v>
      </c>
      <c r="B988" s="1">
        <v>870</v>
      </c>
      <c r="C988" s="1" t="s">
        <v>21</v>
      </c>
      <c r="D988" s="35">
        <v>44967</v>
      </c>
      <c r="E988" s="1" t="s">
        <v>36</v>
      </c>
      <c r="F988" s="2">
        <v>19048</v>
      </c>
      <c r="G988" s="2">
        <v>5408</v>
      </c>
      <c r="H988" s="2">
        <v>1006</v>
      </c>
      <c r="I988" s="5">
        <v>0.44097222222222227</v>
      </c>
      <c r="J988" s="5">
        <v>0.47916666666666669</v>
      </c>
      <c r="K988" s="32">
        <f>_xlfn.MAXIFS(ConsumoConcreto[Fim do Bombeamento],ConsumoConcreto[RecebimentoID],RecebimentoConcreto[[#This Row],[RecebimentoID]])</f>
        <v>0.51041666666666663</v>
      </c>
      <c r="L988" s="1">
        <v>12</v>
      </c>
      <c r="M988" s="37">
        <v>36892</v>
      </c>
      <c r="N988" s="5" t="s">
        <v>1801</v>
      </c>
      <c r="O988" s="9">
        <v>5.5</v>
      </c>
      <c r="P988" s="5" t="s">
        <v>26</v>
      </c>
      <c r="Q988" s="2">
        <v>9</v>
      </c>
      <c r="R988" s="5" t="s">
        <v>27</v>
      </c>
      <c r="S988" s="5" t="s">
        <v>32</v>
      </c>
      <c r="T988" s="39">
        <v>470</v>
      </c>
    </row>
    <row r="989" spans="1:20" ht="20.100000000000001" hidden="1" customHeight="1" x14ac:dyDescent="0.25">
      <c r="A989" s="26" t="str">
        <f>CONCATENATE(RIGHT(LEFT(RecebimentoConcreto[[#This Row],[Obra]],5),4),"RCBC",TEXT(RecebimentoConcreto[[#This Row],[Ordem]],"0000"))</f>
        <v>0184RCBC0871</v>
      </c>
      <c r="B989" s="1">
        <v>871</v>
      </c>
      <c r="C989" s="1" t="s">
        <v>21</v>
      </c>
      <c r="D989" s="35">
        <v>44967</v>
      </c>
      <c r="E989" s="1" t="s">
        <v>36</v>
      </c>
      <c r="F989" s="2">
        <v>19053</v>
      </c>
      <c r="G989" s="2">
        <v>5408</v>
      </c>
      <c r="H989" s="2">
        <v>1014</v>
      </c>
      <c r="I989" s="5">
        <v>0.55555555555555558</v>
      </c>
      <c r="J989" s="5">
        <v>0.59027777777777779</v>
      </c>
      <c r="K989" s="32">
        <f>_xlfn.MAXIFS(ConsumoConcreto[Fim do Bombeamento],ConsumoConcreto[RecebimentoID],RecebimentoConcreto[[#This Row],[RecebimentoID]])</f>
        <v>0.60416666666666663</v>
      </c>
      <c r="L989" s="1">
        <v>12</v>
      </c>
      <c r="M989" s="37">
        <v>36892</v>
      </c>
      <c r="N989" s="5" t="s">
        <v>1801</v>
      </c>
      <c r="O989" s="9">
        <v>5.5</v>
      </c>
      <c r="P989" s="5" t="s">
        <v>26</v>
      </c>
      <c r="Q989" s="2">
        <v>9</v>
      </c>
      <c r="R989" s="5" t="s">
        <v>27</v>
      </c>
      <c r="S989" s="5" t="s">
        <v>32</v>
      </c>
      <c r="T989" s="39">
        <v>470</v>
      </c>
    </row>
    <row r="990" spans="1:20" ht="20.100000000000001" hidden="1" customHeight="1" x14ac:dyDescent="0.25">
      <c r="A990" s="26" t="str">
        <f>CONCATENATE(RIGHT(LEFT(RecebimentoConcreto[[#This Row],[Obra]],5),4),"RCBC",TEXT(RecebimentoConcreto[[#This Row],[Ordem]],"0000"))</f>
        <v>0184RCBC0872</v>
      </c>
      <c r="B990" s="1">
        <v>872</v>
      </c>
      <c r="C990" s="1" t="s">
        <v>21</v>
      </c>
      <c r="D990" s="35">
        <v>44967</v>
      </c>
      <c r="E990" s="1" t="s">
        <v>36</v>
      </c>
      <c r="F990" s="2">
        <v>19057</v>
      </c>
      <c r="G990" s="2">
        <v>5408</v>
      </c>
      <c r="H990" s="2">
        <v>1018</v>
      </c>
      <c r="I990" s="5">
        <v>0.63263888888888886</v>
      </c>
      <c r="J990" s="5">
        <v>0.67013888888888884</v>
      </c>
      <c r="K990" s="32">
        <f>_xlfn.MAXIFS(ConsumoConcreto[Fim do Bombeamento],ConsumoConcreto[RecebimentoID],RecebimentoConcreto[[#This Row],[RecebimentoID]])</f>
        <v>0.6875</v>
      </c>
      <c r="L990" s="1">
        <v>12</v>
      </c>
      <c r="M990" s="37">
        <v>36892</v>
      </c>
      <c r="N990" s="5" t="s">
        <v>1801</v>
      </c>
      <c r="O990" s="9">
        <v>5.5</v>
      </c>
      <c r="P990" s="5" t="s">
        <v>26</v>
      </c>
      <c r="Q990" s="2">
        <v>9</v>
      </c>
      <c r="R990" s="5" t="s">
        <v>27</v>
      </c>
      <c r="S990" s="5" t="s">
        <v>32</v>
      </c>
      <c r="T990" s="39">
        <v>470</v>
      </c>
    </row>
    <row r="991" spans="1:20" ht="20.100000000000001" hidden="1" customHeight="1" x14ac:dyDescent="0.25">
      <c r="A991" s="26" t="str">
        <f>CONCATENATE(RIGHT(LEFT(RecebimentoConcreto[[#This Row],[Obra]],5),4),"RCBC",TEXT(RecebimentoConcreto[[#This Row],[Ordem]],"0000"))</f>
        <v>0184RCBC0873</v>
      </c>
      <c r="B991" s="1">
        <v>873</v>
      </c>
      <c r="C991" s="1" t="s">
        <v>21</v>
      </c>
      <c r="D991" s="35">
        <v>44970</v>
      </c>
      <c r="E991" s="1" t="s">
        <v>37</v>
      </c>
      <c r="F991" s="2">
        <v>19082</v>
      </c>
      <c r="G991" s="2">
        <v>5408</v>
      </c>
      <c r="H991" s="2">
        <v>1039</v>
      </c>
      <c r="I991" s="5">
        <v>0.40763888888888888</v>
      </c>
      <c r="J991" s="5">
        <v>0.44444444444444442</v>
      </c>
      <c r="K991" s="32">
        <f>_xlfn.MAXIFS(ConsumoConcreto[Fim do Bombeamento],ConsumoConcreto[RecebimentoID],RecebimentoConcreto[[#This Row],[RecebimentoID]])</f>
        <v>0.48472222222222222</v>
      </c>
      <c r="L991" s="1">
        <v>12</v>
      </c>
      <c r="M991" s="37">
        <v>36892</v>
      </c>
      <c r="N991" s="5" t="s">
        <v>1801</v>
      </c>
      <c r="O991" s="9">
        <v>5.5</v>
      </c>
      <c r="P991" s="5" t="s">
        <v>26</v>
      </c>
      <c r="Q991" s="2">
        <v>9</v>
      </c>
      <c r="R991" s="5" t="s">
        <v>27</v>
      </c>
      <c r="S991" s="5" t="s">
        <v>32</v>
      </c>
      <c r="T991" s="39">
        <v>470</v>
      </c>
    </row>
    <row r="992" spans="1:20" ht="20.100000000000001" hidden="1" customHeight="1" x14ac:dyDescent="0.25">
      <c r="A992" s="26" t="str">
        <f>CONCATENATE(RIGHT(LEFT(RecebimentoConcreto[[#This Row],[Obra]],5),4),"RCBC",TEXT(RecebimentoConcreto[[#This Row],[Ordem]],"0000"))</f>
        <v>0184RCBC0874</v>
      </c>
      <c r="B992" s="1">
        <v>874</v>
      </c>
      <c r="C992" s="1" t="s">
        <v>21</v>
      </c>
      <c r="D992" s="35">
        <v>44971</v>
      </c>
      <c r="E992" s="1" t="s">
        <v>207</v>
      </c>
      <c r="F992" s="2">
        <v>19907</v>
      </c>
      <c r="G992" s="2">
        <v>5408</v>
      </c>
      <c r="H992" s="2">
        <v>1068</v>
      </c>
      <c r="I992" s="5">
        <v>0.41319444444444442</v>
      </c>
      <c r="J992" s="5">
        <v>0.44097222222222227</v>
      </c>
      <c r="K992" s="32">
        <f>_xlfn.MAXIFS(ConsumoConcreto[Fim do Bombeamento],ConsumoConcreto[RecebimentoID],RecebimentoConcreto[[#This Row],[RecebimentoID]])</f>
        <v>0.46527777777777773</v>
      </c>
      <c r="L992" s="1">
        <v>12</v>
      </c>
      <c r="M992" s="37">
        <v>36892</v>
      </c>
      <c r="N992" s="5" t="s">
        <v>1801</v>
      </c>
      <c r="O992" s="9">
        <v>5.5</v>
      </c>
      <c r="P992" s="5" t="s">
        <v>26</v>
      </c>
      <c r="Q992" s="2">
        <v>9</v>
      </c>
      <c r="R992" s="5" t="s">
        <v>27</v>
      </c>
      <c r="S992" s="5" t="s">
        <v>32</v>
      </c>
      <c r="T992" s="39">
        <v>470</v>
      </c>
    </row>
    <row r="993" spans="1:20" ht="20.100000000000001" hidden="1" customHeight="1" x14ac:dyDescent="0.25">
      <c r="A993" s="26" t="str">
        <f>CONCATENATE(RIGHT(LEFT(RecebimentoConcreto[[#This Row],[Obra]],5),4),"RCBC",TEXT(RecebimentoConcreto[[#This Row],[Ordem]],"0000"))</f>
        <v>0184RCBC0875</v>
      </c>
      <c r="B993" s="1">
        <v>875</v>
      </c>
      <c r="C993" s="1" t="s">
        <v>21</v>
      </c>
      <c r="D993" s="35">
        <v>44971</v>
      </c>
      <c r="E993" s="1" t="s">
        <v>38</v>
      </c>
      <c r="F993" s="2">
        <v>19913</v>
      </c>
      <c r="G993" s="2">
        <v>5408</v>
      </c>
      <c r="H993" s="2">
        <v>1073</v>
      </c>
      <c r="I993" s="5">
        <v>0.54166666666666663</v>
      </c>
      <c r="J993" s="5">
        <v>0.5625</v>
      </c>
      <c r="K993" s="32">
        <f>_xlfn.MAXIFS(ConsumoConcreto[Fim do Bombeamento],ConsumoConcreto[RecebimentoID],RecebimentoConcreto[[#This Row],[RecebimentoID]])</f>
        <v>0.58333333333333337</v>
      </c>
      <c r="L993" s="1">
        <v>12</v>
      </c>
      <c r="M993" s="37">
        <v>36892</v>
      </c>
      <c r="N993" s="5" t="s">
        <v>1801</v>
      </c>
      <c r="O993" s="9">
        <v>5.5</v>
      </c>
      <c r="P993" s="5" t="s">
        <v>26</v>
      </c>
      <c r="Q993" s="2">
        <v>9</v>
      </c>
      <c r="R993" s="5" t="s">
        <v>27</v>
      </c>
      <c r="S993" s="5" t="s">
        <v>32</v>
      </c>
      <c r="T993" s="39">
        <v>470</v>
      </c>
    </row>
    <row r="994" spans="1:20" ht="20.100000000000001" hidden="1" customHeight="1" x14ac:dyDescent="0.25">
      <c r="A994" s="26" t="str">
        <f>CONCATENATE(RIGHT(LEFT(RecebimentoConcreto[[#This Row],[Obra]],5),4),"RCBC",TEXT(RecebimentoConcreto[[#This Row],[Ordem]],"0000"))</f>
        <v>0184RCBC0876</v>
      </c>
      <c r="B994" s="1">
        <v>876</v>
      </c>
      <c r="C994" s="1" t="s">
        <v>21</v>
      </c>
      <c r="D994" s="35">
        <v>44972</v>
      </c>
      <c r="E994" s="1" t="s">
        <v>207</v>
      </c>
      <c r="F994" s="2">
        <v>19929</v>
      </c>
      <c r="G994" s="2">
        <v>5408</v>
      </c>
      <c r="H994" s="2">
        <v>1092</v>
      </c>
      <c r="I994" s="5">
        <v>0.34375</v>
      </c>
      <c r="J994" s="5">
        <v>0.375</v>
      </c>
      <c r="K994" s="32">
        <f>_xlfn.MAXIFS(ConsumoConcreto[Fim do Bombeamento],ConsumoConcreto[RecebimentoID],RecebimentoConcreto[[#This Row],[RecebimentoID]])</f>
        <v>0.39930555555555558</v>
      </c>
      <c r="L994" s="1">
        <v>12</v>
      </c>
      <c r="M994" s="37">
        <v>36892</v>
      </c>
      <c r="N994" s="5" t="s">
        <v>1801</v>
      </c>
      <c r="O994" s="9">
        <v>5.5</v>
      </c>
      <c r="P994" s="5" t="s">
        <v>26</v>
      </c>
      <c r="Q994" s="2">
        <v>8</v>
      </c>
      <c r="R994" s="5" t="s">
        <v>27</v>
      </c>
      <c r="S994" s="5" t="s">
        <v>32</v>
      </c>
      <c r="T994" s="39">
        <v>470</v>
      </c>
    </row>
    <row r="995" spans="1:20" ht="20.100000000000001" hidden="1" customHeight="1" x14ac:dyDescent="0.25">
      <c r="A995" s="26" t="str">
        <f>CONCATENATE(RIGHT(LEFT(RecebimentoConcreto[[#This Row],[Obra]],5),4),"RCBC",TEXT(RecebimentoConcreto[[#This Row],[Ordem]],"0000"))</f>
        <v>0184RCBC0877</v>
      </c>
      <c r="B995" s="1">
        <v>877</v>
      </c>
      <c r="C995" s="1" t="s">
        <v>21</v>
      </c>
      <c r="D995" s="35">
        <v>44972</v>
      </c>
      <c r="E995" s="1" t="s">
        <v>36</v>
      </c>
      <c r="F995" s="2">
        <v>19933</v>
      </c>
      <c r="G995" s="2">
        <v>5408</v>
      </c>
      <c r="H995" s="2">
        <v>1095</v>
      </c>
      <c r="I995" s="5">
        <v>0.40277777777777773</v>
      </c>
      <c r="J995" s="5">
        <v>0.42708333333333331</v>
      </c>
      <c r="K995" s="32">
        <f>_xlfn.MAXIFS(ConsumoConcreto[Fim do Bombeamento],ConsumoConcreto[RecebimentoID],RecebimentoConcreto[[#This Row],[RecebimentoID]])</f>
        <v>0.44444444444444442</v>
      </c>
      <c r="L995" s="1">
        <v>11.5</v>
      </c>
      <c r="M995" s="37">
        <v>36892</v>
      </c>
      <c r="N995" s="5" t="s">
        <v>1801</v>
      </c>
      <c r="O995" s="9">
        <v>5.5</v>
      </c>
      <c r="P995" s="5" t="s">
        <v>26</v>
      </c>
      <c r="Q995" s="2">
        <v>8</v>
      </c>
      <c r="R995" s="5" t="s">
        <v>27</v>
      </c>
      <c r="S995" s="5" t="s">
        <v>32</v>
      </c>
      <c r="T995" s="39">
        <v>470</v>
      </c>
    </row>
    <row r="996" spans="1:20" ht="20.100000000000001" hidden="1" customHeight="1" x14ac:dyDescent="0.25">
      <c r="A996" s="26" t="str">
        <f>CONCATENATE(RIGHT(LEFT(RecebimentoConcreto[[#This Row],[Obra]],5),4),"RCBC",TEXT(RecebimentoConcreto[[#This Row],[Ordem]],"0000"))</f>
        <v>0184RCBC0878</v>
      </c>
      <c r="B996" s="1">
        <v>878</v>
      </c>
      <c r="C996" s="1" t="s">
        <v>21</v>
      </c>
      <c r="D996" s="35">
        <v>44972</v>
      </c>
      <c r="E996" s="1" t="s">
        <v>207</v>
      </c>
      <c r="F996" s="2">
        <v>19935</v>
      </c>
      <c r="G996" s="2">
        <v>5408</v>
      </c>
      <c r="H996" s="2">
        <v>1096</v>
      </c>
      <c r="I996" s="5">
        <v>0.4375</v>
      </c>
      <c r="J996" s="5">
        <v>0.41666666666666669</v>
      </c>
      <c r="K996" s="32">
        <f>_xlfn.MAXIFS(ConsumoConcreto[Fim do Bombeamento],ConsumoConcreto[RecebimentoID],RecebimentoConcreto[[#This Row],[RecebimentoID]])</f>
        <v>0.5</v>
      </c>
      <c r="L996" s="1">
        <v>12</v>
      </c>
      <c r="M996" s="37">
        <v>36892</v>
      </c>
      <c r="N996" s="5" t="s">
        <v>1801</v>
      </c>
      <c r="O996" s="9">
        <v>5.5</v>
      </c>
      <c r="P996" s="5" t="s">
        <v>26</v>
      </c>
      <c r="Q996" s="2">
        <v>8</v>
      </c>
      <c r="R996" s="5" t="s">
        <v>27</v>
      </c>
      <c r="S996" s="5" t="s">
        <v>32</v>
      </c>
      <c r="T996" s="39">
        <v>470</v>
      </c>
    </row>
    <row r="997" spans="1:20" ht="20.100000000000001" hidden="1" customHeight="1" x14ac:dyDescent="0.25">
      <c r="A997" s="26" t="str">
        <f>CONCATENATE(RIGHT(LEFT(RecebimentoConcreto[[#This Row],[Obra]],5),4),"RCBC",TEXT(RecebimentoConcreto[[#This Row],[Ordem]],"0000"))</f>
        <v>0184RCBC0879</v>
      </c>
      <c r="B997" s="1">
        <v>879</v>
      </c>
      <c r="C997" s="1" t="s">
        <v>21</v>
      </c>
      <c r="D997" s="35">
        <v>44972</v>
      </c>
      <c r="E997" s="1" t="s">
        <v>38</v>
      </c>
      <c r="F997" s="2">
        <v>19938</v>
      </c>
      <c r="G997" s="2">
        <v>5408</v>
      </c>
      <c r="H997" s="2">
        <v>1099</v>
      </c>
      <c r="I997" s="5">
        <v>0.55902777777777779</v>
      </c>
      <c r="J997" s="5">
        <v>0.59722222222222221</v>
      </c>
      <c r="K997" s="32">
        <f>_xlfn.MAXIFS(ConsumoConcreto[Fim do Bombeamento],ConsumoConcreto[RecebimentoID],RecebimentoConcreto[[#This Row],[RecebimentoID]])</f>
        <v>0.625</v>
      </c>
      <c r="L997" s="1">
        <v>11</v>
      </c>
      <c r="M997" s="37">
        <v>36892</v>
      </c>
      <c r="N997" s="5" t="s">
        <v>1801</v>
      </c>
      <c r="O997" s="9">
        <v>5.5</v>
      </c>
      <c r="P997" s="5" t="s">
        <v>26</v>
      </c>
      <c r="Q997" s="2">
        <v>8</v>
      </c>
      <c r="R997" s="5" t="s">
        <v>27</v>
      </c>
      <c r="S997" s="5" t="s">
        <v>32</v>
      </c>
      <c r="T997" s="39">
        <v>470</v>
      </c>
    </row>
    <row r="998" spans="1:20" ht="20.100000000000001" hidden="1" customHeight="1" x14ac:dyDescent="0.25">
      <c r="A998" s="26" t="str">
        <f>CONCATENATE(RIGHT(LEFT(RecebimentoConcreto[[#This Row],[Obra]],5),4),"RCBC",TEXT(RecebimentoConcreto[[#This Row],[Ordem]],"0000"))</f>
        <v>0184RCBC0880</v>
      </c>
      <c r="B998" s="1">
        <v>880</v>
      </c>
      <c r="C998" s="1" t="s">
        <v>21</v>
      </c>
      <c r="D998" s="35">
        <v>44972</v>
      </c>
      <c r="E998" s="1" t="s">
        <v>38</v>
      </c>
      <c r="F998" s="2">
        <v>19944</v>
      </c>
      <c r="G998" s="2">
        <v>5408</v>
      </c>
      <c r="H998" s="2">
        <v>1105</v>
      </c>
      <c r="I998" s="5">
        <v>0.66666666666666663</v>
      </c>
      <c r="J998" s="5">
        <v>0.6875</v>
      </c>
      <c r="K998" s="32">
        <f>_xlfn.MAXIFS(ConsumoConcreto[Fim do Bombeamento],ConsumoConcreto[RecebimentoID],RecebimentoConcreto[[#This Row],[RecebimentoID]])</f>
        <v>0.70833333333333337</v>
      </c>
      <c r="L998" s="1">
        <v>13</v>
      </c>
      <c r="M998" s="37">
        <v>36892</v>
      </c>
      <c r="N998" s="5" t="s">
        <v>1801</v>
      </c>
      <c r="O998" s="9">
        <v>5.5</v>
      </c>
      <c r="P998" s="5" t="s">
        <v>26</v>
      </c>
      <c r="Q998" s="2">
        <v>8</v>
      </c>
      <c r="R998" s="5" t="s">
        <v>27</v>
      </c>
      <c r="S998" s="5" t="s">
        <v>32</v>
      </c>
      <c r="T998" s="39">
        <v>470</v>
      </c>
    </row>
    <row r="999" spans="1:20" ht="20.100000000000001" hidden="1" customHeight="1" x14ac:dyDescent="0.25">
      <c r="A999" s="26" t="str">
        <f>CONCATENATE(RIGHT(LEFT(RecebimentoConcreto[[#This Row],[Obra]],5),4),"RCBC",TEXT(RecebimentoConcreto[[#This Row],[Ordem]],"0000"))</f>
        <v>0184RCBC0881</v>
      </c>
      <c r="B999" s="1">
        <v>881</v>
      </c>
      <c r="C999" s="1" t="s">
        <v>21</v>
      </c>
      <c r="D999" s="35">
        <v>44974</v>
      </c>
      <c r="E999" s="1" t="s">
        <v>1859</v>
      </c>
      <c r="F999" s="2">
        <v>19975</v>
      </c>
      <c r="G999" s="2">
        <v>5408</v>
      </c>
      <c r="H999" s="2">
        <v>1138</v>
      </c>
      <c r="I999" s="5">
        <v>0.55347222222222225</v>
      </c>
      <c r="J999" s="5">
        <v>0.57291666666666663</v>
      </c>
      <c r="K999" s="32">
        <f>_xlfn.MAXIFS(ConsumoConcreto[Fim do Bombeamento],ConsumoConcreto[RecebimentoID],RecebimentoConcreto[[#This Row],[RecebimentoID]])</f>
        <v>0.57986111111111105</v>
      </c>
      <c r="L999" s="1">
        <v>13</v>
      </c>
      <c r="M999" s="37">
        <v>36892</v>
      </c>
      <c r="N999" s="5" t="s">
        <v>1801</v>
      </c>
      <c r="O999" s="9">
        <v>5.5</v>
      </c>
      <c r="P999" s="5" t="s">
        <v>26</v>
      </c>
      <c r="Q999" s="2">
        <v>8</v>
      </c>
      <c r="R999" s="5" t="s">
        <v>27</v>
      </c>
      <c r="S999" s="5" t="s">
        <v>32</v>
      </c>
      <c r="T999" s="39">
        <v>470</v>
      </c>
    </row>
    <row r="1000" spans="1:20" ht="20.100000000000001" hidden="1" customHeight="1" x14ac:dyDescent="0.25">
      <c r="A1000" s="26" t="str">
        <f>CONCATENATE(RIGHT(LEFT(RecebimentoConcreto[[#This Row],[Obra]],5),4),"RCBC",TEXT(RecebimentoConcreto[[#This Row],[Ordem]],"0000"))</f>
        <v>0184RCBC0882</v>
      </c>
      <c r="B1000" s="1">
        <v>882</v>
      </c>
      <c r="C1000" s="1" t="s">
        <v>21</v>
      </c>
      <c r="D1000" s="35">
        <v>44974</v>
      </c>
      <c r="E1000" s="1" t="s">
        <v>1859</v>
      </c>
      <c r="F1000" s="2">
        <v>19979</v>
      </c>
      <c r="G1000" s="2">
        <v>5408</v>
      </c>
      <c r="H1000" s="2">
        <v>1140</v>
      </c>
      <c r="I1000" s="5">
        <v>0.60763888888888895</v>
      </c>
      <c r="J1000" s="5">
        <v>0.625</v>
      </c>
      <c r="K1000" s="32">
        <f>_xlfn.MAXIFS(ConsumoConcreto[Fim do Bombeamento],ConsumoConcreto[RecebimentoID],RecebimentoConcreto[[#This Row],[RecebimentoID]])</f>
        <v>0.63194444444444442</v>
      </c>
      <c r="L1000" s="1">
        <v>12</v>
      </c>
      <c r="M1000" s="37">
        <v>36892</v>
      </c>
      <c r="N1000" s="5" t="s">
        <v>1801</v>
      </c>
      <c r="O1000" s="9">
        <v>5.5</v>
      </c>
      <c r="P1000" s="5" t="s">
        <v>26</v>
      </c>
      <c r="Q1000" s="2">
        <v>8</v>
      </c>
      <c r="R1000" s="5" t="s">
        <v>27</v>
      </c>
      <c r="S1000" s="5" t="s">
        <v>32</v>
      </c>
      <c r="T1000" s="39">
        <v>470</v>
      </c>
    </row>
    <row r="1001" spans="1:20" ht="20.100000000000001" hidden="1" customHeight="1" x14ac:dyDescent="0.25">
      <c r="A1001" s="26" t="str">
        <f>CONCATENATE(RIGHT(LEFT(RecebimentoConcreto[[#This Row],[Obra]],5),4),"RCBC",TEXT(RecebimentoConcreto[[#This Row],[Ordem]],"0000"))</f>
        <v>0184RCBC0896</v>
      </c>
      <c r="B1001" s="1">
        <v>896</v>
      </c>
      <c r="C1001" s="1" t="s">
        <v>21</v>
      </c>
      <c r="D1001" s="35">
        <v>44573</v>
      </c>
      <c r="G1001" s="2">
        <v>54856</v>
      </c>
      <c r="K1001" s="32">
        <f>_xlfn.MAXIFS(ConsumoConcreto[Fim do Bombeamento],ConsumoConcreto[RecebimentoID],RecebimentoConcreto[[#This Row],[RecebimentoID]])</f>
        <v>0</v>
      </c>
      <c r="M1001" s="37">
        <v>36892</v>
      </c>
      <c r="N1001" s="5" t="s">
        <v>1801</v>
      </c>
      <c r="O1001" s="9">
        <v>7.58</v>
      </c>
      <c r="P1001" s="5" t="s">
        <v>26</v>
      </c>
      <c r="Q1001" s="2"/>
      <c r="R1001" s="5" t="s">
        <v>27</v>
      </c>
      <c r="S1001" s="5" t="s">
        <v>28</v>
      </c>
    </row>
    <row r="1002" spans="1:20" ht="20.100000000000001" hidden="1" customHeight="1" x14ac:dyDescent="0.25">
      <c r="A1002" s="26" t="str">
        <f>CONCATENATE(RIGHT(LEFT(RecebimentoConcreto[[#This Row],[Obra]],5),4),"RCBC",TEXT(RecebimentoConcreto[[#This Row],[Ordem]],"0000"))</f>
        <v>0184RCBC0897</v>
      </c>
      <c r="B1002" s="1">
        <v>897</v>
      </c>
      <c r="C1002" s="1" t="s">
        <v>21</v>
      </c>
      <c r="D1002" s="35">
        <v>44573</v>
      </c>
      <c r="G1002" s="2">
        <v>54856</v>
      </c>
      <c r="K1002" s="32">
        <f>_xlfn.MAXIFS(ConsumoConcreto[Fim do Bombeamento],ConsumoConcreto[RecebimentoID],RecebimentoConcreto[[#This Row],[RecebimentoID]])</f>
        <v>0</v>
      </c>
      <c r="M1002" s="37">
        <v>36892</v>
      </c>
      <c r="N1002" s="5" t="s">
        <v>1801</v>
      </c>
      <c r="O1002" s="9">
        <v>7.58</v>
      </c>
      <c r="P1002" s="5" t="s">
        <v>26</v>
      </c>
      <c r="Q1002" s="2"/>
      <c r="R1002" s="5" t="s">
        <v>27</v>
      </c>
      <c r="S1002" s="5" t="s">
        <v>28</v>
      </c>
    </row>
    <row r="1003" spans="1:20" ht="20.100000000000001" hidden="1" customHeight="1" x14ac:dyDescent="0.25">
      <c r="A1003" s="26" t="str">
        <f>CONCATENATE(RIGHT(LEFT(RecebimentoConcreto[[#This Row],[Obra]],5),4),"RCBC",TEXT(RecebimentoConcreto[[#This Row],[Ordem]],"0000"))</f>
        <v>0184RCBC0898</v>
      </c>
      <c r="B1003" s="1">
        <v>898</v>
      </c>
      <c r="C1003" s="1" t="s">
        <v>21</v>
      </c>
      <c r="D1003" s="35">
        <v>44573</v>
      </c>
      <c r="G1003" s="2">
        <v>54856</v>
      </c>
      <c r="K1003" s="32">
        <f>_xlfn.MAXIFS(ConsumoConcreto[Fim do Bombeamento],ConsumoConcreto[RecebimentoID],RecebimentoConcreto[[#This Row],[RecebimentoID]])</f>
        <v>0</v>
      </c>
      <c r="M1003" s="37">
        <v>36892</v>
      </c>
      <c r="N1003" s="5" t="s">
        <v>1801</v>
      </c>
      <c r="O1003" s="9">
        <v>7.58</v>
      </c>
      <c r="P1003" s="5" t="s">
        <v>26</v>
      </c>
      <c r="Q1003" s="2"/>
      <c r="R1003" s="5" t="s">
        <v>27</v>
      </c>
      <c r="S1003" s="5" t="s">
        <v>28</v>
      </c>
    </row>
    <row r="1004" spans="1:20" ht="20.100000000000001" hidden="1" customHeight="1" x14ac:dyDescent="0.25">
      <c r="A1004" s="26" t="str">
        <f>CONCATENATE(RIGHT(LEFT(RecebimentoConcreto[[#This Row],[Obra]],5),4),"RCBC",TEXT(RecebimentoConcreto[[#This Row],[Ordem]],"0000"))</f>
        <v>0184RCBC0899</v>
      </c>
      <c r="B1004" s="1">
        <v>899</v>
      </c>
      <c r="C1004" s="1" t="s">
        <v>21</v>
      </c>
      <c r="D1004" s="35">
        <v>44573</v>
      </c>
      <c r="G1004" s="2">
        <v>54856</v>
      </c>
      <c r="K1004" s="32">
        <f>_xlfn.MAXIFS(ConsumoConcreto[Fim do Bombeamento],ConsumoConcreto[RecebimentoID],RecebimentoConcreto[[#This Row],[RecebimentoID]])</f>
        <v>0</v>
      </c>
      <c r="M1004" s="37">
        <v>36892</v>
      </c>
      <c r="N1004" s="5" t="s">
        <v>1801</v>
      </c>
      <c r="O1004" s="9">
        <v>7.58</v>
      </c>
      <c r="P1004" s="5" t="s">
        <v>26</v>
      </c>
      <c r="Q1004" s="2"/>
      <c r="R1004" s="5" t="s">
        <v>27</v>
      </c>
      <c r="S1004" s="5" t="s">
        <v>28</v>
      </c>
    </row>
    <row r="1005" spans="1:20" ht="20.100000000000001" hidden="1" customHeight="1" x14ac:dyDescent="0.25">
      <c r="A1005" s="26" t="str">
        <f>CONCATENATE(RIGHT(LEFT(RecebimentoConcreto[[#This Row],[Obra]],5),4),"RCBC",TEXT(RecebimentoConcreto[[#This Row],[Ordem]],"0000"))</f>
        <v>0184RCBC0900</v>
      </c>
      <c r="B1005" s="1">
        <v>900</v>
      </c>
      <c r="C1005" s="1" t="s">
        <v>21</v>
      </c>
      <c r="D1005" s="35">
        <v>44573</v>
      </c>
      <c r="G1005" s="2">
        <v>54856</v>
      </c>
      <c r="K1005" s="32">
        <f>_xlfn.MAXIFS(ConsumoConcreto[Fim do Bombeamento],ConsumoConcreto[RecebimentoID],RecebimentoConcreto[[#This Row],[RecebimentoID]])</f>
        <v>0</v>
      </c>
      <c r="M1005" s="37">
        <v>36892</v>
      </c>
      <c r="N1005" s="5" t="s">
        <v>1801</v>
      </c>
      <c r="O1005" s="9">
        <v>7.58</v>
      </c>
      <c r="P1005" s="5" t="s">
        <v>26</v>
      </c>
      <c r="Q1005" s="2"/>
      <c r="R1005" s="5" t="s">
        <v>27</v>
      </c>
      <c r="S1005" s="5" t="s">
        <v>28</v>
      </c>
    </row>
    <row r="1006" spans="1:20" ht="20.100000000000001" hidden="1" customHeight="1" x14ac:dyDescent="0.25">
      <c r="A1006" s="26" t="str">
        <f>CONCATENATE(RIGHT(LEFT(RecebimentoConcreto[[#This Row],[Obra]],5),4),"RCBC",TEXT(RecebimentoConcreto[[#This Row],[Ordem]],"0000"))</f>
        <v>0184RCBC0901</v>
      </c>
      <c r="B1006" s="1">
        <v>901</v>
      </c>
      <c r="C1006" s="1" t="s">
        <v>21</v>
      </c>
      <c r="D1006" s="35">
        <v>44573</v>
      </c>
      <c r="G1006" s="2">
        <v>54856</v>
      </c>
      <c r="K1006" s="32">
        <f>_xlfn.MAXIFS(ConsumoConcreto[Fim do Bombeamento],ConsumoConcreto[RecebimentoID],RecebimentoConcreto[[#This Row],[RecebimentoID]])</f>
        <v>0</v>
      </c>
      <c r="M1006" s="37">
        <v>36892</v>
      </c>
      <c r="N1006" s="5" t="s">
        <v>1801</v>
      </c>
      <c r="O1006" s="9">
        <v>7.58</v>
      </c>
      <c r="P1006" s="5" t="s">
        <v>26</v>
      </c>
      <c r="Q1006" s="2"/>
      <c r="R1006" s="5" t="s">
        <v>27</v>
      </c>
      <c r="S1006" s="5" t="s">
        <v>28</v>
      </c>
    </row>
    <row r="1007" spans="1:20" ht="20.100000000000001" hidden="1" customHeight="1" x14ac:dyDescent="0.25">
      <c r="A1007" s="26" t="str">
        <f>CONCATENATE(RIGHT(LEFT(RecebimentoConcreto[[#This Row],[Obra]],5),4),"RCBC",TEXT(RecebimentoConcreto[[#This Row],[Ordem]],"0000"))</f>
        <v>0184RCBC0902</v>
      </c>
      <c r="B1007" s="1">
        <v>902</v>
      </c>
      <c r="C1007" s="1" t="s">
        <v>21</v>
      </c>
      <c r="D1007" s="35">
        <v>44574</v>
      </c>
      <c r="G1007" s="2">
        <v>54856</v>
      </c>
      <c r="K1007" s="32">
        <f>_xlfn.MAXIFS(ConsumoConcreto[Fim do Bombeamento],ConsumoConcreto[RecebimentoID],RecebimentoConcreto[[#This Row],[RecebimentoID]])</f>
        <v>0</v>
      </c>
      <c r="M1007" s="37">
        <v>36892</v>
      </c>
      <c r="N1007" s="5" t="s">
        <v>1801</v>
      </c>
      <c r="O1007" s="9">
        <v>5.78</v>
      </c>
      <c r="P1007" s="5" t="s">
        <v>26</v>
      </c>
      <c r="Q1007" s="2"/>
      <c r="R1007" s="5" t="s">
        <v>27</v>
      </c>
      <c r="S1007" s="5" t="s">
        <v>28</v>
      </c>
    </row>
    <row r="1008" spans="1:20" ht="20.100000000000001" hidden="1" customHeight="1" x14ac:dyDescent="0.25">
      <c r="A1008" s="26" t="str">
        <f>CONCATENATE(RIGHT(LEFT(RecebimentoConcreto[[#This Row],[Obra]],5),4),"RCBC",TEXT(RecebimentoConcreto[[#This Row],[Ordem]],"0000"))</f>
        <v>0184RCBC0903</v>
      </c>
      <c r="B1008" s="1">
        <v>903</v>
      </c>
      <c r="C1008" s="1" t="s">
        <v>21</v>
      </c>
      <c r="D1008" s="35">
        <v>44574</v>
      </c>
      <c r="G1008" s="2">
        <v>54856</v>
      </c>
      <c r="K1008" s="32">
        <f>_xlfn.MAXIFS(ConsumoConcreto[Fim do Bombeamento],ConsumoConcreto[RecebimentoID],RecebimentoConcreto[[#This Row],[RecebimentoID]])</f>
        <v>0</v>
      </c>
      <c r="M1008" s="37">
        <v>36892</v>
      </c>
      <c r="N1008" s="5" t="s">
        <v>1801</v>
      </c>
      <c r="O1008" s="9">
        <v>5.78</v>
      </c>
      <c r="P1008" s="5" t="s">
        <v>26</v>
      </c>
      <c r="Q1008" s="2"/>
      <c r="R1008" s="5" t="s">
        <v>27</v>
      </c>
      <c r="S1008" s="5" t="s">
        <v>28</v>
      </c>
    </row>
    <row r="1009" spans="1:20" ht="20.100000000000001" hidden="1" customHeight="1" x14ac:dyDescent="0.25">
      <c r="A1009" s="26" t="str">
        <f>CONCATENATE(RIGHT(LEFT(RecebimentoConcreto[[#This Row],[Obra]],5),4),"RCBC",TEXT(RecebimentoConcreto[[#This Row],[Ordem]],"0000"))</f>
        <v>0184RCBC0904</v>
      </c>
      <c r="B1009" s="1">
        <v>904</v>
      </c>
      <c r="C1009" s="1" t="s">
        <v>21</v>
      </c>
      <c r="D1009" s="35">
        <v>44574</v>
      </c>
      <c r="G1009" s="2">
        <v>54856</v>
      </c>
      <c r="K1009" s="32">
        <f>_xlfn.MAXIFS(ConsumoConcreto[Fim do Bombeamento],ConsumoConcreto[RecebimentoID],RecebimentoConcreto[[#This Row],[RecebimentoID]])</f>
        <v>0</v>
      </c>
      <c r="M1009" s="37">
        <v>36892</v>
      </c>
      <c r="N1009" s="5" t="s">
        <v>1801</v>
      </c>
      <c r="O1009" s="9">
        <v>5.78</v>
      </c>
      <c r="P1009" s="5" t="s">
        <v>26</v>
      </c>
      <c r="Q1009" s="2"/>
      <c r="R1009" s="5" t="s">
        <v>27</v>
      </c>
      <c r="S1009" s="5" t="s">
        <v>28</v>
      </c>
    </row>
    <row r="1010" spans="1:20" ht="20.100000000000001" hidden="1" customHeight="1" x14ac:dyDescent="0.25">
      <c r="A1010" s="26" t="str">
        <f>CONCATENATE(RIGHT(LEFT(RecebimentoConcreto[[#This Row],[Obra]],5),4),"RCBC",TEXT(RecebimentoConcreto[[#This Row],[Ordem]],"0000"))</f>
        <v>0184RCBC0905</v>
      </c>
      <c r="B1010" s="1">
        <v>905</v>
      </c>
      <c r="C1010" s="1" t="s">
        <v>21</v>
      </c>
      <c r="D1010" s="35">
        <v>44574</v>
      </c>
      <c r="G1010" s="2">
        <v>54856</v>
      </c>
      <c r="K1010" s="32">
        <f>_xlfn.MAXIFS(ConsumoConcreto[Fim do Bombeamento],ConsumoConcreto[RecebimentoID],RecebimentoConcreto[[#This Row],[RecebimentoID]])</f>
        <v>0</v>
      </c>
      <c r="M1010" s="37">
        <v>36892</v>
      </c>
      <c r="N1010" s="5" t="s">
        <v>1801</v>
      </c>
      <c r="O1010" s="9">
        <v>5.78</v>
      </c>
      <c r="P1010" s="5" t="s">
        <v>26</v>
      </c>
      <c r="Q1010" s="2"/>
      <c r="R1010" s="5" t="s">
        <v>27</v>
      </c>
      <c r="S1010" s="5" t="s">
        <v>28</v>
      </c>
    </row>
    <row r="1011" spans="1:20" ht="20.100000000000001" hidden="1" customHeight="1" x14ac:dyDescent="0.25">
      <c r="A1011" s="26" t="str">
        <f>CONCATENATE(RIGHT(LEFT(RecebimentoConcreto[[#This Row],[Obra]],5),4),"RCBC",TEXT(RecebimentoConcreto[[#This Row],[Ordem]],"0000"))</f>
        <v>0184RCBC0906</v>
      </c>
      <c r="B1011" s="1">
        <v>906</v>
      </c>
      <c r="C1011" s="1" t="s">
        <v>21</v>
      </c>
      <c r="D1011" s="35">
        <v>44574</v>
      </c>
      <c r="G1011" s="2">
        <v>54856</v>
      </c>
      <c r="K1011" s="32">
        <f>_xlfn.MAXIFS(ConsumoConcreto[Fim do Bombeamento],ConsumoConcreto[RecebimentoID],RecebimentoConcreto[[#This Row],[RecebimentoID]])</f>
        <v>0</v>
      </c>
      <c r="M1011" s="37">
        <v>36892</v>
      </c>
      <c r="N1011" s="5" t="s">
        <v>1801</v>
      </c>
      <c r="O1011" s="9">
        <v>5.78</v>
      </c>
      <c r="P1011" s="5" t="s">
        <v>26</v>
      </c>
      <c r="Q1011" s="2"/>
      <c r="R1011" s="5" t="s">
        <v>27</v>
      </c>
      <c r="S1011" s="5" t="s">
        <v>28</v>
      </c>
    </row>
    <row r="1012" spans="1:20" ht="20.100000000000001" hidden="1" customHeight="1" x14ac:dyDescent="0.25">
      <c r="A1012" s="26" t="str">
        <f>CONCATENATE(RIGHT(LEFT(RecebimentoConcreto[[#This Row],[Obra]],5),4),"RCBC",TEXT(RecebimentoConcreto[[#This Row],[Ordem]],"0000"))</f>
        <v>0184RCBC0907</v>
      </c>
      <c r="B1012" s="1">
        <v>907</v>
      </c>
      <c r="C1012" s="1" t="s">
        <v>21</v>
      </c>
      <c r="D1012" s="35">
        <v>44574</v>
      </c>
      <c r="G1012" s="2">
        <v>54856</v>
      </c>
      <c r="K1012" s="32">
        <f>_xlfn.MAXIFS(ConsumoConcreto[Fim do Bombeamento],ConsumoConcreto[RecebimentoID],RecebimentoConcreto[[#This Row],[RecebimentoID]])</f>
        <v>0</v>
      </c>
      <c r="M1012" s="37">
        <v>36892</v>
      </c>
      <c r="N1012" s="5" t="s">
        <v>1801</v>
      </c>
      <c r="O1012" s="9">
        <v>5.78</v>
      </c>
      <c r="P1012" s="5" t="s">
        <v>26</v>
      </c>
      <c r="Q1012" s="2"/>
      <c r="R1012" s="5" t="s">
        <v>27</v>
      </c>
      <c r="S1012" s="5" t="s">
        <v>28</v>
      </c>
    </row>
    <row r="1013" spans="1:20" ht="20.100000000000001" hidden="1" customHeight="1" x14ac:dyDescent="0.25">
      <c r="A1013" s="26" t="str">
        <f>CONCATENATE(RIGHT(LEFT(RecebimentoConcreto[[#This Row],[Obra]],5),4),"RCBC",TEXT(RecebimentoConcreto[[#This Row],[Ordem]],"0000"))</f>
        <v>0184RCBC0908</v>
      </c>
      <c r="B1013" s="1">
        <v>908</v>
      </c>
      <c r="C1013" s="1" t="s">
        <v>21</v>
      </c>
      <c r="D1013" s="35">
        <v>44574</v>
      </c>
      <c r="G1013" s="2">
        <v>54856</v>
      </c>
      <c r="K1013" s="32">
        <f>_xlfn.MAXIFS(ConsumoConcreto[Fim do Bombeamento],ConsumoConcreto[RecebimentoID],RecebimentoConcreto[[#This Row],[RecebimentoID]])</f>
        <v>0</v>
      </c>
      <c r="M1013" s="37">
        <v>36892</v>
      </c>
      <c r="N1013" s="5" t="s">
        <v>1801</v>
      </c>
      <c r="O1013" s="9">
        <v>5.78</v>
      </c>
      <c r="P1013" s="5" t="s">
        <v>26</v>
      </c>
      <c r="Q1013" s="2"/>
      <c r="R1013" s="5" t="s">
        <v>27</v>
      </c>
      <c r="S1013" s="5" t="s">
        <v>28</v>
      </c>
    </row>
    <row r="1014" spans="1:20" ht="20.100000000000001" hidden="1" customHeight="1" x14ac:dyDescent="0.25">
      <c r="A1014" s="26" t="str">
        <f>CONCATENATE(RIGHT(LEFT(RecebimentoConcreto[[#This Row],[Obra]],5),4),"RCBC",TEXT(RecebimentoConcreto[[#This Row],[Ordem]],"0000"))</f>
        <v>0184RCBC0922</v>
      </c>
      <c r="B1014" s="1">
        <v>922</v>
      </c>
      <c r="C1014" s="1" t="s">
        <v>21</v>
      </c>
      <c r="D1014" s="35">
        <v>44740</v>
      </c>
      <c r="E1014" s="1" t="s">
        <v>38</v>
      </c>
      <c r="F1014" s="2">
        <v>15558</v>
      </c>
      <c r="G1014" s="2">
        <v>5408</v>
      </c>
      <c r="H1014" s="2">
        <v>15260</v>
      </c>
      <c r="J1014" s="5">
        <v>0.56944444444444442</v>
      </c>
      <c r="K1014" s="32">
        <f>_xlfn.MAXIFS(ConsumoConcreto[Fim do Bombeamento],ConsumoConcreto[RecebimentoID],RecebimentoConcreto[[#This Row],[RecebimentoID]])</f>
        <v>0.59722222222222221</v>
      </c>
      <c r="M1014" s="37">
        <v>36892</v>
      </c>
      <c r="N1014" s="5" t="s">
        <v>1801</v>
      </c>
      <c r="O1014" s="9">
        <v>5.5</v>
      </c>
      <c r="P1014" s="5" t="s">
        <v>26</v>
      </c>
      <c r="Q1014" s="2">
        <v>3</v>
      </c>
      <c r="R1014" s="5" t="s">
        <v>27</v>
      </c>
      <c r="S1014" s="5" t="s">
        <v>32</v>
      </c>
      <c r="T1014" s="39">
        <v>460</v>
      </c>
    </row>
    <row r="1015" spans="1:20" ht="20.100000000000001" hidden="1" customHeight="1" x14ac:dyDescent="0.25">
      <c r="A1015" s="26" t="str">
        <f>CONCATENATE(RIGHT(LEFT(RecebimentoConcreto[[#This Row],[Obra]],5),4),"RCBC",TEXT(RecebimentoConcreto[[#This Row],[Ordem]],"0000"))</f>
        <v>0184RCBC0923</v>
      </c>
      <c r="B1015" s="1">
        <v>923</v>
      </c>
      <c r="C1015" s="1" t="s">
        <v>21</v>
      </c>
      <c r="D1015" s="35">
        <v>44740</v>
      </c>
      <c r="E1015" s="1" t="s">
        <v>37</v>
      </c>
      <c r="F1015" s="2">
        <v>15552</v>
      </c>
      <c r="G1015" s="2">
        <v>5408</v>
      </c>
      <c r="H1015" s="2">
        <v>15254</v>
      </c>
      <c r="J1015" s="5">
        <v>0.43402777777777773</v>
      </c>
      <c r="K1015" s="32">
        <f>_xlfn.MAXIFS(ConsumoConcreto[Fim do Bombeamento],ConsumoConcreto[RecebimentoID],RecebimentoConcreto[[#This Row],[RecebimentoID]])</f>
        <v>0.46180555555555558</v>
      </c>
      <c r="M1015" s="37">
        <v>36892</v>
      </c>
      <c r="N1015" s="5" t="s">
        <v>1801</v>
      </c>
      <c r="O1015" s="9">
        <v>5.5</v>
      </c>
      <c r="P1015" s="5" t="s">
        <v>26</v>
      </c>
      <c r="Q1015" s="2">
        <v>3</v>
      </c>
      <c r="R1015" s="5" t="s">
        <v>27</v>
      </c>
      <c r="S1015" s="5" t="s">
        <v>32</v>
      </c>
      <c r="T1015" s="39">
        <v>460</v>
      </c>
    </row>
    <row r="1016" spans="1:20" ht="20.100000000000001" hidden="1" customHeight="1" x14ac:dyDescent="0.25">
      <c r="A1016" s="26" t="str">
        <f>CONCATENATE(RIGHT(LEFT(RecebimentoConcreto[[#This Row],[Obra]],5),4),"RCBC",TEXT(RecebimentoConcreto[[#This Row],[Ordem]],"0000"))</f>
        <v>0184RCBC0924</v>
      </c>
      <c r="B1016" s="1">
        <v>924</v>
      </c>
      <c r="C1016" s="1" t="s">
        <v>21</v>
      </c>
      <c r="D1016" s="35">
        <v>44740</v>
      </c>
      <c r="E1016" s="1" t="s">
        <v>106</v>
      </c>
      <c r="F1016" s="2">
        <v>15561</v>
      </c>
      <c r="G1016" s="2">
        <v>5408</v>
      </c>
      <c r="H1016" s="2">
        <v>15262</v>
      </c>
      <c r="J1016" s="5">
        <v>0.63888888888888895</v>
      </c>
      <c r="K1016" s="32">
        <f>_xlfn.MAXIFS(ConsumoConcreto[Fim do Bombeamento],ConsumoConcreto[RecebimentoID],RecebimentoConcreto[[#This Row],[RecebimentoID]])</f>
        <v>0.66666666666666663</v>
      </c>
      <c r="M1016" s="37">
        <v>36892</v>
      </c>
      <c r="N1016" s="5" t="s">
        <v>1801</v>
      </c>
      <c r="O1016" s="9">
        <v>5.5</v>
      </c>
      <c r="P1016" s="5" t="s">
        <v>26</v>
      </c>
      <c r="Q1016" s="2">
        <v>3</v>
      </c>
      <c r="R1016" s="5" t="s">
        <v>27</v>
      </c>
      <c r="S1016" s="5" t="s">
        <v>32</v>
      </c>
      <c r="T1016" s="39">
        <v>460</v>
      </c>
    </row>
    <row r="1017" spans="1:20" ht="20.100000000000001" hidden="1" customHeight="1" x14ac:dyDescent="0.25">
      <c r="A1017" s="26" t="str">
        <f>CONCATENATE(RIGHT(LEFT(RecebimentoConcreto[[#This Row],[Obra]],5),4),"RCBC",TEXT(RecebimentoConcreto[[#This Row],[Ordem]],"0000"))</f>
        <v>0184RCBC0925</v>
      </c>
      <c r="B1017" s="1">
        <v>925</v>
      </c>
      <c r="C1017" s="1" t="s">
        <v>21</v>
      </c>
      <c r="D1017" s="35">
        <v>44741</v>
      </c>
      <c r="E1017" s="1" t="s">
        <v>38</v>
      </c>
      <c r="F1017" s="2">
        <v>15571</v>
      </c>
      <c r="G1017" s="2">
        <v>5408</v>
      </c>
      <c r="H1017" s="2">
        <v>15272</v>
      </c>
      <c r="J1017" s="5">
        <v>0.46875</v>
      </c>
      <c r="K1017" s="32">
        <f>_xlfn.MAXIFS(ConsumoConcreto[Fim do Bombeamento],ConsumoConcreto[RecebimentoID],RecebimentoConcreto[[#This Row],[RecebimentoID]])</f>
        <v>0.47569444444444442</v>
      </c>
      <c r="M1017" s="37">
        <v>36892</v>
      </c>
      <c r="N1017" s="5" t="s">
        <v>1801</v>
      </c>
      <c r="O1017" s="9">
        <v>5.5</v>
      </c>
      <c r="P1017" s="5" t="s">
        <v>26</v>
      </c>
      <c r="Q1017" s="2">
        <v>3</v>
      </c>
      <c r="R1017" s="5" t="s">
        <v>27</v>
      </c>
      <c r="S1017" s="5" t="s">
        <v>32</v>
      </c>
      <c r="T1017" s="39">
        <v>460</v>
      </c>
    </row>
    <row r="1018" spans="1:20" ht="20.100000000000001" hidden="1" customHeight="1" x14ac:dyDescent="0.25">
      <c r="A1018" s="26" t="str">
        <f>CONCATENATE(RIGHT(LEFT(RecebimentoConcreto[[#This Row],[Obra]],5),4),"RCBC",TEXT(RecebimentoConcreto[[#This Row],[Ordem]],"0000"))</f>
        <v>0184RCBC0926</v>
      </c>
      <c r="B1018" s="1">
        <v>926</v>
      </c>
      <c r="C1018" s="1" t="s">
        <v>21</v>
      </c>
      <c r="D1018" s="35">
        <v>44741</v>
      </c>
      <c r="E1018" s="1" t="s">
        <v>36</v>
      </c>
      <c r="F1018" s="2">
        <v>15595</v>
      </c>
      <c r="G1018" s="2">
        <v>5408</v>
      </c>
      <c r="H1018" s="2">
        <v>15274</v>
      </c>
      <c r="J1018" s="5">
        <v>0.56388888888888888</v>
      </c>
      <c r="K1018" s="32">
        <f>_xlfn.MAXIFS(ConsumoConcreto[Fim do Bombeamento],ConsumoConcreto[RecebimentoID],RecebimentoConcreto[[#This Row],[RecebimentoID]])</f>
        <v>0.60069444444444442</v>
      </c>
      <c r="M1018" s="37">
        <v>36892</v>
      </c>
      <c r="N1018" s="5" t="s">
        <v>1801</v>
      </c>
      <c r="O1018" s="9">
        <v>5.5</v>
      </c>
      <c r="P1018" s="5" t="s">
        <v>26</v>
      </c>
      <c r="Q1018" s="2">
        <v>3</v>
      </c>
      <c r="R1018" s="5" t="s">
        <v>27</v>
      </c>
      <c r="S1018" s="5" t="s">
        <v>32</v>
      </c>
      <c r="T1018" s="39">
        <v>460</v>
      </c>
    </row>
    <row r="1019" spans="1:20" ht="20.100000000000001" hidden="1" customHeight="1" x14ac:dyDescent="0.25">
      <c r="A1019" s="26" t="str">
        <f>CONCATENATE(RIGHT(LEFT(RecebimentoConcreto[[#This Row],[Obra]],5),4),"RCBC",TEXT(RecebimentoConcreto[[#This Row],[Ordem]],"0000"))</f>
        <v>0184RCBC0927</v>
      </c>
      <c r="B1019" s="1">
        <v>927</v>
      </c>
      <c r="C1019" s="1" t="s">
        <v>21</v>
      </c>
      <c r="D1019" s="35">
        <v>44741</v>
      </c>
      <c r="E1019" s="1" t="s">
        <v>106</v>
      </c>
      <c r="F1019" s="2">
        <v>15501</v>
      </c>
      <c r="G1019" s="2">
        <v>5408</v>
      </c>
      <c r="H1019" s="2">
        <v>15273</v>
      </c>
      <c r="J1019" s="5">
        <v>0.48472222222222222</v>
      </c>
      <c r="K1019" s="32">
        <f>_xlfn.MAXIFS(ConsumoConcreto[Fim do Bombeamento],ConsumoConcreto[RecebimentoID],RecebimentoConcreto[[#This Row],[RecebimentoID]])</f>
        <v>0.50694444444444442</v>
      </c>
      <c r="M1019" s="37">
        <v>36892</v>
      </c>
      <c r="N1019" s="5" t="s">
        <v>1801</v>
      </c>
      <c r="O1019" s="9">
        <v>5.5</v>
      </c>
      <c r="P1019" s="5" t="s">
        <v>26</v>
      </c>
      <c r="Q1019" s="2">
        <v>3</v>
      </c>
      <c r="R1019" s="5" t="s">
        <v>27</v>
      </c>
      <c r="S1019" s="5" t="s">
        <v>32</v>
      </c>
      <c r="T1019" s="39">
        <v>460</v>
      </c>
    </row>
    <row r="1020" spans="1:20" ht="20.100000000000001" hidden="1" customHeight="1" x14ac:dyDescent="0.25">
      <c r="A1020" s="26" t="str">
        <f>CONCATENATE(RIGHT(LEFT(RecebimentoConcreto[[#This Row],[Obra]],5),4),"RCBC",TEXT(RecebimentoConcreto[[#This Row],[Ordem]],"0000"))</f>
        <v>0184RCBC0934</v>
      </c>
      <c r="B1020" s="1">
        <v>934</v>
      </c>
      <c r="C1020" s="1" t="s">
        <v>21</v>
      </c>
      <c r="D1020" s="35">
        <v>45028</v>
      </c>
      <c r="E1020" s="1" t="s">
        <v>1902</v>
      </c>
      <c r="F1020" s="2">
        <v>60382</v>
      </c>
      <c r="G1020" s="2">
        <v>5746</v>
      </c>
      <c r="H1020" s="2">
        <v>60643</v>
      </c>
      <c r="I1020" s="5">
        <v>0.50277777777777777</v>
      </c>
      <c r="J1020" s="5">
        <v>0.56597222222222221</v>
      </c>
      <c r="K1020" s="32">
        <f>_xlfn.MAXIFS(ConsumoConcreto[Fim do Bombeamento],ConsumoConcreto[RecebimentoID],RecebimentoConcreto[[#This Row],[RecebimentoID]])</f>
        <v>0.57986111111111105</v>
      </c>
      <c r="L1020" s="1">
        <v>12</v>
      </c>
      <c r="M1020" s="37">
        <v>36892</v>
      </c>
      <c r="N1020" s="5" t="s">
        <v>1801</v>
      </c>
      <c r="O1020" s="9">
        <v>6</v>
      </c>
      <c r="P1020" s="5" t="s">
        <v>26</v>
      </c>
      <c r="Q1020" s="2"/>
      <c r="R1020" s="5" t="s">
        <v>27</v>
      </c>
      <c r="S1020" s="5" t="s">
        <v>500</v>
      </c>
      <c r="T1020" s="39">
        <v>470</v>
      </c>
    </row>
    <row r="1021" spans="1:20" ht="20.100000000000001" hidden="1" customHeight="1" x14ac:dyDescent="0.25">
      <c r="A1021" s="26" t="str">
        <f>CONCATENATE(RIGHT(LEFT(RecebimentoConcreto[[#This Row],[Obra]],5),4),"RCBC",TEXT(RecebimentoConcreto[[#This Row],[Ordem]],"0000"))</f>
        <v>0184RCBC0935</v>
      </c>
      <c r="B1021" s="1">
        <v>935</v>
      </c>
      <c r="C1021" s="1" t="s">
        <v>21</v>
      </c>
      <c r="D1021" s="35">
        <v>45028</v>
      </c>
      <c r="E1021" s="1" t="s">
        <v>1903</v>
      </c>
      <c r="F1021" s="2" t="s">
        <v>1904</v>
      </c>
      <c r="G1021" s="2">
        <v>5746</v>
      </c>
      <c r="H1021" s="2" t="s">
        <v>1905</v>
      </c>
      <c r="I1021" s="5" t="s">
        <v>1906</v>
      </c>
      <c r="J1021" s="5">
        <v>0.56597222222222221</v>
      </c>
      <c r="K1021" s="32">
        <f>_xlfn.MAXIFS(ConsumoConcreto[Fim do Bombeamento],ConsumoConcreto[RecebimentoID],RecebimentoConcreto[[#This Row],[RecebimentoID]])</f>
        <v>0.60833333333333328</v>
      </c>
      <c r="L1021" s="1" t="s">
        <v>1907</v>
      </c>
      <c r="M1021" s="37">
        <v>36892</v>
      </c>
      <c r="N1021" s="5" t="s">
        <v>1801</v>
      </c>
      <c r="O1021" s="9">
        <v>5.5</v>
      </c>
      <c r="P1021" s="5" t="s">
        <v>26</v>
      </c>
      <c r="Q1021" s="2"/>
      <c r="R1021" s="5" t="s">
        <v>27</v>
      </c>
      <c r="S1021" s="5" t="s">
        <v>500</v>
      </c>
      <c r="T1021" s="39">
        <v>470</v>
      </c>
    </row>
    <row r="1022" spans="1:20" ht="20.100000000000001" hidden="1" customHeight="1" x14ac:dyDescent="0.25">
      <c r="A1022" s="26" t="str">
        <f>CONCATENATE(RIGHT(LEFT(RecebimentoConcreto[[#This Row],[Obra]],5),4),"RCBC",TEXT(RecebimentoConcreto[[#This Row],[Ordem]],"0000"))</f>
        <v>0184RCBC0936</v>
      </c>
      <c r="B1022" s="1">
        <v>936</v>
      </c>
      <c r="C1022" s="1" t="s">
        <v>21</v>
      </c>
      <c r="D1022" s="35">
        <v>45028</v>
      </c>
      <c r="E1022" s="1" t="s">
        <v>1908</v>
      </c>
      <c r="F1022" s="2">
        <v>60389</v>
      </c>
      <c r="G1022" s="2">
        <v>5746</v>
      </c>
      <c r="H1022" s="2">
        <v>60644</v>
      </c>
      <c r="I1022" s="5">
        <v>0.51874999999999993</v>
      </c>
      <c r="J1022" s="5">
        <v>0.58333333333333337</v>
      </c>
      <c r="K1022" s="32">
        <f>_xlfn.MAXIFS(ConsumoConcreto[Fim do Bombeamento],ConsumoConcreto[RecebimentoID],RecebimentoConcreto[[#This Row],[RecebimentoID]])</f>
        <v>0.60833333333333328</v>
      </c>
      <c r="L1022" s="1">
        <v>12.5</v>
      </c>
      <c r="M1022" s="37">
        <v>36892</v>
      </c>
      <c r="N1022" s="5" t="s">
        <v>1801</v>
      </c>
      <c r="O1022" s="9">
        <v>5.5</v>
      </c>
      <c r="P1022" s="5" t="s">
        <v>26</v>
      </c>
      <c r="Q1022" s="2"/>
      <c r="R1022" s="5" t="s">
        <v>27</v>
      </c>
      <c r="S1022" s="5" t="s">
        <v>500</v>
      </c>
      <c r="T1022" s="39">
        <v>470</v>
      </c>
    </row>
    <row r="1023" spans="1:20" ht="20.100000000000001" hidden="1" customHeight="1" x14ac:dyDescent="0.25">
      <c r="A1023" s="26" t="str">
        <f>CONCATENATE(RIGHT(LEFT(RecebimentoConcreto[[#This Row],[Obra]],5),4),"RCBC",TEXT(RecebimentoConcreto[[#This Row],[Ordem]],"0000"))</f>
        <v>0184RCBC0937</v>
      </c>
      <c r="B1023" s="1">
        <v>937</v>
      </c>
      <c r="C1023" s="1" t="s">
        <v>21</v>
      </c>
      <c r="D1023" s="35">
        <v>45028</v>
      </c>
      <c r="E1023" s="1" t="s">
        <v>1909</v>
      </c>
      <c r="F1023" s="2">
        <v>60388</v>
      </c>
      <c r="G1023" s="2">
        <v>5746</v>
      </c>
      <c r="H1023" s="2">
        <v>60645</v>
      </c>
      <c r="I1023" s="5">
        <v>0.53472222222222221</v>
      </c>
      <c r="J1023" s="5">
        <v>0.58333333333333337</v>
      </c>
      <c r="K1023" s="32">
        <f>_xlfn.MAXIFS(ConsumoConcreto[Fim do Bombeamento],ConsumoConcreto[RecebimentoID],RecebimentoConcreto[[#This Row],[RecebimentoID]])</f>
        <v>0.63194444444444442</v>
      </c>
      <c r="L1023" s="1">
        <v>14</v>
      </c>
      <c r="M1023" s="37">
        <v>36892</v>
      </c>
      <c r="N1023" s="5" t="s">
        <v>1801</v>
      </c>
      <c r="O1023" s="9">
        <v>5.5</v>
      </c>
      <c r="P1023" s="5" t="s">
        <v>26</v>
      </c>
      <c r="Q1023" s="2"/>
      <c r="R1023" s="5" t="s">
        <v>27</v>
      </c>
      <c r="S1023" s="5" t="s">
        <v>500</v>
      </c>
      <c r="T1023" s="39">
        <v>470</v>
      </c>
    </row>
    <row r="1024" spans="1:20" ht="20.100000000000001" hidden="1" customHeight="1" x14ac:dyDescent="0.25">
      <c r="A1024" s="26" t="str">
        <f>CONCATENATE(RIGHT(LEFT(RecebimentoConcreto[[#This Row],[Obra]],5),4),"RCBC",TEXT(RecebimentoConcreto[[#This Row],[Ordem]],"0000"))</f>
        <v>0184RCBC0938</v>
      </c>
      <c r="B1024" s="1">
        <v>938</v>
      </c>
      <c r="C1024" s="1" t="s">
        <v>21</v>
      </c>
      <c r="D1024" s="35">
        <v>45028</v>
      </c>
      <c r="E1024" s="1" t="s">
        <v>1910</v>
      </c>
      <c r="F1024" s="2" t="s">
        <v>1911</v>
      </c>
      <c r="G1024" s="2">
        <v>5746</v>
      </c>
      <c r="H1024" s="2" t="s">
        <v>1912</v>
      </c>
      <c r="I1024" s="5" t="s">
        <v>1913</v>
      </c>
      <c r="J1024" s="5">
        <v>0.58333333333333337</v>
      </c>
      <c r="K1024" s="32">
        <f>_xlfn.MAXIFS(ConsumoConcreto[Fim do Bombeamento],ConsumoConcreto[RecebimentoID],RecebimentoConcreto[[#This Row],[RecebimentoID]])</f>
        <v>0.66180555555555554</v>
      </c>
      <c r="L1024" s="1" t="s">
        <v>1914</v>
      </c>
      <c r="M1024" s="37">
        <v>36892</v>
      </c>
      <c r="N1024" s="5" t="s">
        <v>1801</v>
      </c>
      <c r="O1024" s="9">
        <v>5.5</v>
      </c>
      <c r="P1024" s="5" t="s">
        <v>26</v>
      </c>
      <c r="Q1024" s="2"/>
      <c r="R1024" s="5" t="s">
        <v>27</v>
      </c>
      <c r="S1024" s="5" t="s">
        <v>500</v>
      </c>
      <c r="T1024" s="39">
        <v>470</v>
      </c>
    </row>
    <row r="1025" spans="1:20" ht="20.100000000000001" hidden="1" customHeight="1" x14ac:dyDescent="0.25">
      <c r="A1025" s="26" t="str">
        <f>CONCATENATE(RIGHT(LEFT(RecebimentoConcreto[[#This Row],[Obra]],5),4),"RCBC",TEXT(RecebimentoConcreto[[#This Row],[Ordem]],"0000"))</f>
        <v>0184RCBC0939</v>
      </c>
      <c r="B1025" s="1">
        <v>939</v>
      </c>
      <c r="C1025" s="1" t="s">
        <v>21</v>
      </c>
      <c r="D1025" s="35">
        <v>45028</v>
      </c>
      <c r="E1025" s="1" t="s">
        <v>1915</v>
      </c>
      <c r="F1025" s="2" t="s">
        <v>1916</v>
      </c>
      <c r="G1025" s="2">
        <v>5746</v>
      </c>
      <c r="H1025" s="2" t="s">
        <v>1917</v>
      </c>
      <c r="I1025" s="5" t="s">
        <v>1918</v>
      </c>
      <c r="J1025" s="5">
        <v>0.64236111111111105</v>
      </c>
      <c r="K1025" s="32">
        <f>_xlfn.MAXIFS(ConsumoConcreto[Fim do Bombeamento],ConsumoConcreto[RecebimentoID],RecebimentoConcreto[[#This Row],[RecebimentoID]])</f>
        <v>0.6875</v>
      </c>
      <c r="L1025" s="1" t="s">
        <v>1919</v>
      </c>
      <c r="M1025" s="37">
        <v>36892</v>
      </c>
      <c r="N1025" s="5" t="s">
        <v>1801</v>
      </c>
      <c r="O1025" s="9">
        <v>5.5</v>
      </c>
      <c r="P1025" s="5" t="s">
        <v>26</v>
      </c>
      <c r="Q1025" s="2"/>
      <c r="R1025" s="5" t="s">
        <v>27</v>
      </c>
      <c r="S1025" s="5" t="s">
        <v>500</v>
      </c>
      <c r="T1025" s="39">
        <v>470</v>
      </c>
    </row>
    <row r="1026" spans="1:20" ht="20.100000000000001" hidden="1" customHeight="1" x14ac:dyDescent="0.25">
      <c r="A1026" s="26" t="str">
        <f>CONCATENATE(RIGHT(LEFT(RecebimentoConcreto[[#This Row],[Obra]],5),4),"RCBC",TEXT(RecebimentoConcreto[[#This Row],[Ordem]],"0000"))</f>
        <v>0184RCBC0940</v>
      </c>
      <c r="B1026" s="1">
        <v>940</v>
      </c>
      <c r="C1026" s="1" t="s">
        <v>21</v>
      </c>
      <c r="D1026" s="35">
        <v>45028</v>
      </c>
      <c r="E1026" s="1" t="s">
        <v>1622</v>
      </c>
      <c r="F1026" s="2" t="s">
        <v>1920</v>
      </c>
      <c r="G1026" s="2">
        <v>5746</v>
      </c>
      <c r="H1026" s="2" t="s">
        <v>1921</v>
      </c>
      <c r="I1026" s="5" t="s">
        <v>1922</v>
      </c>
      <c r="J1026" s="5">
        <v>0.66666666666666663</v>
      </c>
      <c r="K1026" s="32">
        <f>_xlfn.MAXIFS(ConsumoConcreto[Fim do Bombeamento],ConsumoConcreto[RecebimentoID],RecebimentoConcreto[[#This Row],[RecebimentoID]])</f>
        <v>0.75694444444444453</v>
      </c>
      <c r="L1026" s="1" t="s">
        <v>1923</v>
      </c>
      <c r="M1026" s="37">
        <v>36892</v>
      </c>
      <c r="N1026" s="5" t="s">
        <v>1801</v>
      </c>
      <c r="O1026" s="9">
        <v>9.5</v>
      </c>
      <c r="P1026" s="5" t="s">
        <v>26</v>
      </c>
      <c r="Q1026" s="2"/>
      <c r="R1026" s="5" t="s">
        <v>27</v>
      </c>
      <c r="S1026" s="5" t="s">
        <v>500</v>
      </c>
      <c r="T1026" s="39">
        <v>470</v>
      </c>
    </row>
    <row r="1027" spans="1:20" ht="20.100000000000001" hidden="1" customHeight="1" x14ac:dyDescent="0.25">
      <c r="A1027" s="26" t="str">
        <f>CONCATENATE(RIGHT(LEFT(RecebimentoConcreto[[#This Row],[Obra]],5),4),"RCBC",TEXT(RecebimentoConcreto[[#This Row],[Ordem]],"0000"))</f>
        <v>0184RCBC0941</v>
      </c>
      <c r="B1027" s="1">
        <v>941</v>
      </c>
      <c r="C1027" s="1" t="s">
        <v>21</v>
      </c>
      <c r="D1027" s="35">
        <v>45029</v>
      </c>
      <c r="E1027" s="1" t="s">
        <v>1924</v>
      </c>
      <c r="F1027" s="2">
        <v>45481</v>
      </c>
      <c r="G1027" s="2">
        <v>5746</v>
      </c>
      <c r="H1027" s="2">
        <v>60681</v>
      </c>
      <c r="I1027" s="5">
        <v>0.54583333333333328</v>
      </c>
      <c r="J1027" s="5">
        <v>0.61805555555555558</v>
      </c>
      <c r="K1027" s="32">
        <f>_xlfn.MAXIFS(ConsumoConcreto[Fim do Bombeamento],ConsumoConcreto[RecebimentoID],RecebimentoConcreto[[#This Row],[RecebimentoID]])</f>
        <v>0.63472222222222219</v>
      </c>
      <c r="L1027" s="1">
        <v>11.5</v>
      </c>
      <c r="M1027" s="37">
        <v>36892</v>
      </c>
      <c r="N1027" s="5" t="s">
        <v>1801</v>
      </c>
      <c r="O1027" s="9">
        <v>5.5</v>
      </c>
      <c r="P1027" s="5" t="s">
        <v>26</v>
      </c>
      <c r="Q1027" s="2"/>
      <c r="R1027" s="5" t="s">
        <v>27</v>
      </c>
      <c r="S1027" s="5" t="s">
        <v>500</v>
      </c>
      <c r="T1027" s="39">
        <v>470</v>
      </c>
    </row>
    <row r="1028" spans="1:20" ht="20.100000000000001" hidden="1" customHeight="1" x14ac:dyDescent="0.25">
      <c r="A1028" s="26" t="str">
        <f>CONCATENATE(RIGHT(LEFT(RecebimentoConcreto[[#This Row],[Obra]],5),4),"RCBC",TEXT(RecebimentoConcreto[[#This Row],[Ordem]],"0000"))</f>
        <v>0184RCBC0942</v>
      </c>
      <c r="B1028" s="1">
        <v>942</v>
      </c>
      <c r="C1028" s="1" t="s">
        <v>21</v>
      </c>
      <c r="D1028" s="35">
        <v>45029</v>
      </c>
      <c r="E1028" s="1" t="s">
        <v>1925</v>
      </c>
      <c r="F1028" s="2" t="s">
        <v>1926</v>
      </c>
      <c r="G1028" s="2">
        <v>5746</v>
      </c>
      <c r="H1028" s="2" t="s">
        <v>1927</v>
      </c>
      <c r="I1028" s="5" t="s">
        <v>1928</v>
      </c>
      <c r="J1028" s="5">
        <v>0.64027777777777783</v>
      </c>
      <c r="K1028" s="32">
        <f>_xlfn.MAXIFS(ConsumoConcreto[Fim do Bombeamento],ConsumoConcreto[RecebimentoID],RecebimentoConcreto[[#This Row],[RecebimentoID]])</f>
        <v>0.67708333333333337</v>
      </c>
      <c r="L1028" s="1" t="s">
        <v>1929</v>
      </c>
      <c r="M1028" s="37">
        <v>36892</v>
      </c>
      <c r="N1028" s="5" t="s">
        <v>1801</v>
      </c>
      <c r="O1028" s="9">
        <v>5.5</v>
      </c>
      <c r="P1028" s="5" t="s">
        <v>26</v>
      </c>
      <c r="Q1028" s="2"/>
      <c r="R1028" s="5" t="s">
        <v>27</v>
      </c>
      <c r="S1028" s="5" t="s">
        <v>500</v>
      </c>
      <c r="T1028" s="39">
        <v>470</v>
      </c>
    </row>
    <row r="1029" spans="1:20" ht="20.100000000000001" hidden="1" customHeight="1" x14ac:dyDescent="0.25">
      <c r="A1029" s="26" t="str">
        <f>CONCATENATE(RIGHT(LEFT(RecebimentoConcreto[[#This Row],[Obra]],5),4),"RCBC",TEXT(RecebimentoConcreto[[#This Row],[Ordem]],"0000"))</f>
        <v>0184RCBC0943</v>
      </c>
      <c r="B1029" s="1">
        <v>943</v>
      </c>
      <c r="C1029" s="1" t="s">
        <v>21</v>
      </c>
      <c r="D1029" s="35">
        <v>45029</v>
      </c>
      <c r="E1029" s="1" t="s">
        <v>1908</v>
      </c>
      <c r="F1029" s="2">
        <v>45413</v>
      </c>
      <c r="G1029" s="2">
        <v>5746</v>
      </c>
      <c r="H1029" s="2">
        <v>60685</v>
      </c>
      <c r="I1029" s="5">
        <v>0.59444444444444444</v>
      </c>
      <c r="J1029" s="5">
        <v>0.65555555555555556</v>
      </c>
      <c r="K1029" s="32">
        <f>_xlfn.MAXIFS(ConsumoConcreto[Fim do Bombeamento],ConsumoConcreto[RecebimentoID],RecebimentoConcreto[[#This Row],[RecebimentoID]])</f>
        <v>0.69444444444444453</v>
      </c>
      <c r="L1029" s="1">
        <v>12</v>
      </c>
      <c r="M1029" s="37">
        <v>36892</v>
      </c>
      <c r="N1029" s="5" t="s">
        <v>1801</v>
      </c>
      <c r="O1029" s="9">
        <v>7</v>
      </c>
      <c r="P1029" s="5" t="s">
        <v>26</v>
      </c>
      <c r="Q1029" s="2"/>
      <c r="R1029" s="5" t="s">
        <v>27</v>
      </c>
      <c r="S1029" s="5" t="s">
        <v>500</v>
      </c>
      <c r="T1029" s="39">
        <v>470</v>
      </c>
    </row>
    <row r="1030" spans="1:20" ht="20.100000000000001" hidden="1" customHeight="1" x14ac:dyDescent="0.25">
      <c r="A1030" s="26" t="str">
        <f>CONCATENATE(RIGHT(LEFT(RecebimentoConcreto[[#This Row],[Obra]],5),4),"RCBC",TEXT(RecebimentoConcreto[[#This Row],[Ordem]],"0000"))</f>
        <v>0184RCBC0944</v>
      </c>
      <c r="B1030" s="1">
        <v>944</v>
      </c>
      <c r="C1030" s="1" t="s">
        <v>21</v>
      </c>
      <c r="D1030" s="35">
        <v>45030</v>
      </c>
      <c r="E1030" s="1" t="s">
        <v>1924</v>
      </c>
      <c r="F1030" s="2">
        <v>45494</v>
      </c>
      <c r="G1030" s="2">
        <v>5746</v>
      </c>
      <c r="H1030" s="2">
        <v>60699</v>
      </c>
      <c r="I1030" s="5">
        <v>0.33194444444444443</v>
      </c>
      <c r="J1030" s="5">
        <v>0.40972222222222227</v>
      </c>
      <c r="K1030" s="32">
        <f>_xlfn.MAXIFS(ConsumoConcreto[Fim do Bombeamento],ConsumoConcreto[RecebimentoID],RecebimentoConcreto[[#This Row],[RecebimentoID]])</f>
        <v>0.43888888888888888</v>
      </c>
      <c r="L1030" s="1">
        <v>10</v>
      </c>
      <c r="M1030" s="37">
        <v>36892</v>
      </c>
      <c r="N1030" s="5" t="s">
        <v>1801</v>
      </c>
      <c r="O1030" s="9">
        <v>7.5</v>
      </c>
      <c r="P1030" s="5" t="s">
        <v>26</v>
      </c>
      <c r="Q1030" s="2"/>
      <c r="R1030" s="5" t="s">
        <v>27</v>
      </c>
      <c r="S1030" s="5" t="s">
        <v>500</v>
      </c>
      <c r="T1030" s="39">
        <v>470</v>
      </c>
    </row>
    <row r="1031" spans="1:20" ht="20.100000000000001" hidden="1" customHeight="1" x14ac:dyDescent="0.25">
      <c r="A1031" s="26" t="str">
        <f>CONCATENATE(RIGHT(LEFT(RecebimentoConcreto[[#This Row],[Obra]],5),4),"RCBC",TEXT(RecebimentoConcreto[[#This Row],[Ordem]],"0000"))</f>
        <v>0184RCBC0945</v>
      </c>
      <c r="B1031" s="1">
        <v>945</v>
      </c>
      <c r="C1031" s="1" t="s">
        <v>21</v>
      </c>
      <c r="D1031" s="35">
        <v>45030</v>
      </c>
      <c r="E1031" s="1" t="s">
        <v>1930</v>
      </c>
      <c r="F1031" s="2">
        <v>45462</v>
      </c>
      <c r="G1031" s="2">
        <v>5746</v>
      </c>
      <c r="H1031" s="2">
        <v>60702</v>
      </c>
      <c r="I1031" s="5">
        <v>0.35416666666666669</v>
      </c>
      <c r="J1031" s="5">
        <v>0.41180555555555554</v>
      </c>
      <c r="K1031" s="32">
        <f>_xlfn.MAXIFS(ConsumoConcreto[Fim do Bombeamento],ConsumoConcreto[RecebimentoID],RecebimentoConcreto[[#This Row],[RecebimentoID]])</f>
        <v>0.46527777777777773</v>
      </c>
      <c r="L1031" s="1">
        <v>11</v>
      </c>
      <c r="M1031" s="37">
        <v>36892</v>
      </c>
      <c r="N1031" s="5" t="s">
        <v>1801</v>
      </c>
      <c r="O1031" s="9">
        <v>7.5</v>
      </c>
      <c r="P1031" s="5" t="s">
        <v>26</v>
      </c>
      <c r="Q1031" s="2"/>
      <c r="R1031" s="5" t="s">
        <v>27</v>
      </c>
      <c r="S1031" s="5" t="s">
        <v>500</v>
      </c>
      <c r="T1031" s="39">
        <v>470</v>
      </c>
    </row>
    <row r="1032" spans="1:20" ht="20.100000000000001" hidden="1" customHeight="1" x14ac:dyDescent="0.25">
      <c r="A1032" s="26" t="str">
        <f>CONCATENATE(RIGHT(LEFT(RecebimentoConcreto[[#This Row],[Obra]],5),4),"RCBC",TEXT(RecebimentoConcreto[[#This Row],[Ordem]],"0000"))</f>
        <v>0184RCBC0946</v>
      </c>
      <c r="B1032" s="1">
        <v>946</v>
      </c>
      <c r="C1032" s="1" t="s">
        <v>21</v>
      </c>
      <c r="D1032" s="35">
        <v>45030</v>
      </c>
      <c r="E1032" s="1" t="s">
        <v>1931</v>
      </c>
      <c r="F1032" s="2">
        <v>45463</v>
      </c>
      <c r="G1032" s="2">
        <v>5746</v>
      </c>
      <c r="H1032" s="2">
        <v>60706</v>
      </c>
      <c r="I1032" s="5">
        <v>0.38541666666666669</v>
      </c>
      <c r="J1032" s="5">
        <v>0.54166666666666663</v>
      </c>
      <c r="K1032" s="32">
        <f>_xlfn.MAXIFS(ConsumoConcreto[Fim do Bombeamento],ConsumoConcreto[RecebimentoID],RecebimentoConcreto[[#This Row],[RecebimentoID]])</f>
        <v>0.5625</v>
      </c>
      <c r="L1032" s="1">
        <v>10</v>
      </c>
      <c r="M1032" s="37">
        <v>36892</v>
      </c>
      <c r="N1032" s="5" t="s">
        <v>1801</v>
      </c>
      <c r="O1032" s="9">
        <v>7.5</v>
      </c>
      <c r="P1032" s="5" t="s">
        <v>26</v>
      </c>
      <c r="Q1032" s="2"/>
      <c r="R1032" s="5" t="s">
        <v>27</v>
      </c>
      <c r="S1032" s="5" t="s">
        <v>500</v>
      </c>
      <c r="T1032" s="39">
        <v>470</v>
      </c>
    </row>
    <row r="1033" spans="1:20" ht="20.100000000000001" hidden="1" customHeight="1" x14ac:dyDescent="0.25">
      <c r="A1033" s="26" t="str">
        <f>CONCATENATE(RIGHT(LEFT(RecebimentoConcreto[[#This Row],[Obra]],5),4),"RCBC",TEXT(RecebimentoConcreto[[#This Row],[Ordem]],"0000"))</f>
        <v>0184RCBC0947</v>
      </c>
      <c r="B1033" s="1">
        <v>947</v>
      </c>
      <c r="C1033" s="1" t="s">
        <v>21</v>
      </c>
      <c r="D1033" s="35">
        <v>45030</v>
      </c>
      <c r="E1033" s="1" t="s">
        <v>1932</v>
      </c>
      <c r="F1033" s="2">
        <v>64711</v>
      </c>
      <c r="G1033" s="2">
        <v>5746</v>
      </c>
      <c r="H1033" s="2">
        <v>60723</v>
      </c>
      <c r="I1033" s="5">
        <v>0.60277777777777775</v>
      </c>
      <c r="J1033" s="5">
        <v>0.66388888888888886</v>
      </c>
      <c r="K1033" s="32">
        <f>_xlfn.MAXIFS(ConsumoConcreto[Fim do Bombeamento],ConsumoConcreto[RecebimentoID],RecebimentoConcreto[[#This Row],[RecebimentoID]])</f>
        <v>0.6875</v>
      </c>
      <c r="L1033" s="1">
        <v>12.5</v>
      </c>
      <c r="M1033" s="37">
        <v>36892</v>
      </c>
      <c r="N1033" s="5" t="s">
        <v>1801</v>
      </c>
      <c r="O1033" s="9">
        <v>7.5</v>
      </c>
      <c r="P1033" s="5" t="s">
        <v>26</v>
      </c>
      <c r="Q1033" s="2"/>
      <c r="R1033" s="5" t="s">
        <v>27</v>
      </c>
      <c r="S1033" s="5" t="s">
        <v>500</v>
      </c>
      <c r="T1033" s="39">
        <v>470</v>
      </c>
    </row>
    <row r="1034" spans="1:20" ht="20.100000000000001" hidden="1" customHeight="1" x14ac:dyDescent="0.25">
      <c r="A1034" s="26" t="str">
        <f>CONCATENATE(RIGHT(LEFT(RecebimentoConcreto[[#This Row],[Obra]],5),4),"RCBC",TEXT(RecebimentoConcreto[[#This Row],[Ordem]],"0000"))</f>
        <v>0184RCBC0948</v>
      </c>
      <c r="B1034" s="1">
        <v>948</v>
      </c>
      <c r="C1034" s="1" t="s">
        <v>21</v>
      </c>
      <c r="D1034" s="35">
        <v>45030</v>
      </c>
      <c r="E1034" s="1" t="s">
        <v>1930</v>
      </c>
      <c r="F1034" s="2">
        <v>45442</v>
      </c>
      <c r="G1034" s="2">
        <v>5746</v>
      </c>
      <c r="H1034" s="2">
        <v>60724</v>
      </c>
      <c r="I1034" s="5">
        <v>0.62777777777777777</v>
      </c>
      <c r="J1034" s="5">
        <v>0.69652777777777775</v>
      </c>
      <c r="K1034" s="32">
        <f>_xlfn.MAXIFS(ConsumoConcreto[Fim do Bombeamento],ConsumoConcreto[RecebimentoID],RecebimentoConcreto[[#This Row],[RecebimentoID]])</f>
        <v>0.71527777777777779</v>
      </c>
      <c r="L1034" s="1">
        <v>11</v>
      </c>
      <c r="M1034" s="37">
        <v>36892</v>
      </c>
      <c r="N1034" s="5" t="s">
        <v>1801</v>
      </c>
      <c r="O1034" s="9">
        <v>7.5</v>
      </c>
      <c r="P1034" s="5" t="s">
        <v>26</v>
      </c>
      <c r="Q1034" s="2"/>
      <c r="R1034" s="5" t="s">
        <v>27</v>
      </c>
      <c r="S1034" s="5" t="s">
        <v>500</v>
      </c>
      <c r="T1034" s="39">
        <v>470</v>
      </c>
    </row>
    <row r="1035" spans="1:20" ht="20.100000000000001" hidden="1" customHeight="1" x14ac:dyDescent="0.25">
      <c r="A1035" s="26" t="str">
        <f>CONCATENATE(RIGHT(LEFT(RecebimentoConcreto[[#This Row],[Obra]],5),4),"RCBC",TEXT(RecebimentoConcreto[[#This Row],[Ordem]],"0000"))</f>
        <v>0184RCBC0949</v>
      </c>
      <c r="B1035" s="1">
        <v>949</v>
      </c>
      <c r="C1035" s="1" t="s">
        <v>21</v>
      </c>
      <c r="D1035" s="35">
        <v>45033</v>
      </c>
      <c r="E1035" s="1" t="s">
        <v>36</v>
      </c>
      <c r="F1035" s="2">
        <v>21586</v>
      </c>
      <c r="H1035" s="2">
        <v>2158</v>
      </c>
      <c r="I1035" s="5">
        <v>0.54513888888888895</v>
      </c>
      <c r="J1035" s="5">
        <v>0.57222222222222219</v>
      </c>
      <c r="K1035" s="32">
        <f>_xlfn.MAXIFS(ConsumoConcreto[Fim do Bombeamento],ConsumoConcreto[RecebimentoID],RecebimentoConcreto[[#This Row],[RecebimentoID]])</f>
        <v>0.59861111111111109</v>
      </c>
      <c r="L1035" s="1">
        <v>12</v>
      </c>
      <c r="M1035" s="37">
        <v>36892</v>
      </c>
      <c r="N1035" s="5" t="s">
        <v>1801</v>
      </c>
      <c r="O1035" s="9">
        <v>5.5</v>
      </c>
      <c r="P1035" s="5" t="s">
        <v>26</v>
      </c>
      <c r="Q1035" s="2"/>
      <c r="R1035" s="5" t="s">
        <v>27</v>
      </c>
      <c r="S1035" s="5" t="s">
        <v>32</v>
      </c>
      <c r="T1035" s="39">
        <v>475</v>
      </c>
    </row>
    <row r="1036" spans="1:20" ht="20.100000000000001" hidden="1" customHeight="1" x14ac:dyDescent="0.25">
      <c r="A1036" s="26" t="str">
        <f>CONCATENATE(RIGHT(LEFT(RecebimentoConcreto[[#This Row],[Obra]],5),4),"RCBC",TEXT(RecebimentoConcreto[[#This Row],[Ordem]],"0000"))</f>
        <v>0184RCBC0950</v>
      </c>
      <c r="B1036" s="1">
        <v>950</v>
      </c>
      <c r="C1036" s="1" t="s">
        <v>21</v>
      </c>
      <c r="D1036" s="35">
        <v>45033</v>
      </c>
      <c r="E1036" s="1" t="s">
        <v>1859</v>
      </c>
      <c r="F1036" s="2">
        <v>21587</v>
      </c>
      <c r="H1036" s="2">
        <v>2159</v>
      </c>
      <c r="I1036" s="5">
        <v>0.55347222222222225</v>
      </c>
      <c r="J1036" s="5">
        <v>0.61319444444444449</v>
      </c>
      <c r="K1036" s="32">
        <f>_xlfn.MAXIFS(ConsumoConcreto[Fim do Bombeamento],ConsumoConcreto[RecebimentoID],RecebimentoConcreto[[#This Row],[RecebimentoID]])</f>
        <v>0.63541666666666663</v>
      </c>
      <c r="L1036" s="1">
        <v>13</v>
      </c>
      <c r="M1036" s="37">
        <v>36892</v>
      </c>
      <c r="N1036" s="5" t="s">
        <v>1801</v>
      </c>
      <c r="O1036" s="9">
        <v>5.5</v>
      </c>
      <c r="P1036" s="5" t="s">
        <v>26</v>
      </c>
      <c r="Q1036" s="2"/>
      <c r="R1036" s="5" t="s">
        <v>27</v>
      </c>
      <c r="S1036" s="5" t="s">
        <v>32</v>
      </c>
      <c r="T1036" s="39">
        <v>475</v>
      </c>
    </row>
    <row r="1037" spans="1:20" ht="20.100000000000001" hidden="1" customHeight="1" x14ac:dyDescent="0.25">
      <c r="A1037" s="26" t="str">
        <f>CONCATENATE(RIGHT(LEFT(RecebimentoConcreto[[#This Row],[Obra]],5),4),"RCBC",TEXT(RecebimentoConcreto[[#This Row],[Ordem]],"0000"))</f>
        <v>0184RCBC0951</v>
      </c>
      <c r="B1037" s="1">
        <v>951</v>
      </c>
      <c r="C1037" s="1" t="s">
        <v>21</v>
      </c>
      <c r="D1037" s="35">
        <v>45033</v>
      </c>
      <c r="E1037" s="1" t="s">
        <v>207</v>
      </c>
      <c r="F1037" s="2">
        <v>21591</v>
      </c>
      <c r="H1037" s="2">
        <v>2164</v>
      </c>
      <c r="I1037" s="5">
        <v>0.6333333333333333</v>
      </c>
      <c r="J1037" s="5">
        <v>0.65416666666666667</v>
      </c>
      <c r="K1037" s="32">
        <f>_xlfn.MAXIFS(ConsumoConcreto[Fim do Bombeamento],ConsumoConcreto[RecebimentoID],RecebimentoConcreto[[#This Row],[RecebimentoID]])</f>
        <v>0.68333333333333324</v>
      </c>
      <c r="L1037" s="1">
        <v>13</v>
      </c>
      <c r="M1037" s="37">
        <v>36892</v>
      </c>
      <c r="N1037" s="5" t="s">
        <v>1801</v>
      </c>
      <c r="O1037" s="9">
        <v>5.5</v>
      </c>
      <c r="P1037" s="5" t="s">
        <v>26</v>
      </c>
      <c r="Q1037" s="2"/>
      <c r="R1037" s="5" t="s">
        <v>27</v>
      </c>
      <c r="S1037" s="5" t="s">
        <v>32</v>
      </c>
      <c r="T1037" s="39">
        <v>475</v>
      </c>
    </row>
    <row r="1038" spans="1:20" ht="20.100000000000001" hidden="1" customHeight="1" x14ac:dyDescent="0.25">
      <c r="A1038" s="26" t="str">
        <f>CONCATENATE(RIGHT(LEFT(RecebimentoConcreto[[#This Row],[Obra]],5),4),"RCBC",TEXT(RecebimentoConcreto[[#This Row],[Ordem]],"0000"))</f>
        <v>0184RCBC0952</v>
      </c>
      <c r="B1038" s="1">
        <v>952</v>
      </c>
      <c r="C1038" s="1" t="s">
        <v>21</v>
      </c>
      <c r="D1038" s="35">
        <v>45033</v>
      </c>
      <c r="E1038" s="1" t="s">
        <v>1859</v>
      </c>
      <c r="F1038" s="2">
        <v>21593</v>
      </c>
      <c r="H1038" s="2">
        <v>2166</v>
      </c>
      <c r="I1038" s="5">
        <v>0.67013888888888884</v>
      </c>
      <c r="J1038" s="5">
        <v>0.69444444444444453</v>
      </c>
      <c r="K1038" s="32">
        <f>_xlfn.MAXIFS(ConsumoConcreto[Fim do Bombeamento],ConsumoConcreto[RecebimentoID],RecebimentoConcreto[[#This Row],[RecebimentoID]])</f>
        <v>0.70000000000000007</v>
      </c>
      <c r="L1038" s="1">
        <v>12</v>
      </c>
      <c r="M1038" s="37">
        <v>36892</v>
      </c>
      <c r="N1038" s="5" t="s">
        <v>1801</v>
      </c>
      <c r="O1038" s="9">
        <v>7.5</v>
      </c>
      <c r="P1038" s="5" t="s">
        <v>26</v>
      </c>
      <c r="Q1038" s="2"/>
      <c r="R1038" s="5" t="s">
        <v>27</v>
      </c>
      <c r="S1038" s="5" t="s">
        <v>32</v>
      </c>
      <c r="T1038" s="39">
        <v>475</v>
      </c>
    </row>
    <row r="1039" spans="1:20" ht="20.100000000000001" hidden="1" customHeight="1" x14ac:dyDescent="0.25">
      <c r="A1039" s="26" t="str">
        <f>CONCATENATE(RIGHT(LEFT(RecebimentoConcreto[[#This Row],[Obra]],5),4),"RCBC",TEXT(RecebimentoConcreto[[#This Row],[Ordem]],"0000"))</f>
        <v>0184RCBC0953</v>
      </c>
      <c r="B1039" s="1">
        <v>953</v>
      </c>
      <c r="C1039" s="1" t="s">
        <v>21</v>
      </c>
      <c r="D1039" s="35">
        <v>45034</v>
      </c>
      <c r="E1039" s="1" t="s">
        <v>1859</v>
      </c>
      <c r="F1039" s="2">
        <v>11517</v>
      </c>
      <c r="H1039" s="2">
        <v>2194</v>
      </c>
      <c r="I1039" s="5">
        <v>0.63541666666666663</v>
      </c>
      <c r="J1039" s="5">
        <v>0.68055555555555547</v>
      </c>
      <c r="K1039" s="32">
        <f>_xlfn.MAXIFS(ConsumoConcreto[Fim do Bombeamento],ConsumoConcreto[RecebimentoID],RecebimentoConcreto[[#This Row],[RecebimentoID]])</f>
        <v>0.7055555555555556</v>
      </c>
      <c r="L1039" s="1">
        <v>12</v>
      </c>
      <c r="M1039" s="37">
        <v>36892</v>
      </c>
      <c r="N1039" s="5" t="s">
        <v>1801</v>
      </c>
      <c r="O1039" s="9">
        <v>5.5</v>
      </c>
      <c r="P1039" s="5" t="s">
        <v>26</v>
      </c>
      <c r="Q1039" s="2"/>
      <c r="R1039" s="5" t="s">
        <v>27</v>
      </c>
      <c r="S1039" s="5" t="s">
        <v>32</v>
      </c>
      <c r="T1039" s="39">
        <v>475</v>
      </c>
    </row>
    <row r="1040" spans="1:20" ht="20.100000000000001" hidden="1" customHeight="1" x14ac:dyDescent="0.25">
      <c r="A1040" s="26" t="str">
        <f>CONCATENATE(RIGHT(LEFT(RecebimentoConcreto[[#This Row],[Obra]],5),4),"RCBC",TEXT(RecebimentoConcreto[[#This Row],[Ordem]],"0000"))</f>
        <v>0184RCBC0954</v>
      </c>
      <c r="B1040" s="1">
        <v>954</v>
      </c>
      <c r="C1040" s="1" t="s">
        <v>21</v>
      </c>
      <c r="D1040" s="35">
        <v>45034</v>
      </c>
      <c r="E1040" s="1" t="s">
        <v>38</v>
      </c>
      <c r="F1040" s="2">
        <v>11515</v>
      </c>
      <c r="H1040" s="2">
        <v>2192</v>
      </c>
      <c r="I1040" s="5">
        <v>0.57638888888888895</v>
      </c>
      <c r="J1040" s="5">
        <v>0.625</v>
      </c>
      <c r="K1040" s="32">
        <f>_xlfn.MAXIFS(ConsumoConcreto[Fim do Bombeamento],ConsumoConcreto[RecebimentoID],RecebimentoConcreto[[#This Row],[RecebimentoID]])</f>
        <v>0.64861111111111114</v>
      </c>
      <c r="L1040" s="1">
        <v>12</v>
      </c>
      <c r="M1040" s="37">
        <v>36892</v>
      </c>
      <c r="N1040" s="5" t="s">
        <v>1801</v>
      </c>
      <c r="O1040" s="9">
        <v>5.5</v>
      </c>
      <c r="P1040" s="5" t="s">
        <v>26</v>
      </c>
      <c r="Q1040" s="2"/>
      <c r="R1040" s="5" t="s">
        <v>27</v>
      </c>
      <c r="S1040" s="5" t="s">
        <v>32</v>
      </c>
      <c r="T1040" s="39">
        <v>475</v>
      </c>
    </row>
    <row r="1041" spans="1:20" ht="20.100000000000001" hidden="1" customHeight="1" x14ac:dyDescent="0.25">
      <c r="A1041" s="26" t="str">
        <f>CONCATENATE(RIGHT(LEFT(RecebimentoConcreto[[#This Row],[Obra]],5),4),"RCBC",TEXT(RecebimentoConcreto[[#This Row],[Ordem]],"0000"))</f>
        <v>0184RCBC0955</v>
      </c>
      <c r="B1041" s="1">
        <v>955</v>
      </c>
      <c r="C1041" s="1" t="s">
        <v>21</v>
      </c>
      <c r="D1041" s="35">
        <v>45035</v>
      </c>
      <c r="E1041" s="1" t="s">
        <v>38</v>
      </c>
      <c r="F1041" s="2">
        <v>11550</v>
      </c>
      <c r="H1041" s="2">
        <v>2229</v>
      </c>
      <c r="I1041" s="5">
        <v>0.74652777777777779</v>
      </c>
      <c r="J1041" s="5">
        <v>0.76736111111111116</v>
      </c>
      <c r="K1041" s="32">
        <f>_xlfn.MAXIFS(ConsumoConcreto[Fim do Bombeamento],ConsumoConcreto[RecebimentoID],RecebimentoConcreto[[#This Row],[RecebimentoID]])</f>
        <v>0.77430555555555547</v>
      </c>
      <c r="L1041" s="1">
        <v>12</v>
      </c>
      <c r="M1041" s="37">
        <v>36892</v>
      </c>
      <c r="N1041" s="5" t="s">
        <v>1801</v>
      </c>
      <c r="O1041" s="9">
        <v>5.5</v>
      </c>
      <c r="P1041" s="5" t="s">
        <v>26</v>
      </c>
      <c r="Q1041" s="2"/>
      <c r="R1041" s="5" t="s">
        <v>27</v>
      </c>
      <c r="S1041" s="5" t="s">
        <v>32</v>
      </c>
      <c r="T1041" s="39">
        <v>475</v>
      </c>
    </row>
    <row r="1042" spans="1:20" ht="20.100000000000001" hidden="1" customHeight="1" x14ac:dyDescent="0.25">
      <c r="A1042" s="26" t="str">
        <f>CONCATENATE(RIGHT(LEFT(RecebimentoConcreto[[#This Row],[Obra]],5),4),"RCBC",TEXT(RecebimentoConcreto[[#This Row],[Ordem]],"0000"))</f>
        <v>0184RCBC0956</v>
      </c>
      <c r="B1042" s="1">
        <v>956</v>
      </c>
      <c r="C1042" s="1" t="s">
        <v>21</v>
      </c>
      <c r="D1042" s="35">
        <v>45035</v>
      </c>
      <c r="E1042" s="1" t="s">
        <v>1708</v>
      </c>
      <c r="F1042" s="2">
        <v>11539</v>
      </c>
      <c r="H1042" s="2">
        <v>2217</v>
      </c>
      <c r="I1042" s="5">
        <v>0.60138888888888886</v>
      </c>
      <c r="J1042" s="5">
        <v>0.625</v>
      </c>
      <c r="K1042" s="32">
        <f>_xlfn.MAXIFS(ConsumoConcreto[Fim do Bombeamento],ConsumoConcreto[RecebimentoID],RecebimentoConcreto[[#This Row],[RecebimentoID]])</f>
        <v>0.65208333333333335</v>
      </c>
      <c r="L1042" s="1">
        <v>8.5</v>
      </c>
      <c r="M1042" s="37">
        <v>36892</v>
      </c>
      <c r="N1042" s="5" t="s">
        <v>1801</v>
      </c>
      <c r="O1042" s="9">
        <v>7.5</v>
      </c>
      <c r="P1042" s="5" t="s">
        <v>26</v>
      </c>
      <c r="Q1042" s="2"/>
      <c r="R1042" s="5" t="s">
        <v>27</v>
      </c>
      <c r="S1042" s="5" t="s">
        <v>32</v>
      </c>
      <c r="T1042" s="39">
        <v>475</v>
      </c>
    </row>
    <row r="1043" spans="1:20" ht="20.100000000000001" hidden="1" customHeight="1" x14ac:dyDescent="0.25">
      <c r="A1043" s="26" t="str">
        <f>CONCATENATE(RIGHT(LEFT(RecebimentoConcreto[[#This Row],[Obra]],5),4),"RCBC",TEXT(RecebimentoConcreto[[#This Row],[Ordem]],"0000"))</f>
        <v>0184RCBC0961</v>
      </c>
      <c r="B1043" s="1">
        <v>961</v>
      </c>
      <c r="C1043" s="1" t="s">
        <v>21</v>
      </c>
      <c r="D1043" s="35">
        <v>45055</v>
      </c>
      <c r="E1043" s="1" t="s">
        <v>1933</v>
      </c>
      <c r="F1043" s="2">
        <v>60661</v>
      </c>
      <c r="G1043" s="2">
        <v>5746</v>
      </c>
      <c r="H1043" s="2">
        <v>61117</v>
      </c>
      <c r="I1043" s="5">
        <v>0.5395833333333333</v>
      </c>
      <c r="J1043" s="5">
        <v>0.61111111111111105</v>
      </c>
      <c r="K1043" s="32">
        <f>_xlfn.MAXIFS(ConsumoConcreto[Fim do Bombeamento],ConsumoConcreto[RecebimentoID],RecebimentoConcreto[[#This Row],[RecebimentoID]])</f>
        <v>0.63055555555555554</v>
      </c>
      <c r="M1043" s="37">
        <v>36892</v>
      </c>
      <c r="N1043" s="5" t="s">
        <v>1801</v>
      </c>
      <c r="O1043" s="9">
        <v>6.5</v>
      </c>
      <c r="P1043" s="5" t="s">
        <v>26</v>
      </c>
      <c r="Q1043" s="2"/>
      <c r="R1043" s="5" t="s">
        <v>27</v>
      </c>
      <c r="S1043" s="5" t="s">
        <v>500</v>
      </c>
      <c r="T1043" s="39">
        <v>470</v>
      </c>
    </row>
    <row r="1044" spans="1:20" ht="20.100000000000001" hidden="1" customHeight="1" x14ac:dyDescent="0.25">
      <c r="A1044" s="26" t="str">
        <f>CONCATENATE(RIGHT(LEFT(RecebimentoConcreto[[#This Row],[Obra]],5),4),"RCBC",TEXT(RecebimentoConcreto[[#This Row],[Ordem]],"0000"))</f>
        <v>0184RCBC0962</v>
      </c>
      <c r="B1044" s="1">
        <v>962</v>
      </c>
      <c r="C1044" s="1" t="s">
        <v>21</v>
      </c>
      <c r="D1044" s="35">
        <v>45055</v>
      </c>
      <c r="E1044" s="1" t="s">
        <v>1383</v>
      </c>
      <c r="F1044" s="2">
        <v>60613</v>
      </c>
      <c r="G1044" s="2">
        <v>5746</v>
      </c>
      <c r="H1044" s="2">
        <v>61118</v>
      </c>
      <c r="I1044" s="5">
        <v>0.54791666666666672</v>
      </c>
      <c r="J1044" s="5">
        <v>0.63888888888888895</v>
      </c>
      <c r="K1044" s="32">
        <f>_xlfn.MAXIFS(ConsumoConcreto[Fim do Bombeamento],ConsumoConcreto[RecebimentoID],RecebimentoConcreto[[#This Row],[RecebimentoID]])</f>
        <v>0.66041666666666665</v>
      </c>
      <c r="L1044" s="1">
        <v>12</v>
      </c>
      <c r="M1044" s="37">
        <v>36892</v>
      </c>
      <c r="N1044" s="5" t="s">
        <v>1801</v>
      </c>
      <c r="O1044" s="9">
        <v>7</v>
      </c>
      <c r="P1044" s="5" t="s">
        <v>26</v>
      </c>
      <c r="Q1044" s="2"/>
      <c r="R1044" s="5" t="s">
        <v>27</v>
      </c>
      <c r="S1044" s="5" t="s">
        <v>500</v>
      </c>
      <c r="T1044" s="39">
        <v>470</v>
      </c>
    </row>
    <row r="1045" spans="1:20" ht="20.100000000000001" hidden="1" customHeight="1" x14ac:dyDescent="0.25">
      <c r="A1045" s="26" t="str">
        <f>CONCATENATE(RIGHT(LEFT(RecebimentoConcreto[[#This Row],[Obra]],5),4),"RCBC",TEXT(RecebimentoConcreto[[#This Row],[Ordem]],"0000"))</f>
        <v>0184RCBC0963</v>
      </c>
      <c r="B1045" s="1">
        <v>963</v>
      </c>
      <c r="C1045" s="1" t="s">
        <v>21</v>
      </c>
      <c r="D1045" s="35">
        <v>45055</v>
      </c>
      <c r="E1045" s="1" t="s">
        <v>1934</v>
      </c>
      <c r="F1045" s="2">
        <v>48411</v>
      </c>
      <c r="G1045" s="2">
        <v>5746</v>
      </c>
      <c r="H1045" s="2">
        <v>61122</v>
      </c>
      <c r="I1045" s="5">
        <v>0.68819444444444444</v>
      </c>
      <c r="J1045" s="5">
        <v>0.74513888888888891</v>
      </c>
      <c r="K1045" s="32">
        <f>_xlfn.MAXIFS(ConsumoConcreto[Fim do Bombeamento],ConsumoConcreto[RecebimentoID],RecebimentoConcreto[[#This Row],[RecebimentoID]])</f>
        <v>0.74652777777777779</v>
      </c>
      <c r="L1045" s="1">
        <v>10</v>
      </c>
      <c r="M1045" s="37">
        <v>36892</v>
      </c>
      <c r="N1045" s="5" t="s">
        <v>1801</v>
      </c>
      <c r="O1045" s="9">
        <v>6.5</v>
      </c>
      <c r="P1045" s="5" t="s">
        <v>26</v>
      </c>
      <c r="Q1045" s="2"/>
      <c r="R1045" s="5" t="s">
        <v>27</v>
      </c>
      <c r="S1045" s="5" t="s">
        <v>500</v>
      </c>
      <c r="T1045" s="39">
        <v>470</v>
      </c>
    </row>
    <row r="1046" spans="1:20" ht="20.100000000000001" hidden="1" customHeight="1" x14ac:dyDescent="0.25">
      <c r="A1046" s="26" t="str">
        <f>CONCATENATE(RIGHT(LEFT(RecebimentoConcreto[[#This Row],[Obra]],5),4),"RCBC",TEXT(RecebimentoConcreto[[#This Row],[Ordem]],"0000"))</f>
        <v>0184RCBC0965</v>
      </c>
      <c r="B1046" s="1">
        <v>965</v>
      </c>
      <c r="C1046" s="1" t="s">
        <v>21</v>
      </c>
      <c r="D1046" s="35">
        <v>45056</v>
      </c>
      <c r="E1046" s="1" t="s">
        <v>1935</v>
      </c>
      <c r="F1046" s="2">
        <v>60645</v>
      </c>
      <c r="G1046" s="2">
        <v>5746</v>
      </c>
      <c r="H1046" s="2">
        <v>61133</v>
      </c>
      <c r="I1046" s="5">
        <v>1154</v>
      </c>
      <c r="J1046" s="5">
        <v>0.5625</v>
      </c>
      <c r="K1046" s="32">
        <f>_xlfn.MAXIFS(ConsumoConcreto[Fim do Bombeamento],ConsumoConcreto[RecebimentoID],RecebimentoConcreto[[#This Row],[RecebimentoID]])</f>
        <v>0.58680555555555558</v>
      </c>
      <c r="L1046" s="1">
        <v>12</v>
      </c>
      <c r="M1046" s="37">
        <v>36892</v>
      </c>
      <c r="N1046" s="5" t="s">
        <v>1801</v>
      </c>
      <c r="O1046" s="9">
        <v>5.5</v>
      </c>
      <c r="P1046" s="5" t="s">
        <v>26</v>
      </c>
      <c r="Q1046" s="2"/>
      <c r="R1046" s="5" t="s">
        <v>27</v>
      </c>
      <c r="S1046" s="5" t="s">
        <v>500</v>
      </c>
      <c r="T1046" s="39">
        <v>470</v>
      </c>
    </row>
    <row r="1047" spans="1:20" ht="20.100000000000001" hidden="1" customHeight="1" x14ac:dyDescent="0.25">
      <c r="A1047" s="26" t="str">
        <f>CONCATENATE(RIGHT(LEFT(RecebimentoConcreto[[#This Row],[Obra]],5),4),"RCBC",TEXT(RecebimentoConcreto[[#This Row],[Ordem]],"0000"))</f>
        <v>0184RCBC0966</v>
      </c>
      <c r="B1047" s="1">
        <v>966</v>
      </c>
      <c r="C1047" s="1" t="s">
        <v>21</v>
      </c>
      <c r="D1047" s="35">
        <v>45056</v>
      </c>
      <c r="E1047" s="1" t="s">
        <v>1908</v>
      </c>
      <c r="F1047" s="2">
        <v>60648</v>
      </c>
      <c r="G1047" s="2">
        <v>5746</v>
      </c>
      <c r="H1047" s="2">
        <v>61139</v>
      </c>
      <c r="I1047" s="5">
        <v>0.56458333333333333</v>
      </c>
      <c r="J1047" s="5">
        <v>0.65625</v>
      </c>
      <c r="K1047" s="32">
        <f>_xlfn.MAXIFS(ConsumoConcreto[Fim do Bombeamento],ConsumoConcreto[RecebimentoID],RecebimentoConcreto[[#This Row],[RecebimentoID]])</f>
        <v>0.67222222222222217</v>
      </c>
      <c r="L1047" s="1">
        <v>12.5</v>
      </c>
      <c r="M1047" s="37">
        <v>36892</v>
      </c>
      <c r="N1047" s="5" t="s">
        <v>1801</v>
      </c>
      <c r="O1047" s="9">
        <v>6</v>
      </c>
      <c r="P1047" s="5" t="s">
        <v>26</v>
      </c>
      <c r="Q1047" s="2"/>
      <c r="R1047" s="5" t="s">
        <v>27</v>
      </c>
      <c r="S1047" s="5" t="s">
        <v>500</v>
      </c>
      <c r="T1047" s="39">
        <v>470</v>
      </c>
    </row>
    <row r="1048" spans="1:20" ht="20.100000000000001" hidden="1" customHeight="1" x14ac:dyDescent="0.25">
      <c r="A1048" s="26" t="str">
        <f>CONCATENATE(RIGHT(LEFT(RecebimentoConcreto[[#This Row],[Obra]],5),4),"RCBC",TEXT(RecebimentoConcreto[[#This Row],[Ordem]],"0000"))</f>
        <v>0184RCBC0983</v>
      </c>
      <c r="B1048" s="1">
        <v>983</v>
      </c>
      <c r="C1048" s="1" t="s">
        <v>21</v>
      </c>
      <c r="D1048" s="35">
        <v>45070</v>
      </c>
      <c r="E1048" s="1" t="s">
        <v>36</v>
      </c>
      <c r="F1048" s="2">
        <v>11068</v>
      </c>
      <c r="G1048" s="2">
        <v>5408</v>
      </c>
      <c r="H1048" s="2">
        <v>2733</v>
      </c>
      <c r="I1048" s="5">
        <v>0.45902777777777781</v>
      </c>
      <c r="J1048" s="5">
        <v>0.4909722222222222</v>
      </c>
      <c r="K1048" s="32">
        <f>_xlfn.MAXIFS(ConsumoConcreto[Fim do Bombeamento],ConsumoConcreto[RecebimentoID],RecebimentoConcreto[[#This Row],[RecebimentoID]])</f>
        <v>0.49652777777777773</v>
      </c>
      <c r="L1048" s="1">
        <v>13</v>
      </c>
      <c r="M1048" s="37">
        <v>36892</v>
      </c>
      <c r="N1048" s="5" t="s">
        <v>1801</v>
      </c>
      <c r="O1048" s="9">
        <v>6</v>
      </c>
      <c r="P1048" s="5" t="s">
        <v>26</v>
      </c>
      <c r="Q1048" s="2"/>
      <c r="R1048" s="5" t="s">
        <v>27</v>
      </c>
      <c r="S1048" s="5" t="s">
        <v>32</v>
      </c>
      <c r="T1048" s="39">
        <v>475</v>
      </c>
    </row>
    <row r="1049" spans="1:20" ht="20.100000000000001" hidden="1" customHeight="1" x14ac:dyDescent="0.25">
      <c r="A1049" s="26" t="str">
        <f>CONCATENATE(RIGHT(LEFT(RecebimentoConcreto[[#This Row],[Obra]],5),4),"RCBC",TEXT(RecebimentoConcreto[[#This Row],[Ordem]],"0000"))</f>
        <v>0184RCBC0984</v>
      </c>
      <c r="B1049" s="1">
        <v>984</v>
      </c>
      <c r="C1049" s="1" t="s">
        <v>21</v>
      </c>
      <c r="D1049" s="35">
        <v>45070</v>
      </c>
      <c r="E1049" s="1" t="s">
        <v>1861</v>
      </c>
      <c r="F1049" s="2">
        <v>11073</v>
      </c>
      <c r="G1049" s="2">
        <v>5408</v>
      </c>
      <c r="H1049" s="2">
        <v>2738</v>
      </c>
      <c r="I1049" s="5">
        <v>0.55208333333333337</v>
      </c>
      <c r="J1049" s="5">
        <v>0.56944444444444442</v>
      </c>
      <c r="K1049" s="32">
        <f>_xlfn.MAXIFS(ConsumoConcreto[Fim do Bombeamento],ConsumoConcreto[RecebimentoID],RecebimentoConcreto[[#This Row],[RecebimentoID]])</f>
        <v>0.57638888888888895</v>
      </c>
      <c r="L1049" s="1">
        <v>13.5</v>
      </c>
      <c r="M1049" s="37">
        <v>36892</v>
      </c>
      <c r="N1049" s="5" t="s">
        <v>1801</v>
      </c>
      <c r="O1049" s="9">
        <v>5.5</v>
      </c>
      <c r="P1049" s="5" t="s">
        <v>26</v>
      </c>
      <c r="Q1049" s="2"/>
      <c r="R1049" s="5" t="s">
        <v>27</v>
      </c>
      <c r="S1049" s="5" t="s">
        <v>32</v>
      </c>
      <c r="T1049" s="39">
        <v>475</v>
      </c>
    </row>
    <row r="1050" spans="1:20" ht="20.100000000000001" hidden="1" customHeight="1" x14ac:dyDescent="0.25">
      <c r="A1050" s="26" t="str">
        <f>CONCATENATE(RIGHT(LEFT(RecebimentoConcreto[[#This Row],[Obra]],5),4),"RCBC",TEXT(RecebimentoConcreto[[#This Row],[Ordem]],"0000"))</f>
        <v>0184RCBC0985</v>
      </c>
      <c r="B1050" s="1">
        <v>985</v>
      </c>
      <c r="C1050" s="1" t="s">
        <v>21</v>
      </c>
      <c r="D1050" s="35">
        <v>45070</v>
      </c>
      <c r="E1050" s="1" t="s">
        <v>36</v>
      </c>
      <c r="F1050" s="2">
        <v>11074</v>
      </c>
      <c r="G1050" s="2">
        <v>5408</v>
      </c>
      <c r="H1050" s="2">
        <v>2739</v>
      </c>
      <c r="I1050" s="5">
        <v>0.57708333333333328</v>
      </c>
      <c r="J1050" s="5">
        <v>0.60416666666666663</v>
      </c>
      <c r="K1050" s="32">
        <f>_xlfn.MAXIFS(ConsumoConcreto[Fim do Bombeamento],ConsumoConcreto[RecebimentoID],RecebimentoConcreto[[#This Row],[RecebimentoID]])</f>
        <v>0.61805555555555558</v>
      </c>
      <c r="L1050" s="1">
        <v>12.5</v>
      </c>
      <c r="M1050" s="37">
        <v>36892</v>
      </c>
      <c r="N1050" s="5" t="s">
        <v>1801</v>
      </c>
      <c r="O1050" s="9">
        <v>8</v>
      </c>
      <c r="P1050" s="5" t="s">
        <v>26</v>
      </c>
      <c r="Q1050" s="2"/>
      <c r="R1050" s="5" t="s">
        <v>27</v>
      </c>
      <c r="S1050" s="5" t="s">
        <v>32</v>
      </c>
      <c r="T1050" s="39">
        <v>475</v>
      </c>
    </row>
    <row r="1051" spans="1:20" ht="20.100000000000001" hidden="1" customHeight="1" x14ac:dyDescent="0.25">
      <c r="A1051" s="26" t="str">
        <f>CONCATENATE(RIGHT(LEFT(RecebimentoConcreto[[#This Row],[Obra]],5),4),"RCBC",TEXT(RecebimentoConcreto[[#This Row],[Ordem]],"0000"))</f>
        <v>0184RCBC0988</v>
      </c>
      <c r="B1051" s="1">
        <v>988</v>
      </c>
      <c r="C1051" s="1" t="s">
        <v>21</v>
      </c>
      <c r="D1051" s="35">
        <v>45072</v>
      </c>
      <c r="E1051" s="1" t="s">
        <v>1861</v>
      </c>
      <c r="F1051" s="2">
        <v>11021</v>
      </c>
      <c r="G1051" s="2">
        <v>5408</v>
      </c>
      <c r="H1051" s="2">
        <v>2787</v>
      </c>
      <c r="I1051" s="5">
        <v>0.59166666666666667</v>
      </c>
      <c r="J1051" s="5">
        <v>0.64236111111111105</v>
      </c>
      <c r="K1051" s="32">
        <f>_xlfn.MAXIFS(ConsumoConcreto[Fim do Bombeamento],ConsumoConcreto[RecebimentoID],RecebimentoConcreto[[#This Row],[RecebimentoID]])</f>
        <v>0.64930555555555558</v>
      </c>
      <c r="L1051" s="1">
        <v>13</v>
      </c>
      <c r="M1051" s="37">
        <v>36892</v>
      </c>
      <c r="N1051" s="5" t="s">
        <v>1801</v>
      </c>
      <c r="O1051" s="9">
        <v>6</v>
      </c>
      <c r="P1051" s="5" t="s">
        <v>26</v>
      </c>
      <c r="Q1051" s="2"/>
      <c r="R1051" s="5" t="s">
        <v>27</v>
      </c>
      <c r="S1051" s="5" t="s">
        <v>32</v>
      </c>
      <c r="T1051" s="39">
        <v>475</v>
      </c>
    </row>
    <row r="1052" spans="1:20" ht="20.100000000000001" hidden="1" customHeight="1" x14ac:dyDescent="0.25">
      <c r="A1052" s="26" t="str">
        <f>CONCATENATE(RIGHT(LEFT(RecebimentoConcreto[[#This Row],[Obra]],5),4),"RCBC",TEXT(RecebimentoConcreto[[#This Row],[Ordem]],"0000"))</f>
        <v>0184RCBC0989</v>
      </c>
      <c r="B1052" s="1">
        <v>989</v>
      </c>
      <c r="C1052" s="1" t="s">
        <v>21</v>
      </c>
      <c r="D1052" s="35">
        <v>45072</v>
      </c>
      <c r="E1052" s="1" t="s">
        <v>1859</v>
      </c>
      <c r="F1052" s="2">
        <v>11025</v>
      </c>
      <c r="G1052" s="2">
        <v>5408</v>
      </c>
      <c r="H1052" s="2">
        <v>2789</v>
      </c>
      <c r="I1052" s="5">
        <v>0.65416666666666667</v>
      </c>
      <c r="J1052" s="5">
        <v>0.67361111111111116</v>
      </c>
      <c r="K1052" s="32">
        <f>_xlfn.MAXIFS(ConsumoConcreto[Fim do Bombeamento],ConsumoConcreto[RecebimentoID],RecebimentoConcreto[[#This Row],[RecebimentoID]])</f>
        <v>0.6791666666666667</v>
      </c>
      <c r="L1052" s="1">
        <v>13.5</v>
      </c>
      <c r="M1052" s="37">
        <v>36892</v>
      </c>
      <c r="N1052" s="5" t="s">
        <v>1801</v>
      </c>
      <c r="O1052" s="9">
        <v>5.5</v>
      </c>
      <c r="P1052" s="5" t="s">
        <v>26</v>
      </c>
      <c r="Q1052" s="2"/>
      <c r="R1052" s="5" t="s">
        <v>27</v>
      </c>
      <c r="S1052" s="5" t="s">
        <v>32</v>
      </c>
      <c r="T1052" s="39">
        <v>475</v>
      </c>
    </row>
    <row r="1053" spans="1:20" ht="20.100000000000001" hidden="1" customHeight="1" x14ac:dyDescent="0.25">
      <c r="A1053" s="26" t="str">
        <f>CONCATENATE(RIGHT(LEFT(RecebimentoConcreto[[#This Row],[Obra]],5),4),"RCBC",TEXT(RecebimentoConcreto[[#This Row],[Ordem]],"0000"))</f>
        <v>0184RCBC0990</v>
      </c>
      <c r="B1053" s="1">
        <v>990</v>
      </c>
      <c r="C1053" s="1" t="s">
        <v>21</v>
      </c>
      <c r="D1053" s="35">
        <v>45072</v>
      </c>
      <c r="E1053" s="1" t="s">
        <v>1861</v>
      </c>
      <c r="F1053" s="2">
        <v>11026</v>
      </c>
      <c r="G1053" s="2">
        <v>5408</v>
      </c>
      <c r="H1053" s="2">
        <v>2792</v>
      </c>
      <c r="I1053" s="5">
        <v>0.68888888888888899</v>
      </c>
      <c r="J1053" s="5">
        <v>0.70833333333333337</v>
      </c>
      <c r="K1053" s="32">
        <f>_xlfn.MAXIFS(ConsumoConcreto[Fim do Bombeamento],ConsumoConcreto[RecebimentoID],RecebimentoConcreto[[#This Row],[RecebimentoID]])</f>
        <v>0.72222222222222221</v>
      </c>
      <c r="M1053" s="37">
        <v>36892</v>
      </c>
      <c r="N1053" s="5" t="s">
        <v>1801</v>
      </c>
      <c r="O1053" s="9">
        <v>6.5</v>
      </c>
      <c r="P1053" s="5" t="s">
        <v>26</v>
      </c>
      <c r="Q1053" s="2"/>
      <c r="R1053" s="5" t="s">
        <v>27</v>
      </c>
      <c r="S1053" s="5" t="s">
        <v>32</v>
      </c>
      <c r="T1053" s="39">
        <v>475</v>
      </c>
    </row>
    <row r="1054" spans="1:20" ht="20.100000000000001" hidden="1" customHeight="1" x14ac:dyDescent="0.25">
      <c r="A1054" s="26" t="str">
        <f>CONCATENATE(RIGHT(LEFT(RecebimentoConcreto[[#This Row],[Obra]],5),4),"RCBC",TEXT(RecebimentoConcreto[[#This Row],[Ordem]],"0000"))</f>
        <v>0184RCBC1002</v>
      </c>
      <c r="B1054" s="1">
        <v>1002</v>
      </c>
      <c r="C1054" s="1" t="s">
        <v>21</v>
      </c>
      <c r="D1054" s="35"/>
      <c r="K1054" s="32">
        <f>_xlfn.MAXIFS(ConsumoConcreto[Fim do Bombeamento],ConsumoConcreto[RecebimentoID],RecebimentoConcreto[[#This Row],[RecebimentoID]])</f>
        <v>0</v>
      </c>
      <c r="M1054" s="37">
        <v>36892</v>
      </c>
      <c r="N1054" s="5" t="s">
        <v>1801</v>
      </c>
      <c r="O1054" s="9"/>
      <c r="P1054" s="5" t="s">
        <v>26</v>
      </c>
      <c r="Q1054" s="2"/>
      <c r="R1054" s="5" t="s">
        <v>27</v>
      </c>
      <c r="S1054" s="5"/>
    </row>
    <row r="1055" spans="1:20" ht="20.100000000000001" hidden="1" customHeight="1" x14ac:dyDescent="0.25">
      <c r="A1055" s="26" t="str">
        <f>CONCATENATE(RIGHT(LEFT(RecebimentoConcreto[[#This Row],[Obra]],5),4),"RCBC",TEXT(RecebimentoConcreto[[#This Row],[Ordem]],"0000"))</f>
        <v>0184RCBC1003</v>
      </c>
      <c r="B1055" s="1">
        <v>1003</v>
      </c>
      <c r="C1055" s="1" t="s">
        <v>21</v>
      </c>
      <c r="D1055" s="35"/>
      <c r="K1055" s="32">
        <f>_xlfn.MAXIFS(ConsumoConcreto[Fim do Bombeamento],ConsumoConcreto[RecebimentoID],RecebimentoConcreto[[#This Row],[RecebimentoID]])</f>
        <v>0</v>
      </c>
      <c r="M1055" s="37">
        <v>36892</v>
      </c>
      <c r="N1055" s="5" t="s">
        <v>1801</v>
      </c>
      <c r="O1055" s="9"/>
      <c r="P1055" s="5" t="s">
        <v>26</v>
      </c>
      <c r="Q1055" s="2"/>
      <c r="R1055" s="5" t="s">
        <v>27</v>
      </c>
      <c r="S1055" s="5"/>
    </row>
    <row r="1056" spans="1:20" ht="20.100000000000001" hidden="1" customHeight="1" x14ac:dyDescent="0.25">
      <c r="A1056" s="26" t="str">
        <f>CONCATENATE(RIGHT(LEFT(RecebimentoConcreto[[#This Row],[Obra]],5),4),"RCBC",TEXT(RecebimentoConcreto[[#This Row],[Ordem]],"0000"))</f>
        <v>0184RCBC1004</v>
      </c>
      <c r="B1056" s="1">
        <v>1004</v>
      </c>
      <c r="C1056" s="1" t="s">
        <v>21</v>
      </c>
      <c r="D1056" s="35"/>
      <c r="K1056" s="32">
        <f>_xlfn.MAXIFS(ConsumoConcreto[Fim do Bombeamento],ConsumoConcreto[RecebimentoID],RecebimentoConcreto[[#This Row],[RecebimentoID]])</f>
        <v>0</v>
      </c>
      <c r="M1056" s="37">
        <v>36892</v>
      </c>
      <c r="N1056" s="5" t="s">
        <v>1801</v>
      </c>
      <c r="O1056" s="9"/>
      <c r="P1056" s="5" t="s">
        <v>26</v>
      </c>
      <c r="Q1056" s="2"/>
      <c r="R1056" s="5" t="s">
        <v>27</v>
      </c>
      <c r="S1056" s="5"/>
    </row>
    <row r="1057" spans="1:20" ht="20.100000000000001" hidden="1" customHeight="1" x14ac:dyDescent="0.25">
      <c r="A1057" s="26" t="str">
        <f>CONCATENATE(RIGHT(LEFT(RecebimentoConcreto[[#This Row],[Obra]],5),4),"RCBC",TEXT(RecebimentoConcreto[[#This Row],[Ordem]],"0000"))</f>
        <v>0184RCBC1005</v>
      </c>
      <c r="B1057" s="1">
        <v>1005</v>
      </c>
      <c r="C1057" s="1" t="s">
        <v>21</v>
      </c>
      <c r="D1057" s="35"/>
      <c r="K1057" s="32">
        <f>_xlfn.MAXIFS(ConsumoConcreto[Fim do Bombeamento],ConsumoConcreto[RecebimentoID],RecebimentoConcreto[[#This Row],[RecebimentoID]])</f>
        <v>0</v>
      </c>
      <c r="M1057" s="37">
        <v>36892</v>
      </c>
      <c r="N1057" s="5" t="s">
        <v>1801</v>
      </c>
      <c r="O1057" s="9"/>
      <c r="P1057" s="5" t="s">
        <v>26</v>
      </c>
      <c r="Q1057" s="2"/>
      <c r="R1057" s="5" t="s">
        <v>27</v>
      </c>
      <c r="S1057" s="5"/>
    </row>
    <row r="1058" spans="1:20" ht="20.100000000000001" hidden="1" customHeight="1" x14ac:dyDescent="0.25">
      <c r="A1058" s="26" t="str">
        <f>CONCATENATE(RIGHT(LEFT(RecebimentoConcreto[[#This Row],[Obra]],5),4),"RCBC",TEXT(RecebimentoConcreto[[#This Row],[Ordem]],"0000"))</f>
        <v>0184RCBC1010</v>
      </c>
      <c r="B1058" s="1">
        <v>1010</v>
      </c>
      <c r="C1058" s="1" t="s">
        <v>21</v>
      </c>
      <c r="D1058" s="35">
        <v>44841</v>
      </c>
      <c r="E1058" s="1" t="s">
        <v>208</v>
      </c>
      <c r="F1058" s="2">
        <v>8682</v>
      </c>
      <c r="G1058" s="2">
        <v>5408</v>
      </c>
      <c r="H1058" s="2">
        <v>17220</v>
      </c>
      <c r="I1058" s="5">
        <v>0.36805555555555558</v>
      </c>
      <c r="J1058" s="5">
        <v>0.39583333333333331</v>
      </c>
      <c r="K1058" s="32">
        <f>_xlfn.MAXIFS(ConsumoConcreto[Fim do Bombeamento],ConsumoConcreto[RecebimentoID],RecebimentoConcreto[[#This Row],[RecebimentoID]])</f>
        <v>0.41875000000000001</v>
      </c>
      <c r="L1058" s="1">
        <v>13</v>
      </c>
      <c r="M1058" s="37">
        <v>36892</v>
      </c>
      <c r="N1058" s="5" t="s">
        <v>1801</v>
      </c>
      <c r="O1058" s="9">
        <v>5.5</v>
      </c>
      <c r="P1058" s="5" t="s">
        <v>26</v>
      </c>
      <c r="Q1058" s="2">
        <v>6</v>
      </c>
      <c r="R1058" s="5" t="s">
        <v>27</v>
      </c>
      <c r="S1058" s="5" t="s">
        <v>32</v>
      </c>
      <c r="T1058" s="39">
        <v>460</v>
      </c>
    </row>
    <row r="1059" spans="1:20" ht="20.100000000000001" hidden="1" customHeight="1" x14ac:dyDescent="0.25">
      <c r="A1059" s="26" t="str">
        <f>CONCATENATE(RIGHT(LEFT(RecebimentoConcreto[[#This Row],[Obra]],5),4),"RCBC",TEXT(RecebimentoConcreto[[#This Row],[Ordem]],"0000"))</f>
        <v>0184RCBC1011</v>
      </c>
      <c r="B1059" s="1">
        <v>1011</v>
      </c>
      <c r="C1059" s="1" t="s">
        <v>21</v>
      </c>
      <c r="D1059" s="35">
        <v>44841</v>
      </c>
      <c r="E1059" s="1" t="s">
        <v>36</v>
      </c>
      <c r="F1059" s="2">
        <v>8683</v>
      </c>
      <c r="G1059" s="2">
        <v>5408</v>
      </c>
      <c r="H1059" s="2">
        <v>17221</v>
      </c>
      <c r="I1059" s="5">
        <v>0.38541666666666669</v>
      </c>
      <c r="J1059" s="5">
        <v>0.4236111111111111</v>
      </c>
      <c r="K1059" s="32">
        <f>_xlfn.MAXIFS(ConsumoConcreto[Fim do Bombeamento],ConsumoConcreto[RecebimentoID],RecebimentoConcreto[[#This Row],[RecebimentoID]])</f>
        <v>0.4375</v>
      </c>
      <c r="L1059" s="1">
        <v>14</v>
      </c>
      <c r="M1059" s="37">
        <v>36892</v>
      </c>
      <c r="N1059" s="5" t="s">
        <v>1801</v>
      </c>
      <c r="O1059" s="9">
        <v>5.5</v>
      </c>
      <c r="P1059" s="5" t="s">
        <v>26</v>
      </c>
      <c r="Q1059" s="2">
        <v>6</v>
      </c>
      <c r="R1059" s="5" t="s">
        <v>27</v>
      </c>
      <c r="S1059" s="5" t="s">
        <v>32</v>
      </c>
      <c r="T1059" s="39">
        <v>460</v>
      </c>
    </row>
    <row r="1060" spans="1:20" ht="20.100000000000001" hidden="1" customHeight="1" x14ac:dyDescent="0.25">
      <c r="A1060" s="26" t="str">
        <f>CONCATENATE(RIGHT(LEFT(RecebimentoConcreto[[#This Row],[Obra]],5),4),"RCBC",TEXT(RecebimentoConcreto[[#This Row],[Ordem]],"0000"))</f>
        <v>0184RCBC1012</v>
      </c>
      <c r="B1060" s="1">
        <v>1012</v>
      </c>
      <c r="C1060" s="1" t="s">
        <v>21</v>
      </c>
      <c r="D1060" s="35">
        <v>44841</v>
      </c>
      <c r="E1060" s="1" t="s">
        <v>208</v>
      </c>
      <c r="F1060" s="2">
        <v>8687</v>
      </c>
      <c r="G1060" s="2">
        <v>5408</v>
      </c>
      <c r="H1060" s="2">
        <v>17224</v>
      </c>
      <c r="I1060" s="5">
        <v>0.46527777777777773</v>
      </c>
      <c r="J1060" s="5">
        <v>0.49305555555555558</v>
      </c>
      <c r="K1060" s="32">
        <f>_xlfn.MAXIFS(ConsumoConcreto[Fim do Bombeamento],ConsumoConcreto[RecebimentoID],RecebimentoConcreto[[#This Row],[RecebimentoID]])</f>
        <v>0.51736111111111105</v>
      </c>
      <c r="L1060" s="1">
        <v>14</v>
      </c>
      <c r="M1060" s="37">
        <v>36892</v>
      </c>
      <c r="N1060" s="5" t="s">
        <v>1801</v>
      </c>
      <c r="O1060" s="9">
        <v>5.5</v>
      </c>
      <c r="P1060" s="5" t="s">
        <v>26</v>
      </c>
      <c r="Q1060" s="2">
        <v>6</v>
      </c>
      <c r="R1060" s="5" t="s">
        <v>27</v>
      </c>
      <c r="S1060" s="5" t="s">
        <v>32</v>
      </c>
      <c r="T1060" s="39">
        <v>460</v>
      </c>
    </row>
    <row r="1061" spans="1:20" ht="20.100000000000001" hidden="1" customHeight="1" x14ac:dyDescent="0.25">
      <c r="A1061" s="26" t="str">
        <f>CONCATENATE(RIGHT(LEFT(RecebimentoConcreto[[#This Row],[Obra]],5),4),"RCBC",TEXT(RecebimentoConcreto[[#This Row],[Ordem]],"0000"))</f>
        <v>0184RCBC1013</v>
      </c>
      <c r="B1061" s="1">
        <v>1013</v>
      </c>
      <c r="C1061" s="1" t="s">
        <v>21</v>
      </c>
      <c r="D1061" s="35">
        <v>44841</v>
      </c>
      <c r="E1061" s="1" t="s">
        <v>106</v>
      </c>
      <c r="F1061" s="2">
        <v>8690</v>
      </c>
      <c r="G1061" s="2">
        <v>5408</v>
      </c>
      <c r="H1061" s="2">
        <v>17227</v>
      </c>
      <c r="I1061" s="5">
        <v>0.54166666666666663</v>
      </c>
      <c r="J1061" s="5">
        <v>0.56944444444444442</v>
      </c>
      <c r="K1061" s="32">
        <f>_xlfn.MAXIFS(ConsumoConcreto[Fim do Bombeamento],ConsumoConcreto[RecebimentoID],RecebimentoConcreto[[#This Row],[RecebimentoID]])</f>
        <v>0.58263888888888882</v>
      </c>
      <c r="L1061" s="1">
        <v>14</v>
      </c>
      <c r="M1061" s="37">
        <v>36892</v>
      </c>
      <c r="N1061" s="5" t="s">
        <v>1801</v>
      </c>
      <c r="O1061" s="9">
        <v>5.5</v>
      </c>
      <c r="P1061" s="5" t="s">
        <v>26</v>
      </c>
      <c r="Q1061" s="2">
        <v>6</v>
      </c>
      <c r="R1061" s="5" t="s">
        <v>27</v>
      </c>
      <c r="S1061" s="5" t="s">
        <v>32</v>
      </c>
      <c r="T1061" s="39">
        <v>460</v>
      </c>
    </row>
    <row r="1062" spans="1:20" ht="20.100000000000001" hidden="1" customHeight="1" x14ac:dyDescent="0.25">
      <c r="A1062" s="26" t="str">
        <f>CONCATENATE(RIGHT(LEFT(RecebimentoConcreto[[#This Row],[Obra]],5),4),"RCBC",TEXT(RecebimentoConcreto[[#This Row],[Ordem]],"0000"))</f>
        <v>0184RCBC1014</v>
      </c>
      <c r="B1062" s="1">
        <v>1014</v>
      </c>
      <c r="C1062" s="1" t="s">
        <v>21</v>
      </c>
      <c r="D1062" s="35">
        <v>44841</v>
      </c>
      <c r="E1062" s="1" t="s">
        <v>36</v>
      </c>
      <c r="F1062" s="2">
        <v>8694</v>
      </c>
      <c r="G1062" s="2">
        <v>5408</v>
      </c>
      <c r="H1062" s="2">
        <v>17231</v>
      </c>
      <c r="I1062" s="5">
        <v>0.61458333333333337</v>
      </c>
      <c r="J1062" s="5">
        <v>0.625</v>
      </c>
      <c r="K1062" s="32">
        <f>_xlfn.MAXIFS(ConsumoConcreto[Fim do Bombeamento],ConsumoConcreto[RecebimentoID],RecebimentoConcreto[[#This Row],[RecebimentoID]])</f>
        <v>0.64583333333333337</v>
      </c>
      <c r="L1062" s="1">
        <v>13</v>
      </c>
      <c r="M1062" s="37">
        <v>36892</v>
      </c>
      <c r="N1062" s="5" t="s">
        <v>1801</v>
      </c>
      <c r="O1062" s="9">
        <v>5.5</v>
      </c>
      <c r="P1062" s="5" t="s">
        <v>26</v>
      </c>
      <c r="Q1062" s="2">
        <v>6</v>
      </c>
      <c r="R1062" s="5" t="s">
        <v>27</v>
      </c>
      <c r="S1062" s="5" t="s">
        <v>32</v>
      </c>
      <c r="T1062" s="39">
        <v>460</v>
      </c>
    </row>
    <row r="1063" spans="1:20" ht="20.100000000000001" hidden="1" customHeight="1" x14ac:dyDescent="0.25">
      <c r="A1063" s="26" t="str">
        <f>CONCATENATE(RIGHT(LEFT(RecebimentoConcreto[[#This Row],[Obra]],5),4),"RCBC",TEXT(RecebimentoConcreto[[#This Row],[Ordem]],"0000"))</f>
        <v>0184RCBC1015</v>
      </c>
      <c r="B1063" s="1">
        <v>1015</v>
      </c>
      <c r="C1063" s="1" t="s">
        <v>21</v>
      </c>
      <c r="D1063" s="35">
        <v>44841</v>
      </c>
      <c r="E1063" s="1" t="s">
        <v>1708</v>
      </c>
      <c r="F1063" s="2">
        <v>8697</v>
      </c>
      <c r="G1063" s="2">
        <v>5408</v>
      </c>
      <c r="H1063" s="2">
        <v>17234</v>
      </c>
      <c r="I1063" s="5">
        <v>0.65277777777777779</v>
      </c>
      <c r="J1063" s="5">
        <v>0.66666666666666663</v>
      </c>
      <c r="K1063" s="32">
        <f>_xlfn.MAXIFS(ConsumoConcreto[Fim do Bombeamento],ConsumoConcreto[RecebimentoID],RecebimentoConcreto[[#This Row],[RecebimentoID]])</f>
        <v>0.69444444444444453</v>
      </c>
      <c r="L1063" s="1">
        <v>13</v>
      </c>
      <c r="M1063" s="37">
        <v>36892</v>
      </c>
      <c r="N1063" s="5" t="s">
        <v>1801</v>
      </c>
      <c r="O1063" s="9">
        <v>5.5</v>
      </c>
      <c r="P1063" s="5" t="s">
        <v>26</v>
      </c>
      <c r="Q1063" s="2">
        <v>6</v>
      </c>
      <c r="R1063" s="5" t="s">
        <v>27</v>
      </c>
      <c r="S1063" s="5" t="s">
        <v>32</v>
      </c>
      <c r="T1063" s="39">
        <v>460</v>
      </c>
    </row>
    <row r="1064" spans="1:20" ht="20.100000000000001" hidden="1" customHeight="1" x14ac:dyDescent="0.25">
      <c r="A1064" s="26" t="str">
        <f>CONCATENATE(RIGHT(LEFT(RecebimentoConcreto[[#This Row],[Obra]],5),4),"RCBC",TEXT(RecebimentoConcreto[[#This Row],[Ordem]],"0000"))</f>
        <v>0184RCBC1016</v>
      </c>
      <c r="B1064" s="1">
        <v>1016</v>
      </c>
      <c r="C1064" s="1" t="s">
        <v>21</v>
      </c>
      <c r="D1064" s="35">
        <v>44844</v>
      </c>
      <c r="E1064" s="1" t="s">
        <v>37</v>
      </c>
      <c r="F1064" s="2">
        <v>8026</v>
      </c>
      <c r="G1064" s="2">
        <v>5408</v>
      </c>
      <c r="H1064" s="2">
        <v>17263</v>
      </c>
      <c r="I1064" s="5">
        <v>0.4513888888888889</v>
      </c>
      <c r="J1064" s="5">
        <v>0.47916666666666669</v>
      </c>
      <c r="K1064" s="32">
        <f>_xlfn.MAXIFS(ConsumoConcreto[Fim do Bombeamento],ConsumoConcreto[RecebimentoID],RecebimentoConcreto[[#This Row],[RecebimentoID]])</f>
        <v>0.5</v>
      </c>
      <c r="L1064" s="1">
        <v>13</v>
      </c>
      <c r="M1064" s="37">
        <v>36892</v>
      </c>
      <c r="N1064" s="5" t="s">
        <v>1801</v>
      </c>
      <c r="O1064" s="9">
        <v>5.5</v>
      </c>
      <c r="P1064" s="5" t="s">
        <v>26</v>
      </c>
      <c r="Q1064" s="2">
        <v>6</v>
      </c>
      <c r="R1064" s="5" t="s">
        <v>27</v>
      </c>
      <c r="S1064" s="5" t="s">
        <v>32</v>
      </c>
      <c r="T1064" s="39">
        <v>460</v>
      </c>
    </row>
    <row r="1065" spans="1:20" ht="20.100000000000001" hidden="1" customHeight="1" x14ac:dyDescent="0.25">
      <c r="A1065" s="26" t="str">
        <f>CONCATENATE(RIGHT(LEFT(RecebimentoConcreto[[#This Row],[Obra]],5),4),"RCBC",TEXT(RecebimentoConcreto[[#This Row],[Ordem]],"0000"))</f>
        <v>0184RCBC1017</v>
      </c>
      <c r="B1065" s="1">
        <v>1017</v>
      </c>
      <c r="C1065" s="1" t="s">
        <v>21</v>
      </c>
      <c r="D1065" s="35">
        <v>44844</v>
      </c>
      <c r="E1065" s="1" t="s">
        <v>36</v>
      </c>
      <c r="F1065" s="2">
        <v>8028</v>
      </c>
      <c r="G1065" s="2">
        <v>5408</v>
      </c>
      <c r="H1065" s="2">
        <v>17265</v>
      </c>
      <c r="I1065" s="5">
        <v>0.47222222222222227</v>
      </c>
      <c r="J1065" s="5">
        <v>0.5</v>
      </c>
      <c r="K1065" s="32">
        <f>_xlfn.MAXIFS(ConsumoConcreto[Fim do Bombeamento],ConsumoConcreto[RecebimentoID],RecebimentoConcreto[[#This Row],[RecebimentoID]])</f>
        <v>0.52777777777777779</v>
      </c>
      <c r="L1065" s="1">
        <v>12.5</v>
      </c>
      <c r="M1065" s="37">
        <v>36892</v>
      </c>
      <c r="N1065" s="5" t="s">
        <v>1801</v>
      </c>
      <c r="O1065" s="9">
        <v>5.5</v>
      </c>
      <c r="P1065" s="5" t="s">
        <v>26</v>
      </c>
      <c r="Q1065" s="2">
        <v>6</v>
      </c>
      <c r="R1065" s="5" t="s">
        <v>27</v>
      </c>
      <c r="S1065" s="5" t="s">
        <v>32</v>
      </c>
      <c r="T1065" s="39">
        <v>460</v>
      </c>
    </row>
    <row r="1066" spans="1:20" ht="20.100000000000001" hidden="1" customHeight="1" x14ac:dyDescent="0.25">
      <c r="A1066" s="26" t="str">
        <f>CONCATENATE(RIGHT(LEFT(RecebimentoConcreto[[#This Row],[Obra]],5),4),"RCBC",TEXT(RecebimentoConcreto[[#This Row],[Ordem]],"0000"))</f>
        <v>0184RCBC1018</v>
      </c>
      <c r="B1066" s="1">
        <v>1018</v>
      </c>
      <c r="C1066" s="1" t="s">
        <v>21</v>
      </c>
      <c r="D1066" s="35">
        <v>44870</v>
      </c>
      <c r="E1066" s="1" t="s">
        <v>207</v>
      </c>
      <c r="F1066" s="2">
        <v>7675</v>
      </c>
      <c r="G1066" s="2">
        <v>5408</v>
      </c>
      <c r="H1066" s="2">
        <v>17850</v>
      </c>
      <c r="I1066" s="5">
        <v>0.62152777777777779</v>
      </c>
      <c r="J1066" s="5">
        <v>0.64236111111111105</v>
      </c>
      <c r="K1066" s="32">
        <f>_xlfn.MAXIFS(ConsumoConcreto[Fim do Bombeamento],ConsumoConcreto[RecebimentoID],RecebimentoConcreto[[#This Row],[RecebimentoID]])</f>
        <v>0.65277777777777779</v>
      </c>
      <c r="L1066" s="1">
        <v>13</v>
      </c>
      <c r="M1066" s="37">
        <v>36892</v>
      </c>
      <c r="N1066" s="5" t="s">
        <v>1801</v>
      </c>
      <c r="O1066" s="9">
        <v>5.5</v>
      </c>
      <c r="P1066" s="5" t="s">
        <v>26</v>
      </c>
      <c r="Q1066" s="2">
        <v>7</v>
      </c>
      <c r="R1066" s="5" t="s">
        <v>27</v>
      </c>
      <c r="S1066" s="5" t="s">
        <v>32</v>
      </c>
      <c r="T1066" s="39">
        <v>470</v>
      </c>
    </row>
    <row r="1067" spans="1:20" ht="20.100000000000001" hidden="1" customHeight="1" x14ac:dyDescent="0.25">
      <c r="A1067" s="26" t="str">
        <f>CONCATENATE(RIGHT(LEFT(RecebimentoConcreto[[#This Row],[Obra]],5),4),"RCBC",TEXT(RecebimentoConcreto[[#This Row],[Ordem]],"0000"))</f>
        <v>0184RCBC1019</v>
      </c>
      <c r="B1067" s="1">
        <v>1019</v>
      </c>
      <c r="C1067" s="1" t="s">
        <v>21</v>
      </c>
      <c r="D1067" s="35">
        <v>44870</v>
      </c>
      <c r="E1067" s="1" t="s">
        <v>36</v>
      </c>
      <c r="F1067" s="2">
        <v>7677</v>
      </c>
      <c r="G1067" s="2">
        <v>5408</v>
      </c>
      <c r="H1067" s="2">
        <v>17852</v>
      </c>
      <c r="I1067" s="5">
        <v>0.64930555555555558</v>
      </c>
      <c r="J1067" s="5">
        <v>0.68055555555555547</v>
      </c>
      <c r="K1067" s="32">
        <f>_xlfn.MAXIFS(ConsumoConcreto[Fim do Bombeamento],ConsumoConcreto[RecebimentoID],RecebimentoConcreto[[#This Row],[RecebimentoID]])</f>
        <v>0.69791666666666663</v>
      </c>
      <c r="L1067" s="1">
        <v>13.5</v>
      </c>
      <c r="M1067" s="37">
        <v>36892</v>
      </c>
      <c r="N1067" s="5" t="s">
        <v>1801</v>
      </c>
      <c r="O1067" s="9">
        <v>5.5</v>
      </c>
      <c r="P1067" s="5" t="s">
        <v>26</v>
      </c>
      <c r="Q1067" s="2">
        <v>7</v>
      </c>
      <c r="R1067" s="5" t="s">
        <v>27</v>
      </c>
      <c r="S1067" s="5" t="s">
        <v>32</v>
      </c>
      <c r="T1067" s="39">
        <v>470</v>
      </c>
    </row>
    <row r="1068" spans="1:20" ht="20.100000000000001" hidden="1" customHeight="1" x14ac:dyDescent="0.25">
      <c r="A1068" s="26" t="str">
        <f>CONCATENATE(RIGHT(LEFT(RecebimentoConcreto[[#This Row],[Obra]],5),4),"RCBC",TEXT(RecebimentoConcreto[[#This Row],[Ordem]],"0000"))</f>
        <v>0184RCBC1020</v>
      </c>
      <c r="B1068" s="1">
        <v>1020</v>
      </c>
      <c r="C1068" s="1" t="s">
        <v>21</v>
      </c>
      <c r="D1068" s="35">
        <v>44872</v>
      </c>
      <c r="E1068" s="1" t="s">
        <v>36</v>
      </c>
      <c r="F1068" s="2">
        <v>7692</v>
      </c>
      <c r="G1068" s="2">
        <v>5408</v>
      </c>
      <c r="H1068" s="2">
        <v>17868</v>
      </c>
      <c r="I1068" s="5">
        <v>0.44444444444444442</v>
      </c>
      <c r="J1068" s="5">
        <v>0.4861111111111111</v>
      </c>
      <c r="K1068" s="32">
        <f>_xlfn.MAXIFS(ConsumoConcreto[Fim do Bombeamento],ConsumoConcreto[RecebimentoID],RecebimentoConcreto[[#This Row],[RecebimentoID]])</f>
        <v>0.5</v>
      </c>
      <c r="L1068" s="1">
        <v>14</v>
      </c>
      <c r="M1068" s="37">
        <v>36892</v>
      </c>
      <c r="N1068" s="5" t="s">
        <v>1801</v>
      </c>
      <c r="O1068" s="9">
        <v>5.5</v>
      </c>
      <c r="P1068" s="5" t="s">
        <v>26</v>
      </c>
      <c r="Q1068" s="2">
        <v>7</v>
      </c>
      <c r="R1068" s="5" t="s">
        <v>27</v>
      </c>
      <c r="S1068" s="5" t="s">
        <v>32</v>
      </c>
      <c r="T1068" s="39">
        <v>470</v>
      </c>
    </row>
    <row r="1069" spans="1:20" ht="20.100000000000001" hidden="1" customHeight="1" x14ac:dyDescent="0.25">
      <c r="A1069" s="26" t="str">
        <f>CONCATENATE(RIGHT(LEFT(RecebimentoConcreto[[#This Row],[Obra]],5),4),"RCBC",TEXT(RecebimentoConcreto[[#This Row],[Ordem]],"0000"))</f>
        <v>0184RCBC1021</v>
      </c>
      <c r="B1069" s="1">
        <v>1021</v>
      </c>
      <c r="C1069" s="1" t="s">
        <v>21</v>
      </c>
      <c r="D1069" s="35">
        <v>44872</v>
      </c>
      <c r="E1069" s="1" t="s">
        <v>37</v>
      </c>
      <c r="F1069" s="2">
        <v>7695</v>
      </c>
      <c r="G1069" s="2">
        <v>5408</v>
      </c>
      <c r="H1069" s="2">
        <v>17871</v>
      </c>
      <c r="I1069" s="5">
        <v>0.54166666666666663</v>
      </c>
      <c r="J1069" s="5">
        <v>0.59375</v>
      </c>
      <c r="K1069" s="32">
        <f>_xlfn.MAXIFS(ConsumoConcreto[Fim do Bombeamento],ConsumoConcreto[RecebimentoID],RecebimentoConcreto[[#This Row],[RecebimentoID]])</f>
        <v>0.625</v>
      </c>
      <c r="L1069" s="1">
        <v>13</v>
      </c>
      <c r="M1069" s="37">
        <v>36892</v>
      </c>
      <c r="N1069" s="5" t="s">
        <v>1801</v>
      </c>
      <c r="O1069" s="9">
        <v>5.5</v>
      </c>
      <c r="P1069" s="5" t="s">
        <v>26</v>
      </c>
      <c r="Q1069" s="2">
        <v>7</v>
      </c>
      <c r="R1069" s="5" t="s">
        <v>27</v>
      </c>
      <c r="S1069" s="5" t="s">
        <v>32</v>
      </c>
      <c r="T1069" s="39">
        <v>470</v>
      </c>
    </row>
    <row r="1070" spans="1:20" ht="20.100000000000001" hidden="1" customHeight="1" x14ac:dyDescent="0.25">
      <c r="A1070" s="26" t="str">
        <f>CONCATENATE(RIGHT(LEFT(RecebimentoConcreto[[#This Row],[Obra]],5),4),"RCBC",TEXT(RecebimentoConcreto[[#This Row],[Ordem]],"0000"))</f>
        <v>0184RCBC1022</v>
      </c>
      <c r="B1070" s="1">
        <v>1022</v>
      </c>
      <c r="C1070" s="1" t="s">
        <v>21</v>
      </c>
      <c r="D1070" s="35">
        <v>44872</v>
      </c>
      <c r="E1070" s="1" t="s">
        <v>1860</v>
      </c>
      <c r="F1070" s="2">
        <v>7697</v>
      </c>
      <c r="G1070" s="2">
        <v>5408</v>
      </c>
      <c r="H1070" s="2">
        <v>17873</v>
      </c>
      <c r="I1070" s="5">
        <v>0.55208333333333337</v>
      </c>
      <c r="J1070" s="5">
        <v>0.61805555555555558</v>
      </c>
      <c r="K1070" s="32">
        <f>_xlfn.MAXIFS(ConsumoConcreto[Fim do Bombeamento],ConsumoConcreto[RecebimentoID],RecebimentoConcreto[[#This Row],[RecebimentoID]])</f>
        <v>0.63888888888888895</v>
      </c>
      <c r="L1070" s="1">
        <v>14</v>
      </c>
      <c r="M1070" s="37">
        <v>36892</v>
      </c>
      <c r="N1070" s="5" t="s">
        <v>1801</v>
      </c>
      <c r="O1070" s="9">
        <v>5.5</v>
      </c>
      <c r="P1070" s="5" t="s">
        <v>26</v>
      </c>
      <c r="Q1070" s="2">
        <v>7</v>
      </c>
      <c r="R1070" s="5" t="s">
        <v>27</v>
      </c>
      <c r="S1070" s="5" t="s">
        <v>32</v>
      </c>
      <c r="T1070" s="39">
        <v>470</v>
      </c>
    </row>
    <row r="1071" spans="1:20" ht="20.100000000000001" hidden="1" customHeight="1" x14ac:dyDescent="0.25">
      <c r="A1071" s="26" t="str">
        <f>CONCATENATE(RIGHT(LEFT(RecebimentoConcreto[[#This Row],[Obra]],5),4),"RCBC",TEXT(RecebimentoConcreto[[#This Row],[Ordem]],"0000"))</f>
        <v>0184RCBC1023</v>
      </c>
      <c r="B1071" s="1">
        <v>1023</v>
      </c>
      <c r="C1071" s="1" t="s">
        <v>21</v>
      </c>
      <c r="D1071" s="35">
        <v>44872</v>
      </c>
      <c r="E1071" s="1" t="s">
        <v>1708</v>
      </c>
      <c r="F1071" s="2">
        <v>7698</v>
      </c>
      <c r="G1071" s="2">
        <v>5408</v>
      </c>
      <c r="H1071" s="2">
        <v>17874</v>
      </c>
      <c r="I1071" s="5">
        <v>0.56944444444444442</v>
      </c>
      <c r="J1071" s="5">
        <v>0.64583333333333337</v>
      </c>
      <c r="K1071" s="32">
        <f>_xlfn.MAXIFS(ConsumoConcreto[Fim do Bombeamento],ConsumoConcreto[RecebimentoID],RecebimentoConcreto[[#This Row],[RecebimentoID]])</f>
        <v>0.67708333333333337</v>
      </c>
      <c r="L1071" s="1">
        <v>13</v>
      </c>
      <c r="M1071" s="37">
        <v>36892</v>
      </c>
      <c r="N1071" s="5" t="s">
        <v>1801</v>
      </c>
      <c r="O1071" s="9">
        <v>5.5</v>
      </c>
      <c r="P1071" s="5" t="s">
        <v>26</v>
      </c>
      <c r="Q1071" s="2">
        <v>7</v>
      </c>
      <c r="R1071" s="5" t="s">
        <v>27</v>
      </c>
      <c r="S1071" s="5" t="s">
        <v>32</v>
      </c>
      <c r="T1071" s="39">
        <v>470</v>
      </c>
    </row>
    <row r="1072" spans="1:20" ht="20.100000000000001" hidden="1" customHeight="1" x14ac:dyDescent="0.25">
      <c r="A1072" s="26" t="str">
        <f>CONCATENATE(RIGHT(LEFT(RecebimentoConcreto[[#This Row],[Obra]],5),4),"RCBC",TEXT(RecebimentoConcreto[[#This Row],[Ordem]],"0000"))</f>
        <v>0184RCBC1024</v>
      </c>
      <c r="B1072" s="1">
        <v>1024</v>
      </c>
      <c r="C1072" s="1" t="s">
        <v>21</v>
      </c>
      <c r="D1072" s="35">
        <v>44872</v>
      </c>
      <c r="E1072" s="1" t="s">
        <v>106</v>
      </c>
      <c r="F1072" s="2">
        <v>18825</v>
      </c>
      <c r="G1072" s="2">
        <v>5408</v>
      </c>
      <c r="H1072" s="2">
        <v>17878</v>
      </c>
      <c r="I1072" s="5">
        <v>0.64236111111111105</v>
      </c>
      <c r="J1072" s="5">
        <v>0.70833333333333337</v>
      </c>
      <c r="K1072" s="32">
        <f>_xlfn.MAXIFS(ConsumoConcreto[Fim do Bombeamento],ConsumoConcreto[RecebimentoID],RecebimentoConcreto[[#This Row],[RecebimentoID]])</f>
        <v>0.73611111111111116</v>
      </c>
      <c r="L1072" s="1">
        <v>12</v>
      </c>
      <c r="M1072" s="37">
        <v>36892</v>
      </c>
      <c r="N1072" s="5" t="s">
        <v>1801</v>
      </c>
      <c r="O1072" s="9">
        <v>5.5</v>
      </c>
      <c r="P1072" s="5" t="s">
        <v>26</v>
      </c>
      <c r="Q1072" s="2">
        <v>7</v>
      </c>
      <c r="R1072" s="5" t="s">
        <v>27</v>
      </c>
      <c r="S1072" s="5" t="s">
        <v>32</v>
      </c>
      <c r="T1072" s="39">
        <v>470</v>
      </c>
    </row>
    <row r="1073" spans="1:20" ht="20.100000000000001" hidden="1" customHeight="1" x14ac:dyDescent="0.25">
      <c r="A1073" s="26" t="str">
        <f>CONCATENATE(RIGHT(LEFT(RecebimentoConcreto[[#This Row],[Obra]],5),4),"RCBC",TEXT(RecebimentoConcreto[[#This Row],[Ordem]],"0000"))</f>
        <v>0184RCBC1025</v>
      </c>
      <c r="B1073" s="1">
        <v>1025</v>
      </c>
      <c r="C1073" s="1" t="s">
        <v>21</v>
      </c>
      <c r="D1073" s="35">
        <v>44874</v>
      </c>
      <c r="E1073" s="1" t="s">
        <v>37</v>
      </c>
      <c r="F1073" s="2">
        <v>18849</v>
      </c>
      <c r="G1073" s="2">
        <v>5408</v>
      </c>
      <c r="H1073" s="2">
        <v>17902</v>
      </c>
      <c r="I1073" s="5">
        <v>0.36458333333333331</v>
      </c>
      <c r="J1073" s="5">
        <v>0.41666666666666669</v>
      </c>
      <c r="K1073" s="32">
        <f>_xlfn.MAXIFS(ConsumoConcreto[Fim do Bombeamento],ConsumoConcreto[RecebimentoID],RecebimentoConcreto[[#This Row],[RecebimentoID]])</f>
        <v>0.44861111111111113</v>
      </c>
      <c r="L1073" s="1">
        <v>14</v>
      </c>
      <c r="M1073" s="37">
        <v>36892</v>
      </c>
      <c r="N1073" s="5" t="s">
        <v>1801</v>
      </c>
      <c r="O1073" s="9">
        <v>5.5</v>
      </c>
      <c r="P1073" s="5" t="s">
        <v>26</v>
      </c>
      <c r="Q1073" s="2">
        <v>7</v>
      </c>
      <c r="R1073" s="5" t="s">
        <v>27</v>
      </c>
      <c r="S1073" s="5" t="s">
        <v>32</v>
      </c>
      <c r="T1073" s="39">
        <v>470</v>
      </c>
    </row>
    <row r="1074" spans="1:20" ht="20.100000000000001" hidden="1" customHeight="1" x14ac:dyDescent="0.25">
      <c r="A1074" s="26" t="str">
        <f>CONCATENATE(RIGHT(LEFT(RecebimentoConcreto[[#This Row],[Obra]],5),4),"RCBC",TEXT(RecebimentoConcreto[[#This Row],[Ordem]],"0000"))</f>
        <v>0184RCBC1026</v>
      </c>
      <c r="B1074" s="1">
        <v>1026</v>
      </c>
      <c r="C1074" s="1" t="s">
        <v>21</v>
      </c>
      <c r="D1074" s="35">
        <v>44874</v>
      </c>
      <c r="E1074" s="1" t="s">
        <v>1861</v>
      </c>
      <c r="F1074" s="2">
        <v>18852</v>
      </c>
      <c r="G1074" s="2">
        <v>5408</v>
      </c>
      <c r="H1074" s="2">
        <v>17905</v>
      </c>
      <c r="I1074" s="5">
        <v>0.41666666666666669</v>
      </c>
      <c r="J1074" s="5">
        <v>0.46875</v>
      </c>
      <c r="K1074" s="32">
        <f>_xlfn.MAXIFS(ConsumoConcreto[Fim do Bombeamento],ConsumoConcreto[RecebimentoID],RecebimentoConcreto[[#This Row],[RecebimentoID]])</f>
        <v>0.49305555555555558</v>
      </c>
      <c r="L1074" s="1">
        <v>13</v>
      </c>
      <c r="M1074" s="37">
        <v>36892</v>
      </c>
      <c r="N1074" s="5" t="s">
        <v>1801</v>
      </c>
      <c r="O1074" s="9">
        <v>5.5</v>
      </c>
      <c r="P1074" s="5" t="s">
        <v>26</v>
      </c>
      <c r="Q1074" s="2">
        <v>7</v>
      </c>
      <c r="R1074" s="5" t="s">
        <v>27</v>
      </c>
      <c r="S1074" s="5" t="s">
        <v>32</v>
      </c>
      <c r="T1074" s="39">
        <v>470</v>
      </c>
    </row>
    <row r="1075" spans="1:20" ht="20.100000000000001" hidden="1" customHeight="1" x14ac:dyDescent="0.25">
      <c r="A1075" s="26" t="str">
        <f>CONCATENATE(RIGHT(LEFT(RecebimentoConcreto[[#This Row],[Obra]],5),4),"RCBC",TEXT(RecebimentoConcreto[[#This Row],[Ordem]],"0000"))</f>
        <v>0184RCBC1027</v>
      </c>
      <c r="B1075" s="1">
        <v>1027</v>
      </c>
      <c r="C1075" s="1" t="s">
        <v>21</v>
      </c>
      <c r="D1075" s="35">
        <v>44875</v>
      </c>
      <c r="E1075" s="1" t="s">
        <v>36</v>
      </c>
      <c r="F1075" s="2">
        <v>18876</v>
      </c>
      <c r="G1075" s="2">
        <v>5408</v>
      </c>
      <c r="H1075" s="2">
        <v>17922</v>
      </c>
      <c r="I1075" s="5">
        <v>0.3888888888888889</v>
      </c>
      <c r="J1075" s="5">
        <v>0.41666666666666669</v>
      </c>
      <c r="K1075" s="32">
        <f>_xlfn.MAXIFS(ConsumoConcreto[Fim do Bombeamento],ConsumoConcreto[RecebimentoID],RecebimentoConcreto[[#This Row],[RecebimentoID]])</f>
        <v>0.44097222222222227</v>
      </c>
      <c r="L1075" s="1">
        <v>13.5</v>
      </c>
      <c r="M1075" s="37">
        <v>36892</v>
      </c>
      <c r="N1075" s="5" t="s">
        <v>1801</v>
      </c>
      <c r="O1075" s="9">
        <v>5.5</v>
      </c>
      <c r="P1075" s="5" t="s">
        <v>26</v>
      </c>
      <c r="Q1075" s="2">
        <v>7</v>
      </c>
      <c r="R1075" s="5" t="s">
        <v>27</v>
      </c>
      <c r="S1075" s="5" t="s">
        <v>32</v>
      </c>
      <c r="T1075" s="39">
        <v>470</v>
      </c>
    </row>
    <row r="1076" spans="1:20" ht="20.100000000000001" hidden="1" customHeight="1" x14ac:dyDescent="0.25">
      <c r="A1076" s="26" t="str">
        <f>CONCATENATE(RIGHT(LEFT(RecebimentoConcreto[[#This Row],[Obra]],5),4),"RCBC",TEXT(RecebimentoConcreto[[#This Row],[Ordem]],"0000"))</f>
        <v>0184RCBC1028</v>
      </c>
      <c r="B1076" s="1">
        <v>1028</v>
      </c>
      <c r="C1076" s="1" t="s">
        <v>21</v>
      </c>
      <c r="D1076" s="35">
        <v>44875</v>
      </c>
      <c r="E1076" s="1" t="s">
        <v>106</v>
      </c>
      <c r="F1076" s="2">
        <v>18865</v>
      </c>
      <c r="G1076" s="2">
        <v>5408</v>
      </c>
      <c r="H1076" s="2">
        <v>17924</v>
      </c>
      <c r="I1076" s="5">
        <v>0.41666666666666669</v>
      </c>
      <c r="J1076" s="5">
        <v>0.45833333333333331</v>
      </c>
      <c r="K1076" s="32">
        <f>_xlfn.MAXIFS(ConsumoConcreto[Fim do Bombeamento],ConsumoConcreto[RecebimentoID],RecebimentoConcreto[[#This Row],[RecebimentoID]])</f>
        <v>0.4826388888888889</v>
      </c>
      <c r="L1076" s="1">
        <v>14</v>
      </c>
      <c r="M1076" s="37">
        <v>36892</v>
      </c>
      <c r="N1076" s="5" t="s">
        <v>1801</v>
      </c>
      <c r="O1076" s="9">
        <v>5.5</v>
      </c>
      <c r="P1076" s="5" t="s">
        <v>26</v>
      </c>
      <c r="Q1076" s="2">
        <v>7</v>
      </c>
      <c r="R1076" s="5" t="s">
        <v>27</v>
      </c>
      <c r="S1076" s="5" t="s">
        <v>32</v>
      </c>
      <c r="T1076" s="39">
        <v>470</v>
      </c>
    </row>
    <row r="1077" spans="1:20" ht="20.100000000000001" hidden="1" customHeight="1" x14ac:dyDescent="0.25">
      <c r="A1077" s="26" t="str">
        <f>CONCATENATE(RIGHT(LEFT(RecebimentoConcreto[[#This Row],[Obra]],5),4),"RCBC",TEXT(RecebimentoConcreto[[#This Row],[Ordem]],"0000"))</f>
        <v>0184RCBC1029</v>
      </c>
      <c r="B1077" s="1">
        <v>1029</v>
      </c>
      <c r="C1077" s="1" t="s">
        <v>21</v>
      </c>
      <c r="D1077" s="35">
        <v>44875</v>
      </c>
      <c r="E1077" s="1" t="s">
        <v>1860</v>
      </c>
      <c r="F1077" s="2">
        <v>18878</v>
      </c>
      <c r="G1077" s="2">
        <v>5408</v>
      </c>
      <c r="H1077" s="2">
        <v>17931</v>
      </c>
      <c r="I1077" s="5">
        <v>0.55555555555555558</v>
      </c>
      <c r="J1077" s="5">
        <v>0.57986111111111105</v>
      </c>
      <c r="K1077" s="32">
        <f>_xlfn.MAXIFS(ConsumoConcreto[Fim do Bombeamento],ConsumoConcreto[RecebimentoID],RecebimentoConcreto[[#This Row],[RecebimentoID]])</f>
        <v>0.59722222222222221</v>
      </c>
      <c r="L1077" s="1">
        <v>14</v>
      </c>
      <c r="M1077" s="37">
        <v>36892</v>
      </c>
      <c r="N1077" s="5" t="s">
        <v>1801</v>
      </c>
      <c r="O1077" s="9">
        <v>5.5</v>
      </c>
      <c r="P1077" s="5" t="s">
        <v>26</v>
      </c>
      <c r="Q1077" s="2">
        <v>7</v>
      </c>
      <c r="R1077" s="5" t="s">
        <v>27</v>
      </c>
      <c r="S1077" s="5" t="s">
        <v>32</v>
      </c>
      <c r="T1077" s="39">
        <v>470</v>
      </c>
    </row>
    <row r="1078" spans="1:20" ht="20.100000000000001" hidden="1" customHeight="1" x14ac:dyDescent="0.25">
      <c r="A1078" s="26" t="str">
        <f>CONCATENATE(RIGHT(LEFT(RecebimentoConcreto[[#This Row],[Obra]],5),4),"RCBC",TEXT(RecebimentoConcreto[[#This Row],[Ordem]],"0000"))</f>
        <v>0184RCBC1030</v>
      </c>
      <c r="B1078" s="1">
        <v>1030</v>
      </c>
      <c r="C1078" s="1" t="s">
        <v>21</v>
      </c>
      <c r="D1078" s="35">
        <v>44875</v>
      </c>
      <c r="E1078" s="1" t="s">
        <v>1708</v>
      </c>
      <c r="F1078" s="2">
        <v>18881</v>
      </c>
      <c r="G1078" s="2">
        <v>5408</v>
      </c>
      <c r="H1078" s="2">
        <v>17934</v>
      </c>
      <c r="I1078" s="5">
        <v>0.58680555555555558</v>
      </c>
      <c r="J1078" s="5">
        <v>0.61458333333333337</v>
      </c>
      <c r="K1078" s="32">
        <f>_xlfn.MAXIFS(ConsumoConcreto[Fim do Bombeamento],ConsumoConcreto[RecebimentoID],RecebimentoConcreto[[#This Row],[RecebimentoID]])</f>
        <v>0.63472222222222219</v>
      </c>
      <c r="L1078" s="1">
        <v>13</v>
      </c>
      <c r="M1078" s="37">
        <v>36892</v>
      </c>
      <c r="N1078" s="5" t="s">
        <v>1801</v>
      </c>
      <c r="O1078" s="9">
        <v>5.5</v>
      </c>
      <c r="P1078" s="5" t="s">
        <v>26</v>
      </c>
      <c r="Q1078" s="2">
        <v>7</v>
      </c>
      <c r="R1078" s="5" t="s">
        <v>27</v>
      </c>
      <c r="S1078" s="5" t="s">
        <v>32</v>
      </c>
      <c r="T1078" s="39">
        <v>470</v>
      </c>
    </row>
    <row r="1079" spans="1:20" ht="20.100000000000001" hidden="1" customHeight="1" x14ac:dyDescent="0.25">
      <c r="A1079" s="26" t="str">
        <f>CONCATENATE(RIGHT(LEFT(RecebimentoConcreto[[#This Row],[Obra]],5),4),"RCBC",TEXT(RecebimentoConcreto[[#This Row],[Ordem]],"0000"))</f>
        <v>0184RCBC1031</v>
      </c>
      <c r="B1079" s="1">
        <v>1031</v>
      </c>
      <c r="C1079" s="1" t="s">
        <v>21</v>
      </c>
      <c r="D1079" s="35">
        <v>44877</v>
      </c>
      <c r="E1079" s="1" t="s">
        <v>36</v>
      </c>
      <c r="F1079" s="2">
        <v>13034</v>
      </c>
      <c r="G1079" s="2">
        <v>5408</v>
      </c>
      <c r="H1079" s="2">
        <v>17988</v>
      </c>
      <c r="I1079" s="5">
        <v>0.53125</v>
      </c>
      <c r="J1079" s="5">
        <v>0.58888888888888891</v>
      </c>
      <c r="K1079" s="32">
        <f>_xlfn.MAXIFS(ConsumoConcreto[Fim do Bombeamento],ConsumoConcreto[RecebimentoID],RecebimentoConcreto[[#This Row],[RecebimentoID]])</f>
        <v>0.60416666666666663</v>
      </c>
      <c r="L1079" s="1">
        <v>13</v>
      </c>
      <c r="M1079" s="37">
        <v>36892</v>
      </c>
      <c r="N1079" s="5" t="s">
        <v>1801</v>
      </c>
      <c r="O1079" s="9">
        <v>7</v>
      </c>
      <c r="P1079" s="5" t="s">
        <v>26</v>
      </c>
      <c r="Q1079" s="2">
        <v>7</v>
      </c>
      <c r="R1079" s="5" t="s">
        <v>27</v>
      </c>
      <c r="S1079" s="5" t="s">
        <v>32</v>
      </c>
      <c r="T1079" s="39">
        <v>470</v>
      </c>
    </row>
    <row r="1080" spans="1:20" ht="20.100000000000001" hidden="1" customHeight="1" x14ac:dyDescent="0.25">
      <c r="A1080" s="26" t="str">
        <f>CONCATENATE(RIGHT(LEFT(RecebimentoConcreto[[#This Row],[Obra]],5),4),"RCBC",TEXT(RecebimentoConcreto[[#This Row],[Ordem]],"0000"))</f>
        <v>0184RCBC1032</v>
      </c>
      <c r="B1080" s="1">
        <v>1032</v>
      </c>
      <c r="C1080" s="1" t="s">
        <v>21</v>
      </c>
      <c r="D1080" s="35">
        <v>44877</v>
      </c>
      <c r="E1080" s="1" t="s">
        <v>207</v>
      </c>
      <c r="F1080" s="2">
        <v>13036</v>
      </c>
      <c r="G1080" s="2">
        <v>5408</v>
      </c>
      <c r="H1080" s="2">
        <v>17990</v>
      </c>
      <c r="I1080" s="5">
        <v>0.57986111111111105</v>
      </c>
      <c r="J1080" s="5">
        <v>0.61111111111111105</v>
      </c>
      <c r="K1080" s="32">
        <f>_xlfn.MAXIFS(ConsumoConcreto[Fim do Bombeamento],ConsumoConcreto[RecebimentoID],RecebimentoConcreto[[#This Row],[RecebimentoID]])</f>
        <v>0.64722222222222225</v>
      </c>
      <c r="L1080" s="1">
        <v>13</v>
      </c>
      <c r="M1080" s="37">
        <v>36892</v>
      </c>
      <c r="N1080" s="5" t="s">
        <v>1801</v>
      </c>
      <c r="O1080" s="9">
        <v>7</v>
      </c>
      <c r="P1080" s="5" t="s">
        <v>26</v>
      </c>
      <c r="Q1080" s="2">
        <v>7</v>
      </c>
      <c r="R1080" s="5" t="s">
        <v>27</v>
      </c>
      <c r="S1080" s="5" t="s">
        <v>32</v>
      </c>
      <c r="T1080" s="39">
        <v>470</v>
      </c>
    </row>
    <row r="1081" spans="1:20" ht="20.100000000000001" hidden="1" customHeight="1" x14ac:dyDescent="0.25">
      <c r="A1081" s="26" t="str">
        <f>CONCATENATE(RIGHT(LEFT(RecebimentoConcreto[[#This Row],[Obra]],5),4),"RCBC",TEXT(RecebimentoConcreto[[#This Row],[Ordem]],"0000"))</f>
        <v>0184RCBC1033</v>
      </c>
      <c r="B1081" s="1">
        <v>1033</v>
      </c>
      <c r="C1081" s="1" t="s">
        <v>21</v>
      </c>
      <c r="D1081" s="35">
        <v>44877</v>
      </c>
      <c r="E1081" s="1" t="s">
        <v>106</v>
      </c>
      <c r="F1081" s="2">
        <v>13037</v>
      </c>
      <c r="G1081" s="2">
        <v>5408</v>
      </c>
      <c r="H1081" s="2">
        <v>17991</v>
      </c>
      <c r="I1081" s="5">
        <v>0.59027777777777779</v>
      </c>
      <c r="J1081" s="5">
        <v>0.65277777777777779</v>
      </c>
      <c r="K1081" s="32">
        <f>_xlfn.MAXIFS(ConsumoConcreto[Fim do Bombeamento],ConsumoConcreto[RecebimentoID],RecebimentoConcreto[[#This Row],[RecebimentoID]])</f>
        <v>0.66666666666666663</v>
      </c>
      <c r="L1081" s="1">
        <v>12</v>
      </c>
      <c r="M1081" s="37">
        <v>36892</v>
      </c>
      <c r="N1081" s="5" t="s">
        <v>1801</v>
      </c>
      <c r="O1081" s="9">
        <v>7</v>
      </c>
      <c r="P1081" s="5" t="s">
        <v>26</v>
      </c>
      <c r="Q1081" s="2">
        <v>7</v>
      </c>
      <c r="R1081" s="5" t="s">
        <v>27</v>
      </c>
      <c r="S1081" s="5" t="s">
        <v>32</v>
      </c>
      <c r="T1081" s="39">
        <v>470</v>
      </c>
    </row>
    <row r="1082" spans="1:20" ht="20.100000000000001" hidden="1" customHeight="1" x14ac:dyDescent="0.25">
      <c r="A1082" s="26" t="str">
        <f>CONCATENATE(RIGHT(LEFT(RecebimentoConcreto[[#This Row],[Obra]],5),4),"RCBC",TEXT(RecebimentoConcreto[[#This Row],[Ordem]],"0000"))</f>
        <v>0184RCBC1034</v>
      </c>
      <c r="B1082" s="1">
        <v>1034</v>
      </c>
      <c r="C1082" s="1" t="s">
        <v>21</v>
      </c>
      <c r="D1082" s="35">
        <v>44959</v>
      </c>
      <c r="E1082" s="1" t="s">
        <v>37</v>
      </c>
      <c r="F1082" s="2">
        <v>20833</v>
      </c>
      <c r="G1082" s="2">
        <v>5408</v>
      </c>
      <c r="H1082" s="2">
        <v>1306</v>
      </c>
      <c r="I1082" s="5">
        <v>0.39930555555555558</v>
      </c>
      <c r="J1082" s="5">
        <v>0.42708333333333331</v>
      </c>
      <c r="K1082" s="32">
        <f>_xlfn.MAXIFS(ConsumoConcreto[Fim do Bombeamento],ConsumoConcreto[RecebimentoID],RecebimentoConcreto[[#This Row],[RecebimentoID]])</f>
        <v>0.4548611111111111</v>
      </c>
      <c r="L1082" s="1">
        <v>12.5</v>
      </c>
      <c r="M1082" s="37">
        <v>36892</v>
      </c>
      <c r="N1082" s="5" t="s">
        <v>1801</v>
      </c>
      <c r="O1082" s="9">
        <v>5.5</v>
      </c>
      <c r="P1082" s="5" t="s">
        <v>26</v>
      </c>
      <c r="Q1082" s="2">
        <v>7</v>
      </c>
      <c r="R1082" s="5" t="s">
        <v>27</v>
      </c>
      <c r="S1082" s="5" t="s">
        <v>32</v>
      </c>
      <c r="T1082" s="39">
        <v>475</v>
      </c>
    </row>
    <row r="1083" spans="1:20" ht="20.100000000000001" hidden="1" customHeight="1" x14ac:dyDescent="0.25">
      <c r="A1083" s="26" t="str">
        <f>CONCATENATE(RIGHT(LEFT(RecebimentoConcreto[[#This Row],[Obra]],5),4),"RCBC",TEXT(RecebimentoConcreto[[#This Row],[Ordem]],"0000"))</f>
        <v>0184RCBC1035</v>
      </c>
      <c r="B1083" s="1">
        <v>1035</v>
      </c>
      <c r="C1083" s="1" t="s">
        <v>21</v>
      </c>
      <c r="D1083" s="35">
        <v>44985</v>
      </c>
      <c r="E1083" s="1" t="s">
        <v>36</v>
      </c>
      <c r="F1083" s="2">
        <v>20190</v>
      </c>
      <c r="G1083" s="2">
        <v>5408</v>
      </c>
      <c r="H1083" s="2">
        <v>1258</v>
      </c>
      <c r="I1083" s="5">
        <v>0.5493055555555556</v>
      </c>
      <c r="J1083" s="5">
        <v>0.66319444444444442</v>
      </c>
      <c r="K1083" s="32">
        <f>_xlfn.MAXIFS(ConsumoConcreto[Fim do Bombeamento],ConsumoConcreto[RecebimentoID],RecebimentoConcreto[[#This Row],[RecebimentoID]])</f>
        <v>0.59027777777777779</v>
      </c>
      <c r="L1083" s="1">
        <v>12</v>
      </c>
      <c r="M1083" s="37">
        <v>36892</v>
      </c>
      <c r="N1083" s="5" t="s">
        <v>1801</v>
      </c>
      <c r="O1083" s="9">
        <v>5.5</v>
      </c>
      <c r="P1083" s="5" t="s">
        <v>26</v>
      </c>
      <c r="Q1083" s="2">
        <v>8</v>
      </c>
      <c r="R1083" s="5" t="s">
        <v>27</v>
      </c>
      <c r="S1083" s="5" t="s">
        <v>32</v>
      </c>
      <c r="T1083" s="39">
        <v>460</v>
      </c>
    </row>
    <row r="1084" spans="1:20" ht="20.100000000000001" hidden="1" customHeight="1" x14ac:dyDescent="0.25">
      <c r="A1084" s="26" t="str">
        <f>CONCATENATE(RIGHT(LEFT(RecebimentoConcreto[[#This Row],[Obra]],5),4),"RCBC",TEXT(RecebimentoConcreto[[#This Row],[Ordem]],"0000"))</f>
        <v>0184RCBC1036</v>
      </c>
      <c r="B1084" s="1">
        <v>1036</v>
      </c>
      <c r="C1084" s="1" t="s">
        <v>21</v>
      </c>
      <c r="D1084" s="35">
        <v>44985</v>
      </c>
      <c r="E1084" s="1" t="s">
        <v>38</v>
      </c>
      <c r="F1084" s="2">
        <v>20191</v>
      </c>
      <c r="G1084" s="2">
        <v>5408</v>
      </c>
      <c r="H1084" s="2">
        <v>1259</v>
      </c>
      <c r="I1084" s="5">
        <v>0.59375</v>
      </c>
      <c r="J1084" s="5">
        <v>0.62430555555555556</v>
      </c>
      <c r="K1084" s="32">
        <f>_xlfn.MAXIFS(ConsumoConcreto[Fim do Bombeamento],ConsumoConcreto[RecebimentoID],RecebimentoConcreto[[#This Row],[RecebimentoID]])</f>
        <v>0.64583333333333337</v>
      </c>
      <c r="L1084" s="1">
        <v>12.5</v>
      </c>
      <c r="M1084" s="37">
        <v>36892</v>
      </c>
      <c r="N1084" s="5" t="s">
        <v>1801</v>
      </c>
      <c r="O1084" s="9">
        <v>5.5</v>
      </c>
      <c r="P1084" s="5" t="s">
        <v>26</v>
      </c>
      <c r="Q1084" s="2">
        <v>8</v>
      </c>
      <c r="R1084" s="5" t="s">
        <v>27</v>
      </c>
      <c r="S1084" s="5" t="s">
        <v>32</v>
      </c>
      <c r="T1084" s="39">
        <v>460</v>
      </c>
    </row>
    <row r="1085" spans="1:20" ht="20.100000000000001" hidden="1" customHeight="1" x14ac:dyDescent="0.25">
      <c r="A1085" s="26" t="str">
        <f>CONCATENATE(RIGHT(LEFT(RecebimentoConcreto[[#This Row],[Obra]],5),4),"RCBC",TEXT(RecebimentoConcreto[[#This Row],[Ordem]],"0000"))</f>
        <v>0184RCBC1037</v>
      </c>
      <c r="B1085" s="1">
        <v>1037</v>
      </c>
      <c r="C1085" s="1" t="s">
        <v>21</v>
      </c>
      <c r="D1085" s="35">
        <v>44985</v>
      </c>
      <c r="E1085" s="1" t="s">
        <v>36</v>
      </c>
      <c r="F1085" s="2">
        <v>20196</v>
      </c>
      <c r="G1085" s="2">
        <v>5408</v>
      </c>
      <c r="H1085" s="2">
        <v>1264</v>
      </c>
      <c r="I1085" s="5">
        <v>0.65625</v>
      </c>
      <c r="J1085" s="5">
        <v>0.67708333333333337</v>
      </c>
      <c r="K1085" s="32">
        <f>_xlfn.MAXIFS(ConsumoConcreto[Fim do Bombeamento],ConsumoConcreto[RecebimentoID],RecebimentoConcreto[[#This Row],[RecebimentoID]])</f>
        <v>0.69305555555555554</v>
      </c>
      <c r="L1085" s="1">
        <v>13</v>
      </c>
      <c r="M1085" s="37">
        <v>36892</v>
      </c>
      <c r="N1085" s="5" t="s">
        <v>1801</v>
      </c>
      <c r="O1085" s="9">
        <v>5.5</v>
      </c>
      <c r="P1085" s="5" t="s">
        <v>26</v>
      </c>
      <c r="Q1085" s="2">
        <v>8</v>
      </c>
      <c r="R1085" s="5" t="s">
        <v>27</v>
      </c>
      <c r="S1085" s="5" t="s">
        <v>32</v>
      </c>
      <c r="T1085" s="39">
        <v>460</v>
      </c>
    </row>
    <row r="1086" spans="1:20" ht="20.100000000000001" hidden="1" customHeight="1" x14ac:dyDescent="0.25">
      <c r="A1086" s="26" t="str">
        <f>CONCATENATE(RIGHT(LEFT(RecebimentoConcreto[[#This Row],[Obra]],5),4),"RCBC",TEXT(RecebimentoConcreto[[#This Row],[Ordem]],"0000"))</f>
        <v>0184RCBC1038</v>
      </c>
      <c r="B1086" s="1">
        <v>1038</v>
      </c>
      <c r="C1086" s="1" t="s">
        <v>21</v>
      </c>
      <c r="D1086" s="35">
        <v>44986</v>
      </c>
      <c r="E1086" s="1" t="s">
        <v>36</v>
      </c>
      <c r="F1086" s="2">
        <v>20808</v>
      </c>
      <c r="G1086" s="2">
        <v>5408</v>
      </c>
      <c r="H1086" s="2">
        <v>1278</v>
      </c>
      <c r="I1086" s="5">
        <v>0.40277777777777773</v>
      </c>
      <c r="J1086" s="5">
        <v>0.42708333333333331</v>
      </c>
      <c r="K1086" s="32">
        <f>_xlfn.MAXIFS(ConsumoConcreto[Fim do Bombeamento],ConsumoConcreto[RecebimentoID],RecebimentoConcreto[[#This Row],[RecebimentoID]])</f>
        <v>0.44097222222222227</v>
      </c>
      <c r="L1086" s="1">
        <v>12</v>
      </c>
      <c r="M1086" s="37">
        <v>36892</v>
      </c>
      <c r="N1086" s="5" t="s">
        <v>1801</v>
      </c>
      <c r="O1086" s="9">
        <v>5.5</v>
      </c>
      <c r="P1086" s="5" t="s">
        <v>26</v>
      </c>
      <c r="Q1086" s="2">
        <v>8</v>
      </c>
      <c r="R1086" s="5" t="s">
        <v>27</v>
      </c>
      <c r="S1086" s="5" t="s">
        <v>32</v>
      </c>
      <c r="T1086" s="39">
        <v>475</v>
      </c>
    </row>
    <row r="1087" spans="1:20" ht="20.100000000000001" hidden="1" customHeight="1" x14ac:dyDescent="0.25">
      <c r="A1087" s="26" t="str">
        <f>CONCATENATE(RIGHT(LEFT(RecebimentoConcreto[[#This Row],[Obra]],5),4),"RCBC",TEXT(RecebimentoConcreto[[#This Row],[Ordem]],"0000"))</f>
        <v>0184RCBC1039</v>
      </c>
      <c r="B1087" s="1">
        <v>1039</v>
      </c>
      <c r="C1087" s="1" t="s">
        <v>21</v>
      </c>
      <c r="D1087" s="35">
        <v>44986</v>
      </c>
      <c r="E1087" s="1" t="s">
        <v>1861</v>
      </c>
      <c r="F1087" s="2">
        <v>20810</v>
      </c>
      <c r="G1087" s="2">
        <v>5408</v>
      </c>
      <c r="H1087" s="2">
        <v>1279</v>
      </c>
      <c r="I1087" s="5">
        <v>0.4368055555555555</v>
      </c>
      <c r="J1087" s="5">
        <v>0.47916666666666669</v>
      </c>
      <c r="K1087" s="32">
        <f>_xlfn.MAXIFS(ConsumoConcreto[Fim do Bombeamento],ConsumoConcreto[RecebimentoID],RecebimentoConcreto[[#This Row],[RecebimentoID]])</f>
        <v>0.49652777777777773</v>
      </c>
      <c r="L1087" s="1">
        <v>11.5</v>
      </c>
      <c r="M1087" s="37">
        <v>36892</v>
      </c>
      <c r="N1087" s="5" t="s">
        <v>1801</v>
      </c>
      <c r="O1087" s="9">
        <v>5.5</v>
      </c>
      <c r="P1087" s="5" t="s">
        <v>26</v>
      </c>
      <c r="Q1087" s="2">
        <v>8</v>
      </c>
      <c r="R1087" s="5" t="s">
        <v>27</v>
      </c>
      <c r="S1087" s="5" t="s">
        <v>32</v>
      </c>
      <c r="T1087" s="39">
        <v>475</v>
      </c>
    </row>
    <row r="1088" spans="1:20" ht="20.100000000000001" hidden="1" customHeight="1" x14ac:dyDescent="0.25">
      <c r="A1088" s="26" t="str">
        <f>CONCATENATE(RIGHT(LEFT(RecebimentoConcreto[[#This Row],[Obra]],5),4),"RCBC",TEXT(RecebimentoConcreto[[#This Row],[Ordem]],"0000"))</f>
        <v>0184RCBC1040</v>
      </c>
      <c r="B1088" s="1">
        <v>1040</v>
      </c>
      <c r="C1088" s="1" t="s">
        <v>21</v>
      </c>
      <c r="D1088" s="35">
        <v>44986</v>
      </c>
      <c r="E1088" s="1" t="s">
        <v>1859</v>
      </c>
      <c r="F1088" s="2">
        <v>20813</v>
      </c>
      <c r="G1088" s="2">
        <v>5408</v>
      </c>
      <c r="H1088" s="2">
        <v>1284</v>
      </c>
      <c r="I1088" s="5">
        <v>0.52430555555555558</v>
      </c>
      <c r="J1088" s="5">
        <v>0.57986111111111105</v>
      </c>
      <c r="K1088" s="32">
        <f>_xlfn.MAXIFS(ConsumoConcreto[Fim do Bombeamento],ConsumoConcreto[RecebimentoID],RecebimentoConcreto[[#This Row],[RecebimentoID]])</f>
        <v>0.59722222222222221</v>
      </c>
      <c r="L1088" s="1">
        <v>12</v>
      </c>
      <c r="M1088" s="37">
        <v>36892</v>
      </c>
      <c r="N1088" s="5" t="s">
        <v>1801</v>
      </c>
      <c r="O1088" s="9">
        <v>5.5</v>
      </c>
      <c r="P1088" s="5" t="s">
        <v>26</v>
      </c>
      <c r="Q1088" s="2">
        <v>8</v>
      </c>
      <c r="R1088" s="5" t="s">
        <v>27</v>
      </c>
      <c r="S1088" s="5" t="s">
        <v>32</v>
      </c>
      <c r="T1088" s="39">
        <v>475</v>
      </c>
    </row>
    <row r="1089" spans="1:20" ht="20.100000000000001" hidden="1" customHeight="1" x14ac:dyDescent="0.25">
      <c r="A1089" s="26" t="str">
        <f>CONCATENATE(RIGHT(LEFT(RecebimentoConcreto[[#This Row],[Obra]],5),4),"RCBC",TEXT(RecebimentoConcreto[[#This Row],[Ordem]],"0000"))</f>
        <v>0184RCBC1041</v>
      </c>
      <c r="B1089" s="1">
        <v>1041</v>
      </c>
      <c r="C1089" s="1" t="s">
        <v>21</v>
      </c>
      <c r="D1089" s="35">
        <v>44986</v>
      </c>
      <c r="E1089" s="1" t="s">
        <v>1708</v>
      </c>
      <c r="F1089" s="2">
        <v>20817</v>
      </c>
      <c r="G1089" s="2">
        <v>5408</v>
      </c>
      <c r="H1089" s="2">
        <v>1288</v>
      </c>
      <c r="I1089" s="5">
        <v>0.61458333333333337</v>
      </c>
      <c r="J1089" s="5">
        <v>0.63958333333333328</v>
      </c>
      <c r="K1089" s="32">
        <f>_xlfn.MAXIFS(ConsumoConcreto[Fim do Bombeamento],ConsumoConcreto[RecebimentoID],RecebimentoConcreto[[#This Row],[RecebimentoID]])</f>
        <v>0.65972222222222221</v>
      </c>
      <c r="L1089" s="1">
        <v>9</v>
      </c>
      <c r="M1089" s="37">
        <v>36892</v>
      </c>
      <c r="N1089" s="5" t="s">
        <v>1801</v>
      </c>
      <c r="O1089" s="9">
        <v>5.5</v>
      </c>
      <c r="P1089" s="5" t="s">
        <v>26</v>
      </c>
      <c r="Q1089" s="2">
        <v>8</v>
      </c>
      <c r="R1089" s="5" t="s">
        <v>27</v>
      </c>
      <c r="S1089" s="5" t="s">
        <v>32</v>
      </c>
      <c r="T1089" s="39">
        <v>475</v>
      </c>
    </row>
    <row r="1090" spans="1:20" ht="20.100000000000001" hidden="1" customHeight="1" x14ac:dyDescent="0.25">
      <c r="A1090" s="26" t="str">
        <f>CONCATENATE(RIGHT(LEFT(RecebimentoConcreto[[#This Row],[Obra]],5),4),"RCBC",TEXT(RecebimentoConcreto[[#This Row],[Ordem]],"0000"))</f>
        <v>0184RCBC1042</v>
      </c>
      <c r="B1090" s="1">
        <v>1042</v>
      </c>
      <c r="C1090" s="1" t="s">
        <v>21</v>
      </c>
      <c r="D1090" s="35">
        <v>44987</v>
      </c>
      <c r="E1090" s="1" t="s">
        <v>38</v>
      </c>
      <c r="F1090" s="2">
        <v>20830</v>
      </c>
      <c r="G1090" s="2">
        <v>5408</v>
      </c>
      <c r="H1090" s="2">
        <v>1303</v>
      </c>
      <c r="I1090" s="5">
        <v>0.34027777777777773</v>
      </c>
      <c r="J1090" s="5">
        <v>0.3611111111111111</v>
      </c>
      <c r="K1090" s="32">
        <f>_xlfn.MAXIFS(ConsumoConcreto[Fim do Bombeamento],ConsumoConcreto[RecebimentoID],RecebimentoConcreto[[#This Row],[RecebimentoID]])</f>
        <v>0.38541666666666669</v>
      </c>
      <c r="L1090" s="1">
        <v>12</v>
      </c>
      <c r="M1090" s="37">
        <v>36892</v>
      </c>
      <c r="N1090" s="5" t="s">
        <v>1801</v>
      </c>
      <c r="O1090" s="9">
        <v>5.5</v>
      </c>
      <c r="P1090" s="5" t="s">
        <v>26</v>
      </c>
      <c r="Q1090" s="2">
        <v>8</v>
      </c>
      <c r="R1090" s="5" t="s">
        <v>27</v>
      </c>
      <c r="S1090" s="5" t="s">
        <v>32</v>
      </c>
      <c r="T1090" s="39">
        <v>475</v>
      </c>
    </row>
    <row r="1091" spans="1:20" ht="20.100000000000001" hidden="1" customHeight="1" x14ac:dyDescent="0.25">
      <c r="A1091" s="26" t="str">
        <f>CONCATENATE(RIGHT(LEFT(RecebimentoConcreto[[#This Row],[Obra]],5),4),"RCBC",TEXT(RecebimentoConcreto[[#This Row],[Ordem]],"0000"))</f>
        <v>0184RCBC1043</v>
      </c>
      <c r="B1091" s="1">
        <v>1043</v>
      </c>
      <c r="C1091" s="1" t="s">
        <v>21</v>
      </c>
      <c r="D1091" s="35">
        <v>44987</v>
      </c>
      <c r="E1091" s="1" t="s">
        <v>37</v>
      </c>
      <c r="F1091" s="2">
        <v>20838</v>
      </c>
      <c r="G1091" s="2">
        <v>5408</v>
      </c>
      <c r="H1091" s="2">
        <v>1311</v>
      </c>
      <c r="I1091" s="5">
        <v>0.53125</v>
      </c>
      <c r="J1091" s="5">
        <v>0.56805555555555554</v>
      </c>
      <c r="K1091" s="32">
        <f>_xlfn.MAXIFS(ConsumoConcreto[Fim do Bombeamento],ConsumoConcreto[RecebimentoID],RecebimentoConcreto[[#This Row],[RecebimentoID]])</f>
        <v>0.60416666666666663</v>
      </c>
      <c r="L1091" s="1">
        <v>12.5</v>
      </c>
      <c r="M1091" s="37">
        <v>36892</v>
      </c>
      <c r="N1091" s="5" t="s">
        <v>1801</v>
      </c>
      <c r="O1091" s="9">
        <v>5.5</v>
      </c>
      <c r="P1091" s="5" t="s">
        <v>26</v>
      </c>
      <c r="Q1091" s="2">
        <v>8</v>
      </c>
      <c r="R1091" s="5" t="s">
        <v>27</v>
      </c>
      <c r="S1091" s="5" t="s">
        <v>32</v>
      </c>
      <c r="T1091" s="39">
        <v>475</v>
      </c>
    </row>
    <row r="1092" spans="1:20" ht="20.100000000000001" hidden="1" customHeight="1" x14ac:dyDescent="0.25">
      <c r="A1092" s="26" t="str">
        <f>CONCATENATE(RIGHT(LEFT(RecebimentoConcreto[[#This Row],[Obra]],5),4),"RCBC",TEXT(RecebimentoConcreto[[#This Row],[Ordem]],"0000"))</f>
        <v>0184RCBC1044</v>
      </c>
      <c r="B1092" s="1">
        <v>1044</v>
      </c>
      <c r="C1092" s="1" t="s">
        <v>21</v>
      </c>
      <c r="D1092" s="35">
        <v>44987</v>
      </c>
      <c r="E1092" s="1" t="s">
        <v>1859</v>
      </c>
      <c r="F1092" s="2">
        <v>20843</v>
      </c>
      <c r="G1092" s="2">
        <v>5408</v>
      </c>
      <c r="H1092" s="2">
        <v>1316</v>
      </c>
      <c r="I1092" s="5">
        <v>0.62152777777777779</v>
      </c>
      <c r="J1092" s="5">
        <v>0.64583333333333337</v>
      </c>
      <c r="K1092" s="32">
        <f>_xlfn.MAXIFS(ConsumoConcreto[Fim do Bombeamento],ConsumoConcreto[RecebimentoID],RecebimentoConcreto[[#This Row],[RecebimentoID]])</f>
        <v>0.66666666666666663</v>
      </c>
      <c r="L1092" s="1">
        <v>13</v>
      </c>
      <c r="M1092" s="37">
        <v>36892</v>
      </c>
      <c r="N1092" s="5" t="s">
        <v>1801</v>
      </c>
      <c r="O1092" s="9">
        <v>5.5</v>
      </c>
      <c r="P1092" s="5" t="s">
        <v>26</v>
      </c>
      <c r="Q1092" s="2">
        <v>8</v>
      </c>
      <c r="R1092" s="5" t="s">
        <v>27</v>
      </c>
      <c r="S1092" s="5" t="s">
        <v>32</v>
      </c>
      <c r="T1092" s="39">
        <v>475</v>
      </c>
    </row>
    <row r="1093" spans="1:20" ht="20.100000000000001" hidden="1" customHeight="1" x14ac:dyDescent="0.25">
      <c r="A1093" s="26" t="str">
        <f>CONCATENATE(RIGHT(LEFT(RecebimentoConcreto[[#This Row],[Obra]],5),4),"RCBC",TEXT(RecebimentoConcreto[[#This Row],[Ordem]],"0000"))</f>
        <v>0184RCBC1045</v>
      </c>
      <c r="B1093" s="1">
        <v>1045</v>
      </c>
      <c r="C1093" s="1" t="s">
        <v>21</v>
      </c>
      <c r="D1093" s="35">
        <v>44988</v>
      </c>
      <c r="E1093" s="1" t="s">
        <v>1861</v>
      </c>
      <c r="F1093" s="2">
        <v>20855</v>
      </c>
      <c r="G1093" s="2">
        <v>5408</v>
      </c>
      <c r="H1093" s="2">
        <v>1332</v>
      </c>
      <c r="I1093" s="5">
        <v>0.42638888888888887</v>
      </c>
      <c r="J1093" s="5">
        <v>0.47916666666666669</v>
      </c>
      <c r="K1093" s="32">
        <f>_xlfn.MAXIFS(ConsumoConcreto[Fim do Bombeamento],ConsumoConcreto[RecebimentoID],RecebimentoConcreto[[#This Row],[RecebimentoID]])</f>
        <v>0.49305555555555558</v>
      </c>
      <c r="L1093" s="1">
        <v>12</v>
      </c>
      <c r="M1093" s="37">
        <v>36892</v>
      </c>
      <c r="N1093" s="5" t="s">
        <v>1801</v>
      </c>
      <c r="O1093" s="9">
        <v>5.5</v>
      </c>
      <c r="P1093" s="5" t="s">
        <v>26</v>
      </c>
      <c r="Q1093" s="2">
        <v>8</v>
      </c>
      <c r="R1093" s="5" t="s">
        <v>27</v>
      </c>
      <c r="S1093" s="5" t="s">
        <v>32</v>
      </c>
      <c r="T1093" s="39">
        <v>475</v>
      </c>
    </row>
    <row r="1094" spans="1:20" ht="20.100000000000001" hidden="1" customHeight="1" x14ac:dyDescent="0.25">
      <c r="A1094" s="26" t="str">
        <f>CONCATENATE(RIGHT(LEFT(RecebimentoConcreto[[#This Row],[Obra]],5),4),"RCBC",TEXT(RecebimentoConcreto[[#This Row],[Ordem]],"0000"))</f>
        <v>0184RCBC1046</v>
      </c>
      <c r="B1094" s="1">
        <v>1046</v>
      </c>
      <c r="C1094" s="1" t="s">
        <v>21</v>
      </c>
      <c r="D1094" s="35">
        <v>44993</v>
      </c>
      <c r="E1094" s="1" t="s">
        <v>1861</v>
      </c>
      <c r="F1094" s="2">
        <v>20024</v>
      </c>
      <c r="G1094" s="2">
        <v>5408</v>
      </c>
      <c r="H1094" s="2">
        <v>1403</v>
      </c>
      <c r="I1094" s="5">
        <v>0.4375</v>
      </c>
      <c r="J1094" s="5">
        <v>0.43055555555555558</v>
      </c>
      <c r="K1094" s="32">
        <f>_xlfn.MAXIFS(ConsumoConcreto[Fim do Bombeamento],ConsumoConcreto[RecebimentoID],RecebimentoConcreto[[#This Row],[RecebimentoID]])</f>
        <v>0.4861111111111111</v>
      </c>
      <c r="L1094" s="1">
        <v>12</v>
      </c>
      <c r="M1094" s="37">
        <v>36892</v>
      </c>
      <c r="N1094" s="5" t="s">
        <v>1801</v>
      </c>
      <c r="O1094" s="9">
        <v>5.5</v>
      </c>
      <c r="P1094" s="5" t="s">
        <v>26</v>
      </c>
      <c r="Q1094" s="2">
        <v>9</v>
      </c>
      <c r="R1094" s="5" t="s">
        <v>27</v>
      </c>
      <c r="S1094" s="5" t="s">
        <v>32</v>
      </c>
      <c r="T1094" s="39">
        <v>470</v>
      </c>
    </row>
    <row r="1095" spans="1:20" ht="20.100000000000001" hidden="1" customHeight="1" x14ac:dyDescent="0.25">
      <c r="A1095" s="26" t="str">
        <f>CONCATENATE(RIGHT(LEFT(RecebimentoConcreto[[#This Row],[Obra]],5),4),"RCBC",TEXT(RecebimentoConcreto[[#This Row],[Ordem]],"0000"))</f>
        <v>0184RCBC1047</v>
      </c>
      <c r="B1095" s="1">
        <v>1047</v>
      </c>
      <c r="C1095" s="1" t="s">
        <v>21</v>
      </c>
      <c r="D1095" s="35">
        <v>44993</v>
      </c>
      <c r="E1095" s="1" t="s">
        <v>1861</v>
      </c>
      <c r="F1095" s="2">
        <v>20028</v>
      </c>
      <c r="G1095" s="2">
        <v>5408</v>
      </c>
      <c r="H1095" s="2">
        <v>1411</v>
      </c>
      <c r="I1095" s="5">
        <v>0.59375</v>
      </c>
      <c r="J1095" s="5">
        <v>0.61041666666666672</v>
      </c>
      <c r="K1095" s="32">
        <f>_xlfn.MAXIFS(ConsumoConcreto[Fim do Bombeamento],ConsumoConcreto[RecebimentoID],RecebimentoConcreto[[#This Row],[RecebimentoID]])</f>
        <v>0.63194444444444442</v>
      </c>
      <c r="L1095" s="1">
        <v>12.5</v>
      </c>
      <c r="M1095" s="37">
        <v>36892</v>
      </c>
      <c r="N1095" s="5" t="s">
        <v>1801</v>
      </c>
      <c r="O1095" s="9">
        <v>5.5</v>
      </c>
      <c r="P1095" s="5" t="s">
        <v>26</v>
      </c>
      <c r="Q1095" s="2">
        <v>9</v>
      </c>
      <c r="R1095" s="5" t="s">
        <v>27</v>
      </c>
      <c r="S1095" s="5" t="s">
        <v>32</v>
      </c>
      <c r="T1095" s="39">
        <v>470</v>
      </c>
    </row>
    <row r="1096" spans="1:20" ht="20.100000000000001" hidden="1" customHeight="1" x14ac:dyDescent="0.25">
      <c r="A1096" s="26" t="str">
        <f>CONCATENATE(RIGHT(LEFT(RecebimentoConcreto[[#This Row],[Obra]],5),4),"RCBC",TEXT(RecebimentoConcreto[[#This Row],[Ordem]],"0000"))</f>
        <v>0184RCBC1048</v>
      </c>
      <c r="B1096" s="1">
        <v>1048</v>
      </c>
      <c r="C1096" s="1" t="s">
        <v>21</v>
      </c>
      <c r="D1096" s="35">
        <v>44993</v>
      </c>
      <c r="E1096" s="1" t="s">
        <v>207</v>
      </c>
      <c r="F1096" s="2">
        <v>20033</v>
      </c>
      <c r="G1096" s="2">
        <v>5408</v>
      </c>
      <c r="H1096" s="2">
        <v>1413</v>
      </c>
      <c r="I1096" s="5">
        <v>0.61111111111111105</v>
      </c>
      <c r="J1096" s="5">
        <v>0.67013888888888884</v>
      </c>
      <c r="K1096" s="32">
        <f>_xlfn.MAXIFS(ConsumoConcreto[Fim do Bombeamento],ConsumoConcreto[RecebimentoID],RecebimentoConcreto[[#This Row],[RecebimentoID]])</f>
        <v>0.69097222222222221</v>
      </c>
      <c r="L1096" s="1">
        <v>12</v>
      </c>
      <c r="M1096" s="37">
        <v>36892</v>
      </c>
      <c r="N1096" s="5" t="s">
        <v>1801</v>
      </c>
      <c r="O1096" s="9">
        <v>5.5</v>
      </c>
      <c r="P1096" s="5" t="s">
        <v>26</v>
      </c>
      <c r="Q1096" s="2">
        <v>9</v>
      </c>
      <c r="R1096" s="5" t="s">
        <v>27</v>
      </c>
      <c r="S1096" s="5" t="s">
        <v>32</v>
      </c>
      <c r="T1096" s="39">
        <v>470</v>
      </c>
    </row>
    <row r="1097" spans="1:20" ht="20.100000000000001" hidden="1" customHeight="1" x14ac:dyDescent="0.25">
      <c r="A1097" s="26" t="str">
        <f>CONCATENATE(RIGHT(LEFT(RecebimentoConcreto[[#This Row],[Obra]],5),4),"RCBC",TEXT(RecebimentoConcreto[[#This Row],[Ordem]],"0000"))</f>
        <v>0184RCBC1049</v>
      </c>
      <c r="B1097" s="1">
        <v>1049</v>
      </c>
      <c r="C1097" s="1" t="s">
        <v>21</v>
      </c>
      <c r="D1097" s="35">
        <v>45000</v>
      </c>
      <c r="E1097" s="1" t="s">
        <v>1859</v>
      </c>
      <c r="F1097" s="2">
        <v>11267</v>
      </c>
      <c r="G1097" s="2">
        <v>5408</v>
      </c>
      <c r="H1097" s="2">
        <v>1546</v>
      </c>
      <c r="I1097" s="5">
        <v>0.41319444444444442</v>
      </c>
      <c r="J1097" s="5">
        <v>0.43194444444444446</v>
      </c>
      <c r="K1097" s="32">
        <f>_xlfn.MAXIFS(ConsumoConcreto[Fim do Bombeamento],ConsumoConcreto[RecebimentoID],RecebimentoConcreto[[#This Row],[RecebimentoID]])</f>
        <v>0.43472222222222223</v>
      </c>
      <c r="L1097" s="1">
        <v>12</v>
      </c>
      <c r="M1097" s="37">
        <v>36892</v>
      </c>
      <c r="N1097" s="5" t="s">
        <v>1801</v>
      </c>
      <c r="O1097" s="9">
        <v>5.5</v>
      </c>
      <c r="P1097" s="5" t="s">
        <v>26</v>
      </c>
      <c r="Q1097" s="2">
        <v>9</v>
      </c>
      <c r="R1097" s="5" t="s">
        <v>27</v>
      </c>
      <c r="S1097" s="5" t="s">
        <v>32</v>
      </c>
      <c r="T1097" s="39">
        <v>470</v>
      </c>
    </row>
    <row r="1098" spans="1:20" ht="20.100000000000001" hidden="1" customHeight="1" x14ac:dyDescent="0.25">
      <c r="A1098" s="26" t="str">
        <f>CONCATENATE(RIGHT(LEFT(RecebimentoConcreto[[#This Row],[Obra]],5),4),"RCBC",TEXT(RecebimentoConcreto[[#This Row],[Ordem]],"0000"))</f>
        <v>0184RCBC1053</v>
      </c>
      <c r="B1098" s="1">
        <v>1053</v>
      </c>
      <c r="C1098" s="1" t="s">
        <v>21</v>
      </c>
      <c r="D1098" s="35">
        <v>45009</v>
      </c>
      <c r="E1098" s="1" t="s">
        <v>1859</v>
      </c>
      <c r="F1098" s="2">
        <v>18637</v>
      </c>
      <c r="G1098" s="2">
        <v>5408</v>
      </c>
      <c r="H1098" s="2">
        <v>1759</v>
      </c>
      <c r="I1098" s="5">
        <v>0.55555555555555558</v>
      </c>
      <c r="J1098" s="5">
        <v>0.58333333333333337</v>
      </c>
      <c r="K1098" s="32">
        <f>_xlfn.MAXIFS(ConsumoConcreto[Fim do Bombeamento],ConsumoConcreto[RecebimentoID],RecebimentoConcreto[[#This Row],[RecebimentoID]])</f>
        <v>0.61111111111111105</v>
      </c>
      <c r="L1098" s="1">
        <v>12</v>
      </c>
      <c r="M1098" s="37">
        <v>36892</v>
      </c>
      <c r="N1098" s="5" t="s">
        <v>1801</v>
      </c>
      <c r="O1098" s="9">
        <v>5.5</v>
      </c>
      <c r="P1098" s="5" t="s">
        <v>26</v>
      </c>
      <c r="Q1098" s="2">
        <v>9</v>
      </c>
      <c r="R1098" s="5" t="s">
        <v>27</v>
      </c>
      <c r="S1098" s="5" t="s">
        <v>32</v>
      </c>
      <c r="T1098" s="39">
        <v>470</v>
      </c>
    </row>
    <row r="1099" spans="1:20" ht="20.100000000000001" hidden="1" customHeight="1" x14ac:dyDescent="0.25">
      <c r="A1099" s="26" t="str">
        <f>CONCATENATE(RIGHT(LEFT(RecebimentoConcreto[[#This Row],[Obra]],5),4),"RCBC",TEXT(RecebimentoConcreto[[#This Row],[Ordem]],"0000"))</f>
        <v>0184RCBC1066</v>
      </c>
      <c r="B1099" s="1">
        <v>1066</v>
      </c>
      <c r="C1099" s="1" t="s">
        <v>21</v>
      </c>
      <c r="D1099" s="35">
        <v>45020</v>
      </c>
      <c r="E1099" s="1" t="s">
        <v>1902</v>
      </c>
      <c r="F1099" s="2">
        <v>49320</v>
      </c>
      <c r="H1099" s="2">
        <v>60494</v>
      </c>
      <c r="I1099" s="5">
        <v>0.35833333333333334</v>
      </c>
      <c r="J1099" s="5">
        <v>0.43541666666666662</v>
      </c>
      <c r="K1099" s="32">
        <f>_xlfn.MAXIFS(ConsumoConcreto[Fim do Bombeamento],ConsumoConcreto[RecebimentoID],RecebimentoConcreto[[#This Row],[RecebimentoID]])</f>
        <v>0.44444444444444442</v>
      </c>
      <c r="L1099" s="1">
        <v>10</v>
      </c>
      <c r="M1099" s="37">
        <v>36892</v>
      </c>
      <c r="N1099" s="5" t="s">
        <v>1801</v>
      </c>
      <c r="O1099" s="9">
        <v>5.5</v>
      </c>
      <c r="P1099" s="5" t="s">
        <v>26</v>
      </c>
      <c r="Q1099" s="2"/>
      <c r="R1099" s="5" t="s">
        <v>27</v>
      </c>
      <c r="S1099" s="5" t="s">
        <v>500</v>
      </c>
      <c r="T1099" s="39">
        <v>470</v>
      </c>
    </row>
    <row r="1100" spans="1:20" ht="20.100000000000001" hidden="1" customHeight="1" x14ac:dyDescent="0.25">
      <c r="A1100" s="26" t="str">
        <f>CONCATENATE(RIGHT(LEFT(RecebimentoConcreto[[#This Row],[Obra]],5),4),"RCBC",TEXT(RecebimentoConcreto[[#This Row],[Ordem]],"0000"))</f>
        <v>0184RCBC1067</v>
      </c>
      <c r="B1100" s="1">
        <v>1067</v>
      </c>
      <c r="C1100" s="1" t="s">
        <v>21</v>
      </c>
      <c r="D1100" s="35">
        <v>45020</v>
      </c>
      <c r="E1100" s="1" t="s">
        <v>1903</v>
      </c>
      <c r="F1100" s="2" t="s">
        <v>1936</v>
      </c>
      <c r="H1100" s="2" t="s">
        <v>1937</v>
      </c>
      <c r="I1100" s="5" t="s">
        <v>1938</v>
      </c>
      <c r="J1100" s="5">
        <v>0.43541666666666662</v>
      </c>
      <c r="K1100" s="32">
        <f>_xlfn.MAXIFS(ConsumoConcreto[Fim do Bombeamento],ConsumoConcreto[RecebimentoID],RecebimentoConcreto[[#This Row],[RecebimentoID]])</f>
        <v>0.49236111111111108</v>
      </c>
      <c r="L1100" s="1" t="s">
        <v>1939</v>
      </c>
      <c r="M1100" s="37">
        <v>36892</v>
      </c>
      <c r="N1100" s="5" t="s">
        <v>1801</v>
      </c>
      <c r="O1100" s="9">
        <v>5.5</v>
      </c>
      <c r="P1100" s="5" t="s">
        <v>26</v>
      </c>
      <c r="Q1100" s="2"/>
      <c r="R1100" s="5" t="s">
        <v>27</v>
      </c>
      <c r="S1100" s="5" t="s">
        <v>500</v>
      </c>
      <c r="T1100" s="39">
        <v>470</v>
      </c>
    </row>
    <row r="1101" spans="1:20" ht="20.100000000000001" hidden="1" customHeight="1" x14ac:dyDescent="0.25">
      <c r="A1101" s="26" t="str">
        <f>CONCATENATE(RIGHT(LEFT(RecebimentoConcreto[[#This Row],[Obra]],5),4),"RCBC",TEXT(RecebimentoConcreto[[#This Row],[Ordem]],"0000"))</f>
        <v>0184RCBC1068</v>
      </c>
      <c r="B1101" s="1">
        <v>1068</v>
      </c>
      <c r="C1101" s="1" t="s">
        <v>21</v>
      </c>
      <c r="D1101" s="35">
        <v>45020</v>
      </c>
      <c r="E1101" s="1" t="s">
        <v>1908</v>
      </c>
      <c r="F1101" s="2">
        <v>49321</v>
      </c>
      <c r="H1101" s="2">
        <v>60496</v>
      </c>
      <c r="I1101" s="5">
        <v>0.37777777777777777</v>
      </c>
      <c r="J1101" s="5">
        <v>0.41666666666666669</v>
      </c>
      <c r="K1101" s="32">
        <f>_xlfn.MAXIFS(ConsumoConcreto[Fim do Bombeamento],ConsumoConcreto[RecebimentoID],RecebimentoConcreto[[#This Row],[RecebimentoID]])</f>
        <v>0.49236111111111108</v>
      </c>
      <c r="L1101" s="1">
        <v>10.5</v>
      </c>
      <c r="M1101" s="37">
        <v>36892</v>
      </c>
      <c r="N1101" s="5" t="s">
        <v>1801</v>
      </c>
      <c r="O1101" s="9">
        <v>5.5</v>
      </c>
      <c r="P1101" s="5" t="s">
        <v>26</v>
      </c>
      <c r="Q1101" s="2"/>
      <c r="R1101" s="5" t="s">
        <v>27</v>
      </c>
      <c r="S1101" s="5" t="s">
        <v>500</v>
      </c>
      <c r="T1101" s="39">
        <v>470</v>
      </c>
    </row>
    <row r="1102" spans="1:20" ht="20.100000000000001" hidden="1" customHeight="1" x14ac:dyDescent="0.25">
      <c r="A1102" s="26" t="str">
        <f>CONCATENATE(RIGHT(LEFT(RecebimentoConcreto[[#This Row],[Obra]],5),4),"RCBC",TEXT(RecebimentoConcreto[[#This Row],[Ordem]],"0000"))</f>
        <v>0184RCBC1069</v>
      </c>
      <c r="B1102" s="1">
        <v>1069</v>
      </c>
      <c r="C1102" s="1" t="s">
        <v>21</v>
      </c>
      <c r="D1102" s="35">
        <v>45020</v>
      </c>
      <c r="E1102" s="1" t="s">
        <v>1940</v>
      </c>
      <c r="F1102" s="2" t="s">
        <v>1941</v>
      </c>
      <c r="H1102" s="2" t="s">
        <v>1942</v>
      </c>
      <c r="I1102" s="5" t="s">
        <v>1943</v>
      </c>
      <c r="J1102" s="5">
        <v>0.43402777777777773</v>
      </c>
      <c r="K1102" s="32">
        <f>_xlfn.MAXIFS(ConsumoConcreto[Fim do Bombeamento],ConsumoConcreto[RecebimentoID],RecebimentoConcreto[[#This Row],[RecebimentoID]])</f>
        <v>0.53402777777777777</v>
      </c>
      <c r="L1102" s="1" t="s">
        <v>1944</v>
      </c>
      <c r="M1102" s="37">
        <v>36892</v>
      </c>
      <c r="N1102" s="5" t="s">
        <v>1801</v>
      </c>
      <c r="O1102" s="9">
        <v>5.5</v>
      </c>
      <c r="P1102" s="5" t="s">
        <v>26</v>
      </c>
      <c r="Q1102" s="2"/>
      <c r="R1102" s="5" t="s">
        <v>27</v>
      </c>
      <c r="S1102" s="5" t="s">
        <v>500</v>
      </c>
      <c r="T1102" s="39">
        <v>470</v>
      </c>
    </row>
    <row r="1103" spans="1:20" ht="20.100000000000001" hidden="1" customHeight="1" x14ac:dyDescent="0.25">
      <c r="A1103" s="26" t="str">
        <f>CONCATENATE(RIGHT(LEFT(RecebimentoConcreto[[#This Row],[Obra]],5),4),"RCBC",TEXT(RecebimentoConcreto[[#This Row],[Ordem]],"0000"))</f>
        <v>0184RCBC1070</v>
      </c>
      <c r="B1103" s="1">
        <v>1070</v>
      </c>
      <c r="C1103" s="1" t="s">
        <v>21</v>
      </c>
      <c r="D1103" s="35">
        <v>45020</v>
      </c>
      <c r="E1103" s="1" t="s">
        <v>1931</v>
      </c>
      <c r="F1103" s="2">
        <v>49331</v>
      </c>
      <c r="H1103" s="2">
        <v>60498</v>
      </c>
      <c r="I1103" s="5">
        <v>0.39583333333333331</v>
      </c>
      <c r="J1103" s="5">
        <v>0.50555555555555554</v>
      </c>
      <c r="K1103" s="32">
        <f>_xlfn.MAXIFS(ConsumoConcreto[Fim do Bombeamento],ConsumoConcreto[RecebimentoID],RecebimentoConcreto[[#This Row],[RecebimentoID]])</f>
        <v>0.53402777777777777</v>
      </c>
      <c r="L1103" s="1">
        <v>12</v>
      </c>
      <c r="M1103" s="37">
        <v>36892</v>
      </c>
      <c r="N1103" s="5" t="s">
        <v>1801</v>
      </c>
      <c r="O1103" s="9">
        <v>7</v>
      </c>
      <c r="P1103" s="5" t="s">
        <v>26</v>
      </c>
      <c r="Q1103" s="2"/>
      <c r="R1103" s="5" t="s">
        <v>27</v>
      </c>
      <c r="S1103" s="5" t="s">
        <v>500</v>
      </c>
      <c r="T1103" s="39">
        <v>470</v>
      </c>
    </row>
    <row r="1104" spans="1:20" ht="20.100000000000001" hidden="1" customHeight="1" x14ac:dyDescent="0.25">
      <c r="A1104" s="26" t="str">
        <f>CONCATENATE(RIGHT(LEFT(RecebimentoConcreto[[#This Row],[Obra]],5),4),"RCBC",TEXT(RecebimentoConcreto[[#This Row],[Ordem]],"0000"))</f>
        <v>0184RCBC1071</v>
      </c>
      <c r="B1104" s="1">
        <v>1071</v>
      </c>
      <c r="C1104" s="1" t="s">
        <v>21</v>
      </c>
      <c r="D1104" s="35">
        <v>45020</v>
      </c>
      <c r="E1104" s="1" t="s">
        <v>1945</v>
      </c>
      <c r="F1104" s="2" t="s">
        <v>1946</v>
      </c>
      <c r="H1104" s="2" t="s">
        <v>1947</v>
      </c>
      <c r="I1104" s="5" t="s">
        <v>1948</v>
      </c>
      <c r="J1104" s="5">
        <v>0.50555555555555554</v>
      </c>
      <c r="K1104" s="32">
        <f>_xlfn.MAXIFS(ConsumoConcreto[Fim do Bombeamento],ConsumoConcreto[RecebimentoID],RecebimentoConcreto[[#This Row],[RecebimentoID]])</f>
        <v>0.56944444444444442</v>
      </c>
      <c r="L1104" s="1" t="s">
        <v>1949</v>
      </c>
      <c r="M1104" s="37">
        <v>36892</v>
      </c>
      <c r="N1104" s="5" t="s">
        <v>1801</v>
      </c>
      <c r="O1104" s="9">
        <v>7</v>
      </c>
      <c r="P1104" s="5" t="s">
        <v>26</v>
      </c>
      <c r="Q1104" s="2"/>
      <c r="R1104" s="5" t="s">
        <v>27</v>
      </c>
      <c r="S1104" s="5" t="s">
        <v>500</v>
      </c>
      <c r="T1104" s="39">
        <v>470</v>
      </c>
    </row>
    <row r="1105" spans="1:20" ht="20.100000000000001" hidden="1" customHeight="1" x14ac:dyDescent="0.25">
      <c r="A1105" s="26" t="str">
        <f>CONCATENATE(RIGHT(LEFT(RecebimentoConcreto[[#This Row],[Obra]],5),4),"RCBC",TEXT(RecebimentoConcreto[[#This Row],[Ordem]],"0000"))</f>
        <v>0184RCBC1094</v>
      </c>
      <c r="B1105" s="1">
        <v>1094</v>
      </c>
      <c r="C1105" s="1" t="s">
        <v>21</v>
      </c>
      <c r="D1105" s="35">
        <v>45044</v>
      </c>
      <c r="E1105" s="1" t="s">
        <v>1935</v>
      </c>
      <c r="F1105" s="2">
        <v>61219</v>
      </c>
      <c r="G1105" s="2">
        <v>5743</v>
      </c>
      <c r="H1105" s="2">
        <v>60964</v>
      </c>
      <c r="I1105" s="5">
        <v>0.63680555555555551</v>
      </c>
      <c r="J1105" s="5">
        <v>0.70833333333333337</v>
      </c>
      <c r="K1105" s="32">
        <f>_xlfn.MAXIFS(ConsumoConcreto[Fim do Bombeamento],ConsumoConcreto[RecebimentoID],RecebimentoConcreto[[#This Row],[RecebimentoID]])</f>
        <v>0.71527777777777779</v>
      </c>
      <c r="L1105" s="1">
        <v>13</v>
      </c>
      <c r="M1105" s="37">
        <v>36892</v>
      </c>
      <c r="N1105" s="5" t="s">
        <v>1801</v>
      </c>
      <c r="O1105" s="9">
        <v>7</v>
      </c>
      <c r="P1105" s="5" t="s">
        <v>26</v>
      </c>
      <c r="Q1105" s="2"/>
      <c r="R1105" s="5" t="s">
        <v>27</v>
      </c>
      <c r="S1105" s="5" t="s">
        <v>500</v>
      </c>
      <c r="T1105" s="39">
        <v>520</v>
      </c>
    </row>
    <row r="1106" spans="1:20" ht="20.100000000000001" hidden="1" customHeight="1" x14ac:dyDescent="0.25">
      <c r="A1106" s="26" t="str">
        <f>CONCATENATE(RIGHT(LEFT(RecebimentoConcreto[[#This Row],[Obra]],5),4),"RCBC",TEXT(RecebimentoConcreto[[#This Row],[Ordem]],"0000"))</f>
        <v>0184RCBC1105</v>
      </c>
      <c r="B1106" s="1">
        <v>1105</v>
      </c>
      <c r="C1106" s="1" t="s">
        <v>21</v>
      </c>
      <c r="D1106" s="35"/>
      <c r="K1106" s="32">
        <f>_xlfn.MAXIFS(ConsumoConcreto[Fim do Bombeamento],ConsumoConcreto[RecebimentoID],RecebimentoConcreto[[#This Row],[RecebimentoID]])</f>
        <v>0</v>
      </c>
      <c r="M1106" s="37">
        <v>36892</v>
      </c>
      <c r="N1106" s="5"/>
      <c r="O1106" s="9"/>
      <c r="P1106" s="5" t="s">
        <v>26</v>
      </c>
      <c r="Q1106" s="2"/>
      <c r="R1106" s="5" t="s">
        <v>27</v>
      </c>
      <c r="S1106" s="5"/>
    </row>
    <row r="1107" spans="1:20" ht="20.100000000000001" hidden="1" customHeight="1" x14ac:dyDescent="0.25">
      <c r="A1107" s="26" t="str">
        <f>CONCATENATE(RIGHT(LEFT(RecebimentoConcreto[[#This Row],[Obra]],5),4),"RCBC",TEXT(RecebimentoConcreto[[#This Row],[Ordem]],"0000"))</f>
        <v>0184RCBC1106</v>
      </c>
      <c r="B1107" s="1">
        <v>1106</v>
      </c>
      <c r="C1107" s="1" t="s">
        <v>21</v>
      </c>
      <c r="D1107" s="35"/>
      <c r="K1107" s="32">
        <f>_xlfn.MAXIFS(ConsumoConcreto[Fim do Bombeamento],ConsumoConcreto[RecebimentoID],RecebimentoConcreto[[#This Row],[RecebimentoID]])</f>
        <v>0</v>
      </c>
      <c r="M1107" s="37">
        <v>36892</v>
      </c>
      <c r="N1107" s="5"/>
      <c r="O1107" s="9"/>
      <c r="P1107" s="5" t="s">
        <v>26</v>
      </c>
      <c r="Q1107" s="2"/>
      <c r="R1107" s="5" t="s">
        <v>27</v>
      </c>
      <c r="S1107" s="5"/>
    </row>
    <row r="1108" spans="1:20" ht="20.100000000000001" hidden="1" customHeight="1" x14ac:dyDescent="0.25">
      <c r="A1108" s="26" t="str">
        <f>CONCATENATE(RIGHT(LEFT(RecebimentoConcreto[[#This Row],[Obra]],5),4),"RCBC",TEXT(RecebimentoConcreto[[#This Row],[Ordem]],"0000"))</f>
        <v>0184RCBC1107</v>
      </c>
      <c r="B1108" s="1">
        <v>1107</v>
      </c>
      <c r="C1108" s="1" t="s">
        <v>21</v>
      </c>
      <c r="D1108" s="35"/>
      <c r="K1108" s="32">
        <f>_xlfn.MAXIFS(ConsumoConcreto[Fim do Bombeamento],ConsumoConcreto[RecebimentoID],RecebimentoConcreto[[#This Row],[RecebimentoID]])</f>
        <v>0</v>
      </c>
      <c r="M1108" s="37">
        <v>36892</v>
      </c>
      <c r="N1108" s="5"/>
      <c r="O1108" s="9"/>
      <c r="P1108" s="5" t="s">
        <v>26</v>
      </c>
      <c r="Q1108" s="2"/>
      <c r="R1108" s="5" t="s">
        <v>27</v>
      </c>
      <c r="S1108" s="5"/>
    </row>
    <row r="1109" spans="1:20" ht="20.100000000000001" hidden="1" customHeight="1" x14ac:dyDescent="0.25">
      <c r="A1109" s="26" t="str">
        <f>CONCATENATE(RIGHT(LEFT(RecebimentoConcreto[[#This Row],[Obra]],5),4),"RCBC",TEXT(RecebimentoConcreto[[#This Row],[Ordem]],"0000"))</f>
        <v>0184RCBC1108</v>
      </c>
      <c r="B1109" s="1">
        <v>1108</v>
      </c>
      <c r="C1109" s="1" t="s">
        <v>21</v>
      </c>
      <c r="D1109" s="35"/>
      <c r="K1109" s="32">
        <f>_xlfn.MAXIFS(ConsumoConcreto[Fim do Bombeamento],ConsumoConcreto[RecebimentoID],RecebimentoConcreto[[#This Row],[RecebimentoID]])</f>
        <v>0</v>
      </c>
      <c r="M1109" s="37">
        <v>36892</v>
      </c>
      <c r="N1109" s="5"/>
      <c r="O1109" s="9"/>
      <c r="P1109" s="5" t="s">
        <v>26</v>
      </c>
      <c r="Q1109" s="2"/>
      <c r="R1109" s="5" t="s">
        <v>27</v>
      </c>
      <c r="S1109" s="5"/>
    </row>
    <row r="1110" spans="1:20" ht="20.100000000000001" hidden="1" customHeight="1" x14ac:dyDescent="0.25">
      <c r="A1110" s="26" t="str">
        <f>CONCATENATE(RIGHT(LEFT(RecebimentoConcreto[[#This Row],[Obra]],5),4),"RCBC",TEXT(RecebimentoConcreto[[#This Row],[Ordem]],"0000"))</f>
        <v>0184RCBC1109</v>
      </c>
      <c r="B1110" s="1">
        <v>1109</v>
      </c>
      <c r="C1110" s="1" t="s">
        <v>21</v>
      </c>
      <c r="D1110" s="35"/>
      <c r="K1110" s="32">
        <f>_xlfn.MAXIFS(ConsumoConcreto[Fim do Bombeamento],ConsumoConcreto[RecebimentoID],RecebimentoConcreto[[#This Row],[RecebimentoID]])</f>
        <v>0</v>
      </c>
      <c r="M1110" s="37">
        <v>36892</v>
      </c>
      <c r="N1110" s="5"/>
      <c r="O1110" s="9"/>
      <c r="P1110" s="5" t="s">
        <v>26</v>
      </c>
      <c r="Q1110" s="2"/>
      <c r="R1110" s="5" t="s">
        <v>27</v>
      </c>
      <c r="S1110" s="5"/>
    </row>
    <row r="1111" spans="1:20" ht="20.100000000000001" hidden="1" customHeight="1" x14ac:dyDescent="0.25">
      <c r="A1111" s="26" t="str">
        <f>CONCATENATE(RIGHT(LEFT(RecebimentoConcreto[[#This Row],[Obra]],5),4),"RCBC",TEXT(RecebimentoConcreto[[#This Row],[Ordem]],"0000"))</f>
        <v>0184RCBC1110</v>
      </c>
      <c r="B1111" s="1">
        <v>1110</v>
      </c>
      <c r="C1111" s="1" t="s">
        <v>21</v>
      </c>
      <c r="D1111" s="35"/>
      <c r="K1111" s="32">
        <f>_xlfn.MAXIFS(ConsumoConcreto[Fim do Bombeamento],ConsumoConcreto[RecebimentoID],RecebimentoConcreto[[#This Row],[RecebimentoID]])</f>
        <v>0</v>
      </c>
      <c r="M1111" s="37">
        <v>36892</v>
      </c>
      <c r="N1111" s="5"/>
      <c r="O1111" s="9"/>
      <c r="P1111" s="5" t="s">
        <v>26</v>
      </c>
      <c r="Q1111" s="2"/>
      <c r="R1111" s="5" t="s">
        <v>27</v>
      </c>
      <c r="S1111" s="5"/>
    </row>
    <row r="1112" spans="1:20" ht="20.100000000000001" hidden="1" customHeight="1" x14ac:dyDescent="0.25">
      <c r="A1112" s="26" t="str">
        <f>CONCATENATE(RIGHT(LEFT(RecebimentoConcreto[[#This Row],[Obra]],5),4),"RCBC",TEXT(RecebimentoConcreto[[#This Row],[Ordem]],"0000"))</f>
        <v>0184RCBC1111</v>
      </c>
      <c r="B1112" s="1">
        <v>1111</v>
      </c>
      <c r="C1112" s="1" t="s">
        <v>21</v>
      </c>
      <c r="D1112" s="35"/>
      <c r="K1112" s="32">
        <f>_xlfn.MAXIFS(ConsumoConcreto[Fim do Bombeamento],ConsumoConcreto[RecebimentoID],RecebimentoConcreto[[#This Row],[RecebimentoID]])</f>
        <v>0</v>
      </c>
      <c r="M1112" s="37">
        <v>36892</v>
      </c>
      <c r="N1112" s="5"/>
      <c r="O1112" s="9"/>
      <c r="P1112" s="5" t="s">
        <v>26</v>
      </c>
      <c r="Q1112" s="2"/>
      <c r="R1112" s="5" t="s">
        <v>27</v>
      </c>
      <c r="S1112" s="5"/>
    </row>
    <row r="1113" spans="1:20" ht="20.100000000000001" hidden="1" customHeight="1" x14ac:dyDescent="0.25">
      <c r="A1113" s="26" t="str">
        <f>CONCATENATE(RIGHT(LEFT(RecebimentoConcreto[[#This Row],[Obra]],5),4),"RCBC",TEXT(RecebimentoConcreto[[#This Row],[Ordem]],"0000"))</f>
        <v>0184RCBC1112</v>
      </c>
      <c r="B1113" s="1">
        <v>1112</v>
      </c>
      <c r="C1113" s="1" t="s">
        <v>21</v>
      </c>
      <c r="D1113" s="35"/>
      <c r="K1113" s="32">
        <f>_xlfn.MAXIFS(ConsumoConcreto[Fim do Bombeamento],ConsumoConcreto[RecebimentoID],RecebimentoConcreto[[#This Row],[RecebimentoID]])</f>
        <v>0</v>
      </c>
      <c r="M1113" s="37">
        <v>36892</v>
      </c>
      <c r="N1113" s="5"/>
      <c r="O1113" s="9"/>
      <c r="P1113" s="5" t="s">
        <v>26</v>
      </c>
      <c r="Q1113" s="2"/>
      <c r="R1113" s="5" t="s">
        <v>27</v>
      </c>
      <c r="S1113" s="5"/>
    </row>
    <row r="1114" spans="1:20" ht="20.100000000000001" hidden="1" customHeight="1" x14ac:dyDescent="0.25">
      <c r="A1114" s="26" t="str">
        <f>CONCATENATE(RIGHT(LEFT(RecebimentoConcreto[[#This Row],[Obra]],5),4),"RCBC",TEXT(RecebimentoConcreto[[#This Row],[Ordem]],"0000"))</f>
        <v>0184RCBC1113</v>
      </c>
      <c r="B1114" s="1">
        <v>1113</v>
      </c>
      <c r="C1114" s="1" t="s">
        <v>21</v>
      </c>
      <c r="D1114" s="35"/>
      <c r="K1114" s="32">
        <f>_xlfn.MAXIFS(ConsumoConcreto[Fim do Bombeamento],ConsumoConcreto[RecebimentoID],RecebimentoConcreto[[#This Row],[RecebimentoID]])</f>
        <v>0</v>
      </c>
      <c r="M1114" s="37">
        <v>36892</v>
      </c>
      <c r="N1114" s="5"/>
      <c r="O1114" s="9"/>
      <c r="P1114" s="5" t="s">
        <v>26</v>
      </c>
      <c r="Q1114" s="2"/>
      <c r="R1114" s="5" t="s">
        <v>27</v>
      </c>
      <c r="S1114" s="5"/>
    </row>
    <row r="1115" spans="1:20" ht="20.100000000000001" hidden="1" customHeight="1" x14ac:dyDescent="0.25">
      <c r="A1115" s="26" t="str">
        <f>CONCATENATE(RIGHT(LEFT(RecebimentoConcreto[[#This Row],[Obra]],5),4),"RCBC",TEXT(RecebimentoConcreto[[#This Row],[Ordem]],"0000"))</f>
        <v>0184RCBC1114</v>
      </c>
      <c r="B1115" s="1">
        <v>1114</v>
      </c>
      <c r="C1115" s="1" t="s">
        <v>21</v>
      </c>
      <c r="D1115" s="35"/>
      <c r="K1115" s="32">
        <f>_xlfn.MAXIFS(ConsumoConcreto[Fim do Bombeamento],ConsumoConcreto[RecebimentoID],RecebimentoConcreto[[#This Row],[RecebimentoID]])</f>
        <v>0</v>
      </c>
      <c r="M1115" s="37">
        <v>36892</v>
      </c>
      <c r="N1115" s="5"/>
      <c r="O1115" s="9"/>
      <c r="P1115" s="5" t="s">
        <v>26</v>
      </c>
      <c r="Q1115" s="2"/>
      <c r="R1115" s="5" t="s">
        <v>27</v>
      </c>
      <c r="S1115" s="5"/>
    </row>
    <row r="1116" spans="1:20" ht="20.100000000000001" hidden="1" customHeight="1" x14ac:dyDescent="0.25">
      <c r="A1116" s="26" t="str">
        <f>CONCATENATE(RIGHT(LEFT(RecebimentoConcreto[[#This Row],[Obra]],5),4),"RCBC",TEXT(RecebimentoConcreto[[#This Row],[Ordem]],"0000"))</f>
        <v>0184RCBC1115</v>
      </c>
      <c r="B1116" s="1">
        <v>1115</v>
      </c>
      <c r="C1116" s="1" t="s">
        <v>21</v>
      </c>
      <c r="D1116" s="35"/>
      <c r="K1116" s="32">
        <f>_xlfn.MAXIFS(ConsumoConcreto[Fim do Bombeamento],ConsumoConcreto[RecebimentoID],RecebimentoConcreto[[#This Row],[RecebimentoID]])</f>
        <v>0</v>
      </c>
      <c r="M1116" s="37">
        <v>36892</v>
      </c>
      <c r="N1116" s="5"/>
      <c r="O1116" s="9"/>
      <c r="P1116" s="5" t="s">
        <v>26</v>
      </c>
      <c r="Q1116" s="2"/>
      <c r="R1116" s="5" t="s">
        <v>27</v>
      </c>
      <c r="S1116" s="5"/>
    </row>
    <row r="1117" spans="1:20" ht="20.100000000000001" hidden="1" customHeight="1" x14ac:dyDescent="0.25">
      <c r="A1117" s="26" t="str">
        <f>CONCATENATE(RIGHT(LEFT(RecebimentoConcreto[[#This Row],[Obra]],5),4),"RCBC",TEXT(RecebimentoConcreto[[#This Row],[Ordem]],"0000"))</f>
        <v>0184RCBC1116</v>
      </c>
      <c r="B1117" s="1">
        <v>1116</v>
      </c>
      <c r="C1117" s="1" t="s">
        <v>21</v>
      </c>
      <c r="D1117" s="35"/>
      <c r="K1117" s="32">
        <f>_xlfn.MAXIFS(ConsumoConcreto[Fim do Bombeamento],ConsumoConcreto[RecebimentoID],RecebimentoConcreto[[#This Row],[RecebimentoID]])</f>
        <v>0</v>
      </c>
      <c r="M1117" s="37">
        <v>36892</v>
      </c>
      <c r="N1117" s="5"/>
      <c r="O1117" s="9"/>
      <c r="P1117" s="5" t="s">
        <v>26</v>
      </c>
      <c r="Q1117" s="2"/>
      <c r="R1117" s="5" t="s">
        <v>27</v>
      </c>
      <c r="S1117" s="5"/>
    </row>
    <row r="1118" spans="1:20" ht="20.100000000000001" hidden="1" customHeight="1" x14ac:dyDescent="0.25">
      <c r="A1118" s="26" t="str">
        <f>CONCATENATE(RIGHT(LEFT(RecebimentoConcreto[[#This Row],[Obra]],5),4),"RCBC",TEXT(RecebimentoConcreto[[#This Row],[Ordem]],"0000"))</f>
        <v>0184RCBC1117</v>
      </c>
      <c r="B1118" s="1">
        <v>1117</v>
      </c>
      <c r="C1118" s="1" t="s">
        <v>21</v>
      </c>
      <c r="D1118" s="35"/>
      <c r="K1118" s="32">
        <f>_xlfn.MAXIFS(ConsumoConcreto[Fim do Bombeamento],ConsumoConcreto[RecebimentoID],RecebimentoConcreto[[#This Row],[RecebimentoID]])</f>
        <v>0</v>
      </c>
      <c r="M1118" s="37">
        <v>36892</v>
      </c>
      <c r="N1118" s="5"/>
      <c r="O1118" s="9"/>
      <c r="P1118" s="5" t="s">
        <v>26</v>
      </c>
      <c r="Q1118" s="2"/>
      <c r="R1118" s="5" t="s">
        <v>27</v>
      </c>
      <c r="S1118" s="5"/>
    </row>
    <row r="1119" spans="1:20" ht="20.100000000000001" hidden="1" customHeight="1" x14ac:dyDescent="0.25">
      <c r="A1119" s="26" t="str">
        <f>CONCATENATE(RIGHT(LEFT(RecebimentoConcreto[[#This Row],[Obra]],5),4),"RCBC",TEXT(RecebimentoConcreto[[#This Row],[Ordem]],"0000"))</f>
        <v>0184RCBC1118</v>
      </c>
      <c r="B1119" s="1">
        <v>1118</v>
      </c>
      <c r="C1119" s="1" t="s">
        <v>21</v>
      </c>
      <c r="D1119" s="35"/>
      <c r="K1119" s="32">
        <f>_xlfn.MAXIFS(ConsumoConcreto[Fim do Bombeamento],ConsumoConcreto[RecebimentoID],RecebimentoConcreto[[#This Row],[RecebimentoID]])</f>
        <v>0</v>
      </c>
      <c r="M1119" s="37">
        <v>36892</v>
      </c>
      <c r="N1119" s="5"/>
      <c r="O1119" s="9"/>
      <c r="P1119" s="5" t="s">
        <v>26</v>
      </c>
      <c r="Q1119" s="2"/>
      <c r="R1119" s="5" t="s">
        <v>27</v>
      </c>
      <c r="S1119" s="5"/>
    </row>
    <row r="1120" spans="1:20" ht="20.100000000000001" hidden="1" customHeight="1" x14ac:dyDescent="0.25">
      <c r="A1120" s="26" t="str">
        <f>CONCATENATE(RIGHT(LEFT(RecebimentoConcreto[[#This Row],[Obra]],5),4),"RCBC",TEXT(RecebimentoConcreto[[#This Row],[Ordem]],"0000"))</f>
        <v>0184RCBC1119</v>
      </c>
      <c r="B1120" s="1">
        <v>1119</v>
      </c>
      <c r="C1120" s="1" t="s">
        <v>21</v>
      </c>
      <c r="D1120" s="35"/>
      <c r="K1120" s="32">
        <f>_xlfn.MAXIFS(ConsumoConcreto[Fim do Bombeamento],ConsumoConcreto[RecebimentoID],RecebimentoConcreto[[#This Row],[RecebimentoID]])</f>
        <v>0</v>
      </c>
      <c r="M1120" s="37">
        <v>36892</v>
      </c>
      <c r="N1120" s="5"/>
      <c r="O1120" s="9"/>
      <c r="P1120" s="5" t="s">
        <v>26</v>
      </c>
      <c r="Q1120" s="2"/>
      <c r="R1120" s="5" t="s">
        <v>27</v>
      </c>
      <c r="S1120" s="5"/>
    </row>
    <row r="1121" spans="1:19" ht="20.100000000000001" hidden="1" customHeight="1" x14ac:dyDescent="0.25">
      <c r="A1121" s="26" t="str">
        <f>CONCATENATE(RIGHT(LEFT(RecebimentoConcreto[[#This Row],[Obra]],5),4),"RCBC",TEXT(RecebimentoConcreto[[#This Row],[Ordem]],"0000"))</f>
        <v>0184RCBC1120</v>
      </c>
      <c r="B1121" s="1">
        <v>1120</v>
      </c>
      <c r="C1121" s="1" t="s">
        <v>21</v>
      </c>
      <c r="D1121" s="35"/>
      <c r="K1121" s="32">
        <f>_xlfn.MAXIFS(ConsumoConcreto[Fim do Bombeamento],ConsumoConcreto[RecebimentoID],RecebimentoConcreto[[#This Row],[RecebimentoID]])</f>
        <v>0</v>
      </c>
      <c r="M1121" s="37">
        <v>36892</v>
      </c>
      <c r="N1121" s="5"/>
      <c r="O1121" s="9"/>
      <c r="P1121" s="5" t="s">
        <v>26</v>
      </c>
      <c r="Q1121" s="2"/>
      <c r="R1121" s="5" t="s">
        <v>27</v>
      </c>
      <c r="S1121" s="5"/>
    </row>
    <row r="1122" spans="1:19" ht="20.100000000000001" hidden="1" customHeight="1" x14ac:dyDescent="0.25">
      <c r="A1122" s="26" t="str">
        <f>CONCATENATE(RIGHT(LEFT(RecebimentoConcreto[[#This Row],[Obra]],5),4),"RCBC",TEXT(RecebimentoConcreto[[#This Row],[Ordem]],"0000"))</f>
        <v>0184RCBC1121</v>
      </c>
      <c r="B1122" s="1">
        <v>1121</v>
      </c>
      <c r="C1122" s="1" t="s">
        <v>21</v>
      </c>
      <c r="D1122" s="35"/>
      <c r="K1122" s="32">
        <f>_xlfn.MAXIFS(ConsumoConcreto[Fim do Bombeamento],ConsumoConcreto[RecebimentoID],RecebimentoConcreto[[#This Row],[RecebimentoID]])</f>
        <v>0</v>
      </c>
      <c r="M1122" s="37">
        <v>36892</v>
      </c>
      <c r="N1122" s="5"/>
      <c r="O1122" s="9"/>
      <c r="P1122" s="5" t="s">
        <v>26</v>
      </c>
      <c r="Q1122" s="2"/>
      <c r="R1122" s="5" t="s">
        <v>27</v>
      </c>
      <c r="S1122" s="5"/>
    </row>
    <row r="1123" spans="1:19" ht="20.100000000000001" hidden="1" customHeight="1" x14ac:dyDescent="0.25">
      <c r="A1123" s="26" t="str">
        <f>CONCATENATE(RIGHT(LEFT(RecebimentoConcreto[[#This Row],[Obra]],5),4),"RCBC",TEXT(RecebimentoConcreto[[#This Row],[Ordem]],"0000"))</f>
        <v>0184RCBC1122</v>
      </c>
      <c r="B1123" s="1">
        <v>1122</v>
      </c>
      <c r="C1123" s="1" t="s">
        <v>21</v>
      </c>
      <c r="D1123" s="35"/>
      <c r="K1123" s="32">
        <f>_xlfn.MAXIFS(ConsumoConcreto[Fim do Bombeamento],ConsumoConcreto[RecebimentoID],RecebimentoConcreto[[#This Row],[RecebimentoID]])</f>
        <v>0</v>
      </c>
      <c r="M1123" s="37">
        <v>36892</v>
      </c>
      <c r="N1123" s="5"/>
      <c r="O1123" s="9"/>
      <c r="P1123" s="5" t="s">
        <v>26</v>
      </c>
      <c r="Q1123" s="2"/>
      <c r="R1123" s="5" t="s">
        <v>27</v>
      </c>
      <c r="S1123" s="5"/>
    </row>
    <row r="1124" spans="1:19" ht="20.100000000000001" hidden="1" customHeight="1" x14ac:dyDescent="0.25">
      <c r="A1124" s="26" t="str">
        <f>CONCATENATE(RIGHT(LEFT(RecebimentoConcreto[[#This Row],[Obra]],5),4),"RCBC",TEXT(RecebimentoConcreto[[#This Row],[Ordem]],"0000"))</f>
        <v>0184RCBC1123</v>
      </c>
      <c r="B1124" s="1">
        <v>1123</v>
      </c>
      <c r="C1124" s="1" t="s">
        <v>21</v>
      </c>
      <c r="D1124" s="35"/>
      <c r="K1124" s="32">
        <f>_xlfn.MAXIFS(ConsumoConcreto[Fim do Bombeamento],ConsumoConcreto[RecebimentoID],RecebimentoConcreto[[#This Row],[RecebimentoID]])</f>
        <v>0</v>
      </c>
      <c r="M1124" s="37">
        <v>36892</v>
      </c>
      <c r="N1124" s="5"/>
      <c r="O1124" s="9"/>
      <c r="P1124" s="5" t="s">
        <v>26</v>
      </c>
      <c r="Q1124" s="2"/>
      <c r="R1124" s="5" t="s">
        <v>27</v>
      </c>
      <c r="S1124" s="5"/>
    </row>
    <row r="1125" spans="1:19" ht="20.100000000000001" hidden="1" customHeight="1" x14ac:dyDescent="0.25">
      <c r="A1125" s="26" t="str">
        <f>CONCATENATE(RIGHT(LEFT(RecebimentoConcreto[[#This Row],[Obra]],5),4),"RCBC",TEXT(RecebimentoConcreto[[#This Row],[Ordem]],"0000"))</f>
        <v>0184RCBC1124</v>
      </c>
      <c r="B1125" s="1">
        <v>1124</v>
      </c>
      <c r="C1125" s="1" t="s">
        <v>21</v>
      </c>
      <c r="D1125" s="35"/>
      <c r="K1125" s="32">
        <f>_xlfn.MAXIFS(ConsumoConcreto[Fim do Bombeamento],ConsumoConcreto[RecebimentoID],RecebimentoConcreto[[#This Row],[RecebimentoID]])</f>
        <v>0</v>
      </c>
      <c r="M1125" s="37">
        <v>36892</v>
      </c>
      <c r="N1125" s="5"/>
      <c r="O1125" s="9"/>
      <c r="P1125" s="5" t="s">
        <v>26</v>
      </c>
      <c r="Q1125" s="2"/>
      <c r="R1125" s="5" t="s">
        <v>27</v>
      </c>
      <c r="S1125" s="5"/>
    </row>
    <row r="1126" spans="1:19" ht="20.100000000000001" hidden="1" customHeight="1" x14ac:dyDescent="0.25">
      <c r="A1126" s="26" t="str">
        <f>CONCATENATE(RIGHT(LEFT(RecebimentoConcreto[[#This Row],[Obra]],5),4),"RCBC",TEXT(RecebimentoConcreto[[#This Row],[Ordem]],"0000"))</f>
        <v>0184RCBC1125</v>
      </c>
      <c r="B1126" s="1">
        <v>1125</v>
      </c>
      <c r="C1126" s="1" t="s">
        <v>21</v>
      </c>
      <c r="D1126" s="35"/>
      <c r="K1126" s="32">
        <f>_xlfn.MAXIFS(ConsumoConcreto[Fim do Bombeamento],ConsumoConcreto[RecebimentoID],RecebimentoConcreto[[#This Row],[RecebimentoID]])</f>
        <v>0</v>
      </c>
      <c r="M1126" s="37">
        <v>36892</v>
      </c>
      <c r="N1126" s="5"/>
      <c r="O1126" s="9"/>
      <c r="P1126" s="5" t="s">
        <v>26</v>
      </c>
      <c r="Q1126" s="2"/>
      <c r="R1126" s="5" t="s">
        <v>27</v>
      </c>
      <c r="S1126" s="5"/>
    </row>
    <row r="1127" spans="1:19" ht="20.100000000000001" hidden="1" customHeight="1" x14ac:dyDescent="0.25">
      <c r="A1127" s="26" t="str">
        <f>CONCATENATE(RIGHT(LEFT(RecebimentoConcreto[[#This Row],[Obra]],5),4),"RCBC",TEXT(RecebimentoConcreto[[#This Row],[Ordem]],"0000"))</f>
        <v>0184RCBC1126</v>
      </c>
      <c r="B1127" s="1">
        <v>1126</v>
      </c>
      <c r="C1127" s="1" t="s">
        <v>21</v>
      </c>
      <c r="D1127" s="35"/>
      <c r="K1127" s="32">
        <f>_xlfn.MAXIFS(ConsumoConcreto[Fim do Bombeamento],ConsumoConcreto[RecebimentoID],RecebimentoConcreto[[#This Row],[RecebimentoID]])</f>
        <v>0</v>
      </c>
      <c r="M1127" s="37">
        <v>36892</v>
      </c>
      <c r="N1127" s="5"/>
      <c r="O1127" s="9"/>
      <c r="P1127" s="5" t="s">
        <v>26</v>
      </c>
      <c r="Q1127" s="2"/>
      <c r="R1127" s="5" t="s">
        <v>27</v>
      </c>
      <c r="S1127" s="5"/>
    </row>
    <row r="1128" spans="1:19" ht="20.100000000000001" hidden="1" customHeight="1" x14ac:dyDescent="0.25">
      <c r="A1128" s="26" t="str">
        <f>CONCATENATE(RIGHT(LEFT(RecebimentoConcreto[[#This Row],[Obra]],5),4),"RCBC",TEXT(RecebimentoConcreto[[#This Row],[Ordem]],"0000"))</f>
        <v>0184RCBC1127</v>
      </c>
      <c r="B1128" s="1">
        <v>1127</v>
      </c>
      <c r="C1128" s="1" t="s">
        <v>21</v>
      </c>
      <c r="D1128" s="35"/>
      <c r="K1128" s="32">
        <f>_xlfn.MAXIFS(ConsumoConcreto[Fim do Bombeamento],ConsumoConcreto[RecebimentoID],RecebimentoConcreto[[#This Row],[RecebimentoID]])</f>
        <v>0</v>
      </c>
      <c r="M1128" s="37">
        <v>36892</v>
      </c>
      <c r="N1128" s="5"/>
      <c r="O1128" s="9"/>
      <c r="P1128" s="5" t="s">
        <v>26</v>
      </c>
      <c r="Q1128" s="2"/>
      <c r="R1128" s="5" t="s">
        <v>27</v>
      </c>
      <c r="S1128" s="5"/>
    </row>
    <row r="1129" spans="1:19" ht="20.100000000000001" hidden="1" customHeight="1" x14ac:dyDescent="0.25">
      <c r="A1129" s="26" t="str">
        <f>CONCATENATE(RIGHT(LEFT(RecebimentoConcreto[[#This Row],[Obra]],5),4),"RCBC",TEXT(RecebimentoConcreto[[#This Row],[Ordem]],"0000"))</f>
        <v>0184RCBC1128</v>
      </c>
      <c r="B1129" s="1">
        <v>1128</v>
      </c>
      <c r="C1129" s="1" t="s">
        <v>21</v>
      </c>
      <c r="D1129" s="35"/>
      <c r="K1129" s="32">
        <f>_xlfn.MAXIFS(ConsumoConcreto[Fim do Bombeamento],ConsumoConcreto[RecebimentoID],RecebimentoConcreto[[#This Row],[RecebimentoID]])</f>
        <v>0</v>
      </c>
      <c r="M1129" s="37">
        <v>36892</v>
      </c>
      <c r="N1129" s="5"/>
      <c r="O1129" s="9"/>
      <c r="P1129" s="5" t="s">
        <v>26</v>
      </c>
      <c r="Q1129" s="2"/>
      <c r="R1129" s="5" t="s">
        <v>27</v>
      </c>
      <c r="S1129" s="5"/>
    </row>
    <row r="1130" spans="1:19" ht="20.100000000000001" hidden="1" customHeight="1" x14ac:dyDescent="0.25">
      <c r="A1130" s="26" t="str">
        <f>CONCATENATE(RIGHT(LEFT(RecebimentoConcreto[[#This Row],[Obra]],5),4),"RCBC",TEXT(RecebimentoConcreto[[#This Row],[Ordem]],"0000"))</f>
        <v>0184RCBC1129</v>
      </c>
      <c r="B1130" s="1">
        <v>1129</v>
      </c>
      <c r="C1130" s="1" t="s">
        <v>21</v>
      </c>
      <c r="D1130" s="35"/>
      <c r="K1130" s="32">
        <f>_xlfn.MAXIFS(ConsumoConcreto[Fim do Bombeamento],ConsumoConcreto[RecebimentoID],RecebimentoConcreto[[#This Row],[RecebimentoID]])</f>
        <v>0</v>
      </c>
      <c r="M1130" s="37">
        <v>36892</v>
      </c>
      <c r="N1130" s="5"/>
      <c r="O1130" s="9"/>
      <c r="P1130" s="5" t="s">
        <v>26</v>
      </c>
      <c r="Q1130" s="2"/>
      <c r="R1130" s="5" t="s">
        <v>27</v>
      </c>
      <c r="S1130" s="5"/>
    </row>
    <row r="1131" spans="1:19" ht="20.100000000000001" hidden="1" customHeight="1" x14ac:dyDescent="0.25">
      <c r="A1131" s="26" t="str">
        <f>CONCATENATE(RIGHT(LEFT(RecebimentoConcreto[[#This Row],[Obra]],5),4),"RCBC",TEXT(RecebimentoConcreto[[#This Row],[Ordem]],"0000"))</f>
        <v>0184RCBC1130</v>
      </c>
      <c r="B1131" s="1">
        <v>1130</v>
      </c>
      <c r="C1131" s="1" t="s">
        <v>21</v>
      </c>
      <c r="D1131" s="35"/>
      <c r="K1131" s="32">
        <f>_xlfn.MAXIFS(ConsumoConcreto[Fim do Bombeamento],ConsumoConcreto[RecebimentoID],RecebimentoConcreto[[#This Row],[RecebimentoID]])</f>
        <v>0</v>
      </c>
      <c r="M1131" s="37">
        <v>36892</v>
      </c>
      <c r="N1131" s="5"/>
      <c r="O1131" s="9"/>
      <c r="P1131" s="5" t="s">
        <v>26</v>
      </c>
      <c r="Q1131" s="2"/>
      <c r="R1131" s="5" t="s">
        <v>27</v>
      </c>
      <c r="S1131" s="5"/>
    </row>
    <row r="1132" spans="1:19" ht="20.100000000000001" hidden="1" customHeight="1" x14ac:dyDescent="0.25">
      <c r="A1132" s="26" t="str">
        <f>CONCATENATE(RIGHT(LEFT(RecebimentoConcreto[[#This Row],[Obra]],5),4),"RCBC",TEXT(RecebimentoConcreto[[#This Row],[Ordem]],"0000"))</f>
        <v>0184RCBC1131</v>
      </c>
      <c r="B1132" s="1">
        <v>1131</v>
      </c>
      <c r="C1132" s="1" t="s">
        <v>21</v>
      </c>
      <c r="D1132" s="35"/>
      <c r="K1132" s="32">
        <f>_xlfn.MAXIFS(ConsumoConcreto[Fim do Bombeamento],ConsumoConcreto[RecebimentoID],RecebimentoConcreto[[#This Row],[RecebimentoID]])</f>
        <v>0</v>
      </c>
      <c r="M1132" s="37">
        <v>36892</v>
      </c>
      <c r="N1132" s="5"/>
      <c r="O1132" s="9"/>
      <c r="P1132" s="5" t="s">
        <v>26</v>
      </c>
      <c r="Q1132" s="2"/>
      <c r="R1132" s="5" t="s">
        <v>27</v>
      </c>
      <c r="S1132" s="5"/>
    </row>
    <row r="1133" spans="1:19" ht="20.100000000000001" hidden="1" customHeight="1" x14ac:dyDescent="0.25">
      <c r="A1133" s="26" t="str">
        <f>CONCATENATE(RIGHT(LEFT(RecebimentoConcreto[[#This Row],[Obra]],5),4),"RCBC",TEXT(RecebimentoConcreto[[#This Row],[Ordem]],"0000"))</f>
        <v>0184RCBC1132</v>
      </c>
      <c r="B1133" s="1">
        <v>1132</v>
      </c>
      <c r="C1133" s="1" t="s">
        <v>21</v>
      </c>
      <c r="D1133" s="35"/>
      <c r="K1133" s="32">
        <f>_xlfn.MAXIFS(ConsumoConcreto[Fim do Bombeamento],ConsumoConcreto[RecebimentoID],RecebimentoConcreto[[#This Row],[RecebimentoID]])</f>
        <v>0</v>
      </c>
      <c r="M1133" s="37">
        <v>36892</v>
      </c>
      <c r="N1133" s="5"/>
      <c r="O1133" s="9"/>
      <c r="P1133" s="5" t="s">
        <v>26</v>
      </c>
      <c r="Q1133" s="2"/>
      <c r="R1133" s="5" t="s">
        <v>27</v>
      </c>
      <c r="S1133" s="5"/>
    </row>
    <row r="1134" spans="1:19" ht="20.100000000000001" hidden="1" customHeight="1" x14ac:dyDescent="0.25">
      <c r="A1134" s="26" t="str">
        <f>CONCATENATE(RIGHT(LEFT(RecebimentoConcreto[[#This Row],[Obra]],5),4),"RCBC",TEXT(RecebimentoConcreto[[#This Row],[Ordem]],"0000"))</f>
        <v>0184RCBC1133</v>
      </c>
      <c r="B1134" s="1">
        <v>1133</v>
      </c>
      <c r="C1134" s="1" t="s">
        <v>21</v>
      </c>
      <c r="D1134" s="35"/>
      <c r="K1134" s="32">
        <f>_xlfn.MAXIFS(ConsumoConcreto[Fim do Bombeamento],ConsumoConcreto[RecebimentoID],RecebimentoConcreto[[#This Row],[RecebimentoID]])</f>
        <v>0</v>
      </c>
      <c r="M1134" s="37">
        <v>36892</v>
      </c>
      <c r="N1134" s="5"/>
      <c r="O1134" s="9"/>
      <c r="P1134" s="5" t="s">
        <v>26</v>
      </c>
      <c r="Q1134" s="2"/>
      <c r="R1134" s="5" t="s">
        <v>27</v>
      </c>
      <c r="S1134" s="5"/>
    </row>
    <row r="1135" spans="1:19" ht="20.100000000000001" hidden="1" customHeight="1" x14ac:dyDescent="0.25">
      <c r="A1135" s="26" t="str">
        <f>CONCATENATE(RIGHT(LEFT(RecebimentoConcreto[[#This Row],[Obra]],5),4),"RCBC",TEXT(RecebimentoConcreto[[#This Row],[Ordem]],"0000"))</f>
        <v>0184RCBC1134</v>
      </c>
      <c r="B1135" s="1">
        <v>1134</v>
      </c>
      <c r="C1135" s="1" t="s">
        <v>21</v>
      </c>
      <c r="D1135" s="35"/>
      <c r="K1135" s="32">
        <f>_xlfn.MAXIFS(ConsumoConcreto[Fim do Bombeamento],ConsumoConcreto[RecebimentoID],RecebimentoConcreto[[#This Row],[RecebimentoID]])</f>
        <v>0</v>
      </c>
      <c r="M1135" s="37">
        <v>36892</v>
      </c>
      <c r="N1135" s="5"/>
      <c r="O1135" s="9"/>
      <c r="P1135" s="5" t="s">
        <v>26</v>
      </c>
      <c r="Q1135" s="2"/>
      <c r="R1135" s="5" t="s">
        <v>27</v>
      </c>
      <c r="S1135" s="5"/>
    </row>
    <row r="1136" spans="1:19" ht="20.100000000000001" hidden="1" customHeight="1" x14ac:dyDescent="0.25">
      <c r="A1136" s="26" t="str">
        <f>CONCATENATE(RIGHT(LEFT(RecebimentoConcreto[[#This Row],[Obra]],5),4),"RCBC",TEXT(RecebimentoConcreto[[#This Row],[Ordem]],"0000"))</f>
        <v>0184RCBC1135</v>
      </c>
      <c r="B1136" s="1">
        <v>1135</v>
      </c>
      <c r="C1136" s="1" t="s">
        <v>21</v>
      </c>
      <c r="D1136" s="35"/>
      <c r="K1136" s="32">
        <f>_xlfn.MAXIFS(ConsumoConcreto[Fim do Bombeamento],ConsumoConcreto[RecebimentoID],RecebimentoConcreto[[#This Row],[RecebimentoID]])</f>
        <v>0</v>
      </c>
      <c r="M1136" s="37">
        <v>36892</v>
      </c>
      <c r="N1136" s="5"/>
      <c r="O1136" s="9"/>
      <c r="P1136" s="5" t="s">
        <v>26</v>
      </c>
      <c r="Q1136" s="2"/>
      <c r="R1136" s="5" t="s">
        <v>27</v>
      </c>
      <c r="S1136" s="5"/>
    </row>
    <row r="1137" spans="1:19" ht="20.100000000000001" hidden="1" customHeight="1" x14ac:dyDescent="0.25">
      <c r="A1137" s="26" t="str">
        <f>CONCATENATE(RIGHT(LEFT(RecebimentoConcreto[[#This Row],[Obra]],5),4),"RCBC",TEXT(RecebimentoConcreto[[#This Row],[Ordem]],"0000"))</f>
        <v>0184RCBC1136</v>
      </c>
      <c r="B1137" s="1">
        <v>1136</v>
      </c>
      <c r="C1137" s="1" t="s">
        <v>21</v>
      </c>
      <c r="D1137" s="35"/>
      <c r="K1137" s="32">
        <f>_xlfn.MAXIFS(ConsumoConcreto[Fim do Bombeamento],ConsumoConcreto[RecebimentoID],RecebimentoConcreto[[#This Row],[RecebimentoID]])</f>
        <v>0</v>
      </c>
      <c r="M1137" s="37">
        <v>36892</v>
      </c>
      <c r="N1137" s="5"/>
      <c r="O1137" s="9"/>
      <c r="P1137" s="5" t="s">
        <v>26</v>
      </c>
      <c r="Q1137" s="2"/>
      <c r="R1137" s="5" t="s">
        <v>27</v>
      </c>
      <c r="S1137" s="5"/>
    </row>
    <row r="1138" spans="1:19" ht="20.100000000000001" hidden="1" customHeight="1" x14ac:dyDescent="0.25">
      <c r="A1138" s="26" t="str">
        <f>CONCATENATE(RIGHT(LEFT(RecebimentoConcreto[[#This Row],[Obra]],5),4),"RCBC",TEXT(RecebimentoConcreto[[#This Row],[Ordem]],"0000"))</f>
        <v>0184RCBC1137</v>
      </c>
      <c r="B1138" s="1">
        <v>1137</v>
      </c>
      <c r="C1138" s="1" t="s">
        <v>21</v>
      </c>
      <c r="D1138" s="35"/>
      <c r="K1138" s="32">
        <f>_xlfn.MAXIFS(ConsumoConcreto[Fim do Bombeamento],ConsumoConcreto[RecebimentoID],RecebimentoConcreto[[#This Row],[RecebimentoID]])</f>
        <v>0</v>
      </c>
      <c r="M1138" s="37">
        <v>36892</v>
      </c>
      <c r="N1138" s="5"/>
      <c r="O1138" s="9"/>
      <c r="P1138" s="5" t="s">
        <v>26</v>
      </c>
      <c r="Q1138" s="2"/>
      <c r="R1138" s="5" t="s">
        <v>27</v>
      </c>
      <c r="S1138" s="5"/>
    </row>
    <row r="1139" spans="1:19" ht="20.100000000000001" hidden="1" customHeight="1" x14ac:dyDescent="0.25">
      <c r="A1139" s="26" t="str">
        <f>CONCATENATE(RIGHT(LEFT(RecebimentoConcreto[[#This Row],[Obra]],5),4),"RCBC",TEXT(RecebimentoConcreto[[#This Row],[Ordem]],"0000"))</f>
        <v>0184RCBC1138</v>
      </c>
      <c r="B1139" s="1">
        <v>1138</v>
      </c>
      <c r="C1139" s="1" t="s">
        <v>21</v>
      </c>
      <c r="D1139" s="35"/>
      <c r="K1139" s="32">
        <f>_xlfn.MAXIFS(ConsumoConcreto[Fim do Bombeamento],ConsumoConcreto[RecebimentoID],RecebimentoConcreto[[#This Row],[RecebimentoID]])</f>
        <v>0</v>
      </c>
      <c r="M1139" s="37">
        <v>36892</v>
      </c>
      <c r="N1139" s="5"/>
      <c r="O1139" s="9"/>
      <c r="P1139" s="5" t="s">
        <v>26</v>
      </c>
      <c r="Q1139" s="2"/>
      <c r="R1139" s="5" t="s">
        <v>27</v>
      </c>
      <c r="S1139" s="5"/>
    </row>
    <row r="1140" spans="1:19" ht="20.100000000000001" hidden="1" customHeight="1" x14ac:dyDescent="0.25">
      <c r="A1140" s="26" t="str">
        <f>CONCATENATE(RIGHT(LEFT(RecebimentoConcreto[[#This Row],[Obra]],5),4),"RCBC",TEXT(RecebimentoConcreto[[#This Row],[Ordem]],"0000"))</f>
        <v>0184RCBC1139</v>
      </c>
      <c r="B1140" s="1">
        <v>1139</v>
      </c>
      <c r="C1140" s="1" t="s">
        <v>21</v>
      </c>
      <c r="D1140" s="35"/>
      <c r="K1140" s="32">
        <f>_xlfn.MAXIFS(ConsumoConcreto[Fim do Bombeamento],ConsumoConcreto[RecebimentoID],RecebimentoConcreto[[#This Row],[RecebimentoID]])</f>
        <v>0</v>
      </c>
      <c r="M1140" s="37">
        <v>36892</v>
      </c>
      <c r="N1140" s="5"/>
      <c r="O1140" s="9"/>
      <c r="P1140" s="5" t="s">
        <v>26</v>
      </c>
      <c r="Q1140" s="2"/>
      <c r="R1140" s="5" t="s">
        <v>27</v>
      </c>
      <c r="S1140" s="5"/>
    </row>
    <row r="1141" spans="1:19" ht="20.100000000000001" hidden="1" customHeight="1" x14ac:dyDescent="0.25">
      <c r="A1141" s="26" t="str">
        <f>CONCATENATE(RIGHT(LEFT(RecebimentoConcreto[[#This Row],[Obra]],5),4),"RCBC",TEXT(RecebimentoConcreto[[#This Row],[Ordem]],"0000"))</f>
        <v>0184RCBC1140</v>
      </c>
      <c r="B1141" s="1">
        <v>1140</v>
      </c>
      <c r="C1141" s="1" t="s">
        <v>21</v>
      </c>
      <c r="D1141" s="35"/>
      <c r="K1141" s="32">
        <f>_xlfn.MAXIFS(ConsumoConcreto[Fim do Bombeamento],ConsumoConcreto[RecebimentoID],RecebimentoConcreto[[#This Row],[RecebimentoID]])</f>
        <v>0</v>
      </c>
      <c r="M1141" s="37">
        <v>36892</v>
      </c>
      <c r="N1141" s="5"/>
      <c r="O1141" s="9"/>
      <c r="P1141" s="5" t="s">
        <v>26</v>
      </c>
      <c r="Q1141" s="2"/>
      <c r="R1141" s="5" t="s">
        <v>27</v>
      </c>
      <c r="S1141" s="5"/>
    </row>
    <row r="1142" spans="1:19" ht="20.100000000000001" hidden="1" customHeight="1" x14ac:dyDescent="0.25">
      <c r="A1142" s="26" t="str">
        <f>CONCATENATE(RIGHT(LEFT(RecebimentoConcreto[[#This Row],[Obra]],5),4),"RCBC",TEXT(RecebimentoConcreto[[#This Row],[Ordem]],"0000"))</f>
        <v>0184RCBC1141</v>
      </c>
      <c r="B1142" s="1">
        <v>1141</v>
      </c>
      <c r="C1142" s="1" t="s">
        <v>21</v>
      </c>
      <c r="D1142" s="35"/>
      <c r="K1142" s="32">
        <f>_xlfn.MAXIFS(ConsumoConcreto[Fim do Bombeamento],ConsumoConcreto[RecebimentoID],RecebimentoConcreto[[#This Row],[RecebimentoID]])</f>
        <v>0</v>
      </c>
      <c r="M1142" s="37">
        <v>36892</v>
      </c>
      <c r="N1142" s="5"/>
      <c r="O1142" s="9"/>
      <c r="P1142" s="5" t="s">
        <v>26</v>
      </c>
      <c r="Q1142" s="2"/>
      <c r="R1142" s="5" t="s">
        <v>27</v>
      </c>
      <c r="S1142" s="5"/>
    </row>
    <row r="1143" spans="1:19" ht="20.100000000000001" hidden="1" customHeight="1" x14ac:dyDescent="0.25">
      <c r="A1143" s="26" t="str">
        <f>CONCATENATE(RIGHT(LEFT(RecebimentoConcreto[[#This Row],[Obra]],5),4),"RCBC",TEXT(RecebimentoConcreto[[#This Row],[Ordem]],"0000"))</f>
        <v>0184RCBC1142</v>
      </c>
      <c r="B1143" s="1">
        <v>1142</v>
      </c>
      <c r="C1143" s="1" t="s">
        <v>21</v>
      </c>
      <c r="D1143" s="35"/>
      <c r="K1143" s="32">
        <f>_xlfn.MAXIFS(ConsumoConcreto[Fim do Bombeamento],ConsumoConcreto[RecebimentoID],RecebimentoConcreto[[#This Row],[RecebimentoID]])</f>
        <v>0</v>
      </c>
      <c r="M1143" s="37">
        <v>36892</v>
      </c>
      <c r="N1143" s="5"/>
      <c r="O1143" s="9"/>
      <c r="P1143" s="5" t="s">
        <v>26</v>
      </c>
      <c r="Q1143" s="2"/>
      <c r="R1143" s="5" t="s">
        <v>27</v>
      </c>
      <c r="S1143" s="5"/>
    </row>
    <row r="1144" spans="1:19" ht="20.100000000000001" hidden="1" customHeight="1" x14ac:dyDescent="0.25">
      <c r="A1144" s="26" t="str">
        <f>CONCATENATE(RIGHT(LEFT(RecebimentoConcreto[[#This Row],[Obra]],5),4),"RCBC",TEXT(RecebimentoConcreto[[#This Row],[Ordem]],"0000"))</f>
        <v>0184RCBC1143</v>
      </c>
      <c r="B1144" s="1">
        <v>1143</v>
      </c>
      <c r="C1144" s="1" t="s">
        <v>21</v>
      </c>
      <c r="D1144" s="35"/>
      <c r="K1144" s="32">
        <f>_xlfn.MAXIFS(ConsumoConcreto[Fim do Bombeamento],ConsumoConcreto[RecebimentoID],RecebimentoConcreto[[#This Row],[RecebimentoID]])</f>
        <v>0</v>
      </c>
      <c r="M1144" s="37">
        <v>36892</v>
      </c>
      <c r="N1144" s="5"/>
      <c r="O1144" s="9"/>
      <c r="P1144" s="5" t="s">
        <v>26</v>
      </c>
      <c r="Q1144" s="2"/>
      <c r="R1144" s="5" t="s">
        <v>27</v>
      </c>
      <c r="S1144" s="5"/>
    </row>
    <row r="1145" spans="1:19" ht="20.100000000000001" hidden="1" customHeight="1" x14ac:dyDescent="0.25">
      <c r="A1145" s="26" t="str">
        <f>CONCATENATE(RIGHT(LEFT(RecebimentoConcreto[[#This Row],[Obra]],5),4),"RCBC",TEXT(RecebimentoConcreto[[#This Row],[Ordem]],"0000"))</f>
        <v>0184RCBC1144</v>
      </c>
      <c r="B1145" s="1">
        <v>1144</v>
      </c>
      <c r="C1145" s="1" t="s">
        <v>21</v>
      </c>
      <c r="D1145" s="35"/>
      <c r="K1145" s="32">
        <f>_xlfn.MAXIFS(ConsumoConcreto[Fim do Bombeamento],ConsumoConcreto[RecebimentoID],RecebimentoConcreto[[#This Row],[RecebimentoID]])</f>
        <v>0</v>
      </c>
      <c r="M1145" s="37">
        <v>36892</v>
      </c>
      <c r="N1145" s="5"/>
      <c r="O1145" s="9"/>
      <c r="P1145" s="5" t="s">
        <v>26</v>
      </c>
      <c r="Q1145" s="2"/>
      <c r="R1145" s="5" t="s">
        <v>27</v>
      </c>
      <c r="S1145" s="5"/>
    </row>
    <row r="1146" spans="1:19" ht="20.100000000000001" hidden="1" customHeight="1" x14ac:dyDescent="0.25">
      <c r="A1146" s="26" t="str">
        <f>CONCATENATE(RIGHT(LEFT(RecebimentoConcreto[[#This Row],[Obra]],5),4),"RCBC",TEXT(RecebimentoConcreto[[#This Row],[Ordem]],"0000"))</f>
        <v>0184RCBC1145</v>
      </c>
      <c r="B1146" s="1">
        <v>1145</v>
      </c>
      <c r="C1146" s="1" t="s">
        <v>21</v>
      </c>
      <c r="D1146" s="35"/>
      <c r="K1146" s="32">
        <f>_xlfn.MAXIFS(ConsumoConcreto[Fim do Bombeamento],ConsumoConcreto[RecebimentoID],RecebimentoConcreto[[#This Row],[RecebimentoID]])</f>
        <v>0</v>
      </c>
      <c r="M1146" s="37">
        <v>36892</v>
      </c>
      <c r="N1146" s="5"/>
      <c r="O1146" s="9"/>
      <c r="P1146" s="5" t="s">
        <v>26</v>
      </c>
      <c r="Q1146" s="2"/>
      <c r="R1146" s="5" t="s">
        <v>27</v>
      </c>
      <c r="S1146" s="5"/>
    </row>
    <row r="1147" spans="1:19" ht="20.100000000000001" hidden="1" customHeight="1" x14ac:dyDescent="0.25">
      <c r="A1147" s="26" t="str">
        <f>CONCATENATE(RIGHT(LEFT(RecebimentoConcreto[[#This Row],[Obra]],5),4),"RCBC",TEXT(RecebimentoConcreto[[#This Row],[Ordem]],"0000"))</f>
        <v>0184RCBC1146</v>
      </c>
      <c r="B1147" s="1">
        <v>1146</v>
      </c>
      <c r="C1147" s="1" t="s">
        <v>21</v>
      </c>
      <c r="D1147" s="35"/>
      <c r="K1147" s="32">
        <f>_xlfn.MAXIFS(ConsumoConcreto[Fim do Bombeamento],ConsumoConcreto[RecebimentoID],RecebimentoConcreto[[#This Row],[RecebimentoID]])</f>
        <v>0</v>
      </c>
      <c r="M1147" s="37">
        <v>36892</v>
      </c>
      <c r="N1147" s="5"/>
      <c r="O1147" s="9"/>
      <c r="P1147" s="5" t="s">
        <v>26</v>
      </c>
      <c r="Q1147" s="2"/>
      <c r="R1147" s="5" t="s">
        <v>27</v>
      </c>
      <c r="S1147" s="5"/>
    </row>
    <row r="1148" spans="1:19" ht="20.100000000000001" hidden="1" customHeight="1" x14ac:dyDescent="0.25">
      <c r="A1148" s="26" t="str">
        <f>CONCATENATE(RIGHT(LEFT(RecebimentoConcreto[[#This Row],[Obra]],5),4),"RCBC",TEXT(RecebimentoConcreto[[#This Row],[Ordem]],"0000"))</f>
        <v>0184RCBC1147</v>
      </c>
      <c r="B1148" s="1">
        <v>1147</v>
      </c>
      <c r="C1148" s="1" t="s">
        <v>21</v>
      </c>
      <c r="D1148" s="35"/>
      <c r="K1148" s="32">
        <f>_xlfn.MAXIFS(ConsumoConcreto[Fim do Bombeamento],ConsumoConcreto[RecebimentoID],RecebimentoConcreto[[#This Row],[RecebimentoID]])</f>
        <v>0</v>
      </c>
      <c r="M1148" s="37">
        <v>36892</v>
      </c>
      <c r="N1148" s="5"/>
      <c r="O1148" s="9"/>
      <c r="P1148" s="5" t="s">
        <v>26</v>
      </c>
      <c r="Q1148" s="2"/>
      <c r="R1148" s="5" t="s">
        <v>27</v>
      </c>
      <c r="S1148" s="5"/>
    </row>
    <row r="1149" spans="1:19" ht="20.100000000000001" hidden="1" customHeight="1" x14ac:dyDescent="0.25">
      <c r="A1149" s="26" t="str">
        <f>CONCATENATE(RIGHT(LEFT(RecebimentoConcreto[[#This Row],[Obra]],5),4),"RCBC",TEXT(RecebimentoConcreto[[#This Row],[Ordem]],"0000"))</f>
        <v>0184RCBC1148</v>
      </c>
      <c r="B1149" s="1">
        <v>1148</v>
      </c>
      <c r="C1149" s="1" t="s">
        <v>21</v>
      </c>
      <c r="D1149" s="35"/>
      <c r="K1149" s="32">
        <f>_xlfn.MAXIFS(ConsumoConcreto[Fim do Bombeamento],ConsumoConcreto[RecebimentoID],RecebimentoConcreto[[#This Row],[RecebimentoID]])</f>
        <v>0</v>
      </c>
      <c r="M1149" s="37">
        <v>36892</v>
      </c>
      <c r="N1149" s="5"/>
      <c r="O1149" s="9"/>
      <c r="P1149" s="5" t="s">
        <v>26</v>
      </c>
      <c r="Q1149" s="2"/>
      <c r="R1149" s="5" t="s">
        <v>27</v>
      </c>
      <c r="S1149" s="5"/>
    </row>
    <row r="1150" spans="1:19" ht="20.100000000000001" hidden="1" customHeight="1" x14ac:dyDescent="0.25">
      <c r="A1150" s="26" t="str">
        <f>CONCATENATE(RIGHT(LEFT(RecebimentoConcreto[[#This Row],[Obra]],5),4),"RCBC",TEXT(RecebimentoConcreto[[#This Row],[Ordem]],"0000"))</f>
        <v>0184RCBC1149</v>
      </c>
      <c r="B1150" s="1">
        <v>1149</v>
      </c>
      <c r="C1150" s="1" t="s">
        <v>21</v>
      </c>
      <c r="D1150" s="35"/>
      <c r="K1150" s="32">
        <f>_xlfn.MAXIFS(ConsumoConcreto[Fim do Bombeamento],ConsumoConcreto[RecebimentoID],RecebimentoConcreto[[#This Row],[RecebimentoID]])</f>
        <v>0</v>
      </c>
      <c r="M1150" s="37">
        <v>36892</v>
      </c>
      <c r="N1150" s="5"/>
      <c r="O1150" s="9"/>
      <c r="P1150" s="5" t="s">
        <v>26</v>
      </c>
      <c r="Q1150" s="2"/>
      <c r="R1150" s="5" t="s">
        <v>27</v>
      </c>
      <c r="S1150" s="5"/>
    </row>
    <row r="1151" spans="1:19" ht="20.100000000000001" hidden="1" customHeight="1" x14ac:dyDescent="0.25">
      <c r="A1151" s="26" t="str">
        <f>CONCATENATE(RIGHT(LEFT(RecebimentoConcreto[[#This Row],[Obra]],5),4),"RCBC",TEXT(RecebimentoConcreto[[#This Row],[Ordem]],"0000"))</f>
        <v>0184RCBC1150</v>
      </c>
      <c r="B1151" s="1">
        <v>1150</v>
      </c>
      <c r="C1151" s="1" t="s">
        <v>21</v>
      </c>
      <c r="D1151" s="35"/>
      <c r="K1151" s="32">
        <f>_xlfn.MAXIFS(ConsumoConcreto[Fim do Bombeamento],ConsumoConcreto[RecebimentoID],RecebimentoConcreto[[#This Row],[RecebimentoID]])</f>
        <v>0</v>
      </c>
      <c r="M1151" s="37">
        <v>36892</v>
      </c>
      <c r="N1151" s="5"/>
      <c r="O1151" s="9"/>
      <c r="P1151" s="5" t="s">
        <v>26</v>
      </c>
      <c r="Q1151" s="2"/>
      <c r="R1151" s="5" t="s">
        <v>27</v>
      </c>
      <c r="S1151" s="5"/>
    </row>
    <row r="1152" spans="1:19" ht="20.100000000000001" hidden="1" customHeight="1" x14ac:dyDescent="0.25">
      <c r="A1152" s="26" t="str">
        <f>CONCATENATE(RIGHT(LEFT(RecebimentoConcreto[[#This Row],[Obra]],5),4),"RCBC",TEXT(RecebimentoConcreto[[#This Row],[Ordem]],"0000"))</f>
        <v>0184RCBC1151</v>
      </c>
      <c r="B1152" s="1">
        <v>1151</v>
      </c>
      <c r="C1152" s="1" t="s">
        <v>21</v>
      </c>
      <c r="D1152" s="35"/>
      <c r="K1152" s="32">
        <f>_xlfn.MAXIFS(ConsumoConcreto[Fim do Bombeamento],ConsumoConcreto[RecebimentoID],RecebimentoConcreto[[#This Row],[RecebimentoID]])</f>
        <v>0</v>
      </c>
      <c r="M1152" s="37">
        <v>36892</v>
      </c>
      <c r="N1152" s="5"/>
      <c r="O1152" s="9"/>
      <c r="P1152" s="5" t="s">
        <v>26</v>
      </c>
      <c r="Q1152" s="2"/>
      <c r="R1152" s="5" t="s">
        <v>27</v>
      </c>
      <c r="S1152" s="5"/>
    </row>
    <row r="1153" spans="1:19" ht="20.100000000000001" hidden="1" customHeight="1" x14ac:dyDescent="0.25">
      <c r="A1153" s="26" t="str">
        <f>CONCATENATE(RIGHT(LEFT(RecebimentoConcreto[[#This Row],[Obra]],5),4),"RCBC",TEXT(RecebimentoConcreto[[#This Row],[Ordem]],"0000"))</f>
        <v>0184RCBC1152</v>
      </c>
      <c r="B1153" s="1">
        <v>1152</v>
      </c>
      <c r="C1153" s="1" t="s">
        <v>21</v>
      </c>
      <c r="D1153" s="35"/>
      <c r="K1153" s="32">
        <f>_xlfn.MAXIFS(ConsumoConcreto[Fim do Bombeamento],ConsumoConcreto[RecebimentoID],RecebimentoConcreto[[#This Row],[RecebimentoID]])</f>
        <v>0</v>
      </c>
      <c r="M1153" s="37">
        <v>36892</v>
      </c>
      <c r="N1153" s="5"/>
      <c r="O1153" s="9"/>
      <c r="P1153" s="5" t="s">
        <v>26</v>
      </c>
      <c r="Q1153" s="2"/>
      <c r="R1153" s="5" t="s">
        <v>27</v>
      </c>
      <c r="S1153" s="5"/>
    </row>
    <row r="1154" spans="1:19" ht="20.100000000000001" hidden="1" customHeight="1" x14ac:dyDescent="0.25">
      <c r="A1154" s="26" t="str">
        <f>CONCATENATE(RIGHT(LEFT(RecebimentoConcreto[[#This Row],[Obra]],5),4),"RCBC",TEXT(RecebimentoConcreto[[#This Row],[Ordem]],"0000"))</f>
        <v>0184RCBC1153</v>
      </c>
      <c r="B1154" s="1">
        <v>1153</v>
      </c>
      <c r="C1154" s="1" t="s">
        <v>21</v>
      </c>
      <c r="D1154" s="35"/>
      <c r="K1154" s="32">
        <f>_xlfn.MAXIFS(ConsumoConcreto[Fim do Bombeamento],ConsumoConcreto[RecebimentoID],RecebimentoConcreto[[#This Row],[RecebimentoID]])</f>
        <v>0</v>
      </c>
      <c r="M1154" s="37">
        <v>36892</v>
      </c>
      <c r="N1154" s="5"/>
      <c r="O1154" s="9"/>
      <c r="P1154" s="5" t="s">
        <v>26</v>
      </c>
      <c r="Q1154" s="2"/>
      <c r="R1154" s="5" t="s">
        <v>27</v>
      </c>
      <c r="S1154" s="5"/>
    </row>
    <row r="1155" spans="1:19" ht="20.100000000000001" hidden="1" customHeight="1" x14ac:dyDescent="0.25">
      <c r="A1155" s="26" t="str">
        <f>CONCATENATE(RIGHT(LEFT(RecebimentoConcreto[[#This Row],[Obra]],5),4),"RCBC",TEXT(RecebimentoConcreto[[#This Row],[Ordem]],"0000"))</f>
        <v>0184RCBC1154</v>
      </c>
      <c r="B1155" s="1">
        <v>1154</v>
      </c>
      <c r="C1155" s="1" t="s">
        <v>21</v>
      </c>
      <c r="D1155" s="35"/>
      <c r="K1155" s="32">
        <f>_xlfn.MAXIFS(ConsumoConcreto[Fim do Bombeamento],ConsumoConcreto[RecebimentoID],RecebimentoConcreto[[#This Row],[RecebimentoID]])</f>
        <v>0</v>
      </c>
      <c r="M1155" s="37">
        <v>36892</v>
      </c>
      <c r="N1155" s="5"/>
      <c r="O1155" s="9"/>
      <c r="P1155" s="5" t="s">
        <v>26</v>
      </c>
      <c r="Q1155" s="2"/>
      <c r="R1155" s="5" t="s">
        <v>27</v>
      </c>
      <c r="S1155" s="5"/>
    </row>
    <row r="1156" spans="1:19" ht="20.100000000000001" hidden="1" customHeight="1" x14ac:dyDescent="0.25">
      <c r="A1156" s="26" t="str">
        <f>CONCATENATE(RIGHT(LEFT(RecebimentoConcreto[[#This Row],[Obra]],5),4),"RCBC",TEXT(RecebimentoConcreto[[#This Row],[Ordem]],"0000"))</f>
        <v>0184RCBC1155</v>
      </c>
      <c r="B1156" s="1">
        <v>1155</v>
      </c>
      <c r="C1156" s="1" t="s">
        <v>21</v>
      </c>
      <c r="D1156" s="35"/>
      <c r="K1156" s="32">
        <f>_xlfn.MAXIFS(ConsumoConcreto[Fim do Bombeamento],ConsumoConcreto[RecebimentoID],RecebimentoConcreto[[#This Row],[RecebimentoID]])</f>
        <v>0</v>
      </c>
      <c r="M1156" s="37">
        <v>36892</v>
      </c>
      <c r="N1156" s="5"/>
      <c r="O1156" s="9"/>
      <c r="P1156" s="5" t="s">
        <v>26</v>
      </c>
      <c r="Q1156" s="2"/>
      <c r="R1156" s="5" t="s">
        <v>27</v>
      </c>
      <c r="S1156" s="5"/>
    </row>
    <row r="1157" spans="1:19" ht="20.100000000000001" hidden="1" customHeight="1" x14ac:dyDescent="0.25">
      <c r="A1157" s="26" t="str">
        <f>CONCATENATE(RIGHT(LEFT(RecebimentoConcreto[[#This Row],[Obra]],5),4),"RCBC",TEXT(RecebimentoConcreto[[#This Row],[Ordem]],"0000"))</f>
        <v>0184RCBC1156</v>
      </c>
      <c r="B1157" s="1">
        <v>1156</v>
      </c>
      <c r="C1157" s="1" t="s">
        <v>21</v>
      </c>
      <c r="D1157" s="35"/>
      <c r="K1157" s="32">
        <f>_xlfn.MAXIFS(ConsumoConcreto[Fim do Bombeamento],ConsumoConcreto[RecebimentoID],RecebimentoConcreto[[#This Row],[RecebimentoID]])</f>
        <v>0</v>
      </c>
      <c r="M1157" s="37">
        <v>36892</v>
      </c>
      <c r="N1157" s="5"/>
      <c r="O1157" s="9"/>
      <c r="P1157" s="5" t="s">
        <v>26</v>
      </c>
      <c r="Q1157" s="2"/>
      <c r="R1157" s="5" t="s">
        <v>27</v>
      </c>
      <c r="S1157" s="5"/>
    </row>
    <row r="1158" spans="1:19" ht="20.100000000000001" hidden="1" customHeight="1" x14ac:dyDescent="0.25">
      <c r="A1158" s="26" t="str">
        <f>CONCATENATE(RIGHT(LEFT(RecebimentoConcreto[[#This Row],[Obra]],5),4),"RCBC",TEXT(RecebimentoConcreto[[#This Row],[Ordem]],"0000"))</f>
        <v>0184RCBC1157</v>
      </c>
      <c r="B1158" s="1">
        <v>1157</v>
      </c>
      <c r="C1158" s="1" t="s">
        <v>21</v>
      </c>
      <c r="D1158" s="35"/>
      <c r="K1158" s="32">
        <f>_xlfn.MAXIFS(ConsumoConcreto[Fim do Bombeamento],ConsumoConcreto[RecebimentoID],RecebimentoConcreto[[#This Row],[RecebimentoID]])</f>
        <v>0</v>
      </c>
      <c r="M1158" s="37">
        <v>36892</v>
      </c>
      <c r="N1158" s="5"/>
      <c r="O1158" s="9"/>
      <c r="P1158" s="5" t="s">
        <v>26</v>
      </c>
      <c r="Q1158" s="2"/>
      <c r="R1158" s="5" t="s">
        <v>27</v>
      </c>
      <c r="S1158" s="5"/>
    </row>
    <row r="1159" spans="1:19" ht="20.100000000000001" hidden="1" customHeight="1" x14ac:dyDescent="0.25">
      <c r="A1159" s="26" t="str">
        <f>CONCATENATE(RIGHT(LEFT(RecebimentoConcreto[[#This Row],[Obra]],5),4),"RCBC",TEXT(RecebimentoConcreto[[#This Row],[Ordem]],"0000"))</f>
        <v>0184RCBC1158</v>
      </c>
      <c r="B1159" s="1">
        <v>1158</v>
      </c>
      <c r="C1159" s="1" t="s">
        <v>21</v>
      </c>
      <c r="D1159" s="35"/>
      <c r="K1159" s="32">
        <f>_xlfn.MAXIFS(ConsumoConcreto[Fim do Bombeamento],ConsumoConcreto[RecebimentoID],RecebimentoConcreto[[#This Row],[RecebimentoID]])</f>
        <v>0</v>
      </c>
      <c r="M1159" s="37">
        <v>36892</v>
      </c>
      <c r="N1159" s="5"/>
      <c r="O1159" s="9"/>
      <c r="P1159" s="5" t="s">
        <v>26</v>
      </c>
      <c r="Q1159" s="2"/>
      <c r="R1159" s="5" t="s">
        <v>27</v>
      </c>
      <c r="S1159" s="5"/>
    </row>
    <row r="1160" spans="1:19" ht="20.100000000000001" hidden="1" customHeight="1" x14ac:dyDescent="0.25">
      <c r="A1160" s="26" t="str">
        <f>CONCATENATE(RIGHT(LEFT(RecebimentoConcreto[[#This Row],[Obra]],5),4),"RCBC",TEXT(RecebimentoConcreto[[#This Row],[Ordem]],"0000"))</f>
        <v>0184RCBC1159</v>
      </c>
      <c r="B1160" s="1">
        <v>1159</v>
      </c>
      <c r="C1160" s="1" t="s">
        <v>21</v>
      </c>
      <c r="D1160" s="35"/>
      <c r="K1160" s="32">
        <f>_xlfn.MAXIFS(ConsumoConcreto[Fim do Bombeamento],ConsumoConcreto[RecebimentoID],RecebimentoConcreto[[#This Row],[RecebimentoID]])</f>
        <v>0</v>
      </c>
      <c r="M1160" s="37">
        <v>36892</v>
      </c>
      <c r="N1160" s="5"/>
      <c r="O1160" s="9"/>
      <c r="P1160" s="5" t="s">
        <v>26</v>
      </c>
      <c r="Q1160" s="2"/>
      <c r="R1160" s="5" t="s">
        <v>27</v>
      </c>
      <c r="S1160" s="5"/>
    </row>
    <row r="1161" spans="1:19" ht="20.100000000000001" hidden="1" customHeight="1" x14ac:dyDescent="0.25">
      <c r="A1161" s="26" t="str">
        <f>CONCATENATE(RIGHT(LEFT(RecebimentoConcreto[[#This Row],[Obra]],5),4),"RCBC",TEXT(RecebimentoConcreto[[#This Row],[Ordem]],"0000"))</f>
        <v>0184RCBC1160</v>
      </c>
      <c r="B1161" s="1">
        <v>1160</v>
      </c>
      <c r="C1161" s="1" t="s">
        <v>21</v>
      </c>
      <c r="D1161" s="35"/>
      <c r="K1161" s="32">
        <f>_xlfn.MAXIFS(ConsumoConcreto[Fim do Bombeamento],ConsumoConcreto[RecebimentoID],RecebimentoConcreto[[#This Row],[RecebimentoID]])</f>
        <v>0</v>
      </c>
      <c r="M1161" s="37">
        <v>36892</v>
      </c>
      <c r="N1161" s="5"/>
      <c r="O1161" s="9"/>
      <c r="P1161" s="5" t="s">
        <v>26</v>
      </c>
      <c r="Q1161" s="2"/>
      <c r="R1161" s="5" t="s">
        <v>27</v>
      </c>
      <c r="S1161" s="5"/>
    </row>
    <row r="1162" spans="1:19" ht="20.100000000000001" hidden="1" customHeight="1" x14ac:dyDescent="0.25">
      <c r="A1162" s="26" t="str">
        <f>CONCATENATE(RIGHT(LEFT(RecebimentoConcreto[[#This Row],[Obra]],5),4),"RCBC",TEXT(RecebimentoConcreto[[#This Row],[Ordem]],"0000"))</f>
        <v>0184RCBC1161</v>
      </c>
      <c r="B1162" s="1">
        <v>1161</v>
      </c>
      <c r="C1162" s="1" t="s">
        <v>21</v>
      </c>
      <c r="D1162" s="35"/>
      <c r="K1162" s="32">
        <f>_xlfn.MAXIFS(ConsumoConcreto[Fim do Bombeamento],ConsumoConcreto[RecebimentoID],RecebimentoConcreto[[#This Row],[RecebimentoID]])</f>
        <v>0</v>
      </c>
      <c r="M1162" s="37">
        <v>36892</v>
      </c>
      <c r="N1162" s="5"/>
      <c r="O1162" s="9"/>
      <c r="P1162" s="5" t="s">
        <v>26</v>
      </c>
      <c r="Q1162" s="2"/>
      <c r="R1162" s="5" t="s">
        <v>27</v>
      </c>
      <c r="S1162" s="5"/>
    </row>
    <row r="1163" spans="1:19" ht="20.100000000000001" hidden="1" customHeight="1" x14ac:dyDescent="0.25">
      <c r="A1163" s="26" t="str">
        <f>CONCATENATE(RIGHT(LEFT(RecebimentoConcreto[[#This Row],[Obra]],5),4),"RCBC",TEXT(RecebimentoConcreto[[#This Row],[Ordem]],"0000"))</f>
        <v>0184RCBC1162</v>
      </c>
      <c r="B1163" s="1">
        <v>1162</v>
      </c>
      <c r="C1163" s="1" t="s">
        <v>21</v>
      </c>
      <c r="D1163" s="35"/>
      <c r="K1163" s="32">
        <f>_xlfn.MAXIFS(ConsumoConcreto[Fim do Bombeamento],ConsumoConcreto[RecebimentoID],RecebimentoConcreto[[#This Row],[RecebimentoID]])</f>
        <v>0</v>
      </c>
      <c r="M1163" s="37">
        <v>36892</v>
      </c>
      <c r="N1163" s="5"/>
      <c r="O1163" s="9"/>
      <c r="P1163" s="5" t="s">
        <v>26</v>
      </c>
      <c r="Q1163" s="2"/>
      <c r="R1163" s="5" t="s">
        <v>27</v>
      </c>
      <c r="S1163" s="5"/>
    </row>
    <row r="1164" spans="1:19" ht="20.100000000000001" hidden="1" customHeight="1" x14ac:dyDescent="0.25">
      <c r="A1164" s="26" t="str">
        <f>CONCATENATE(RIGHT(LEFT(RecebimentoConcreto[[#This Row],[Obra]],5),4),"RCBC",TEXT(RecebimentoConcreto[[#This Row],[Ordem]],"0000"))</f>
        <v>0184RCBC1163</v>
      </c>
      <c r="B1164" s="1">
        <v>1163</v>
      </c>
      <c r="C1164" s="1" t="s">
        <v>21</v>
      </c>
      <c r="D1164" s="35"/>
      <c r="K1164" s="32">
        <f>_xlfn.MAXIFS(ConsumoConcreto[Fim do Bombeamento],ConsumoConcreto[RecebimentoID],RecebimentoConcreto[[#This Row],[RecebimentoID]])</f>
        <v>0</v>
      </c>
      <c r="M1164" s="37">
        <v>36892</v>
      </c>
      <c r="N1164" s="5"/>
      <c r="O1164" s="9"/>
      <c r="P1164" s="5" t="s">
        <v>26</v>
      </c>
      <c r="Q1164" s="2"/>
      <c r="R1164" s="5" t="s">
        <v>27</v>
      </c>
      <c r="S1164" s="5"/>
    </row>
    <row r="1165" spans="1:19" ht="20.100000000000001" hidden="1" customHeight="1" x14ac:dyDescent="0.25">
      <c r="A1165" s="26" t="str">
        <f>CONCATENATE(RIGHT(LEFT(RecebimentoConcreto[[#This Row],[Obra]],5),4),"RCBC",TEXT(RecebimentoConcreto[[#This Row],[Ordem]],"0000"))</f>
        <v>0184RCBC1164</v>
      </c>
      <c r="B1165" s="1">
        <v>1164</v>
      </c>
      <c r="C1165" s="1" t="s">
        <v>21</v>
      </c>
      <c r="D1165" s="35"/>
      <c r="K1165" s="32">
        <f>_xlfn.MAXIFS(ConsumoConcreto[Fim do Bombeamento],ConsumoConcreto[RecebimentoID],RecebimentoConcreto[[#This Row],[RecebimentoID]])</f>
        <v>0</v>
      </c>
      <c r="M1165" s="37">
        <v>36892</v>
      </c>
      <c r="N1165" s="5"/>
      <c r="O1165" s="9"/>
      <c r="P1165" s="5" t="s">
        <v>26</v>
      </c>
      <c r="Q1165" s="2"/>
      <c r="R1165" s="5" t="s">
        <v>27</v>
      </c>
      <c r="S1165" s="5"/>
    </row>
    <row r="1166" spans="1:19" ht="20.100000000000001" hidden="1" customHeight="1" x14ac:dyDescent="0.25">
      <c r="A1166" s="26" t="str">
        <f>CONCATENATE(RIGHT(LEFT(RecebimentoConcreto[[#This Row],[Obra]],5),4),"RCBC",TEXT(RecebimentoConcreto[[#This Row],[Ordem]],"0000"))</f>
        <v>0184RCBC1165</v>
      </c>
      <c r="B1166" s="1">
        <v>1165</v>
      </c>
      <c r="C1166" s="1" t="s">
        <v>21</v>
      </c>
      <c r="D1166" s="35"/>
      <c r="K1166" s="32">
        <f>_xlfn.MAXIFS(ConsumoConcreto[Fim do Bombeamento],ConsumoConcreto[RecebimentoID],RecebimentoConcreto[[#This Row],[RecebimentoID]])</f>
        <v>0</v>
      </c>
      <c r="M1166" s="37">
        <v>36892</v>
      </c>
      <c r="N1166" s="5"/>
      <c r="O1166" s="9"/>
      <c r="P1166" s="5" t="s">
        <v>26</v>
      </c>
      <c r="Q1166" s="2"/>
      <c r="R1166" s="5" t="s">
        <v>27</v>
      </c>
      <c r="S1166" s="5"/>
    </row>
    <row r="1167" spans="1:19" ht="20.100000000000001" hidden="1" customHeight="1" x14ac:dyDescent="0.25">
      <c r="A1167" s="26" t="str">
        <f>CONCATENATE(RIGHT(LEFT(RecebimentoConcreto[[#This Row],[Obra]],5),4),"RCBC",TEXT(RecebimentoConcreto[[#This Row],[Ordem]],"0000"))</f>
        <v>0184RCBC1166</v>
      </c>
      <c r="B1167" s="1">
        <v>1166</v>
      </c>
      <c r="C1167" s="1" t="s">
        <v>21</v>
      </c>
      <c r="D1167" s="35"/>
      <c r="K1167" s="32">
        <f>_xlfn.MAXIFS(ConsumoConcreto[Fim do Bombeamento],ConsumoConcreto[RecebimentoID],RecebimentoConcreto[[#This Row],[RecebimentoID]])</f>
        <v>0</v>
      </c>
      <c r="M1167" s="37">
        <v>36892</v>
      </c>
      <c r="N1167" s="5"/>
      <c r="O1167" s="9"/>
      <c r="P1167" s="5" t="s">
        <v>26</v>
      </c>
      <c r="Q1167" s="2"/>
      <c r="R1167" s="5" t="s">
        <v>27</v>
      </c>
      <c r="S1167" s="5"/>
    </row>
    <row r="1168" spans="1:19" ht="20.100000000000001" hidden="1" customHeight="1" x14ac:dyDescent="0.25">
      <c r="A1168" s="26" t="str">
        <f>CONCATENATE(RIGHT(LEFT(RecebimentoConcreto[[#This Row],[Obra]],5),4),"RCBC",TEXT(RecebimentoConcreto[[#This Row],[Ordem]],"0000"))</f>
        <v>0184RCBC1167</v>
      </c>
      <c r="B1168" s="1">
        <v>1167</v>
      </c>
      <c r="C1168" s="1" t="s">
        <v>21</v>
      </c>
      <c r="D1168" s="35"/>
      <c r="K1168" s="32">
        <f>_xlfn.MAXIFS(ConsumoConcreto[Fim do Bombeamento],ConsumoConcreto[RecebimentoID],RecebimentoConcreto[[#This Row],[RecebimentoID]])</f>
        <v>0</v>
      </c>
      <c r="M1168" s="37">
        <v>36892</v>
      </c>
      <c r="N1168" s="5"/>
      <c r="O1168" s="9"/>
      <c r="P1168" s="5" t="s">
        <v>26</v>
      </c>
      <c r="Q1168" s="2"/>
      <c r="R1168" s="5" t="s">
        <v>27</v>
      </c>
      <c r="S1168" s="5"/>
    </row>
    <row r="1169" spans="1:19" ht="20.100000000000001" hidden="1" customHeight="1" x14ac:dyDescent="0.25">
      <c r="A1169" s="26" t="str">
        <f>CONCATENATE(RIGHT(LEFT(RecebimentoConcreto[[#This Row],[Obra]],5),4),"RCBC",TEXT(RecebimentoConcreto[[#This Row],[Ordem]],"0000"))</f>
        <v>0184RCBC1168</v>
      </c>
      <c r="B1169" s="1">
        <v>1168</v>
      </c>
      <c r="C1169" s="1" t="s">
        <v>21</v>
      </c>
      <c r="D1169" s="35"/>
      <c r="K1169" s="32">
        <f>_xlfn.MAXIFS(ConsumoConcreto[Fim do Bombeamento],ConsumoConcreto[RecebimentoID],RecebimentoConcreto[[#This Row],[RecebimentoID]])</f>
        <v>0</v>
      </c>
      <c r="M1169" s="37">
        <v>36892</v>
      </c>
      <c r="N1169" s="5"/>
      <c r="O1169" s="9"/>
      <c r="P1169" s="5" t="s">
        <v>26</v>
      </c>
      <c r="Q1169" s="2"/>
      <c r="R1169" s="5" t="s">
        <v>27</v>
      </c>
      <c r="S1169" s="5"/>
    </row>
    <row r="1170" spans="1:19" ht="20.100000000000001" hidden="1" customHeight="1" x14ac:dyDescent="0.25">
      <c r="A1170" s="26" t="str">
        <f>CONCATENATE(RIGHT(LEFT(RecebimentoConcreto[[#This Row],[Obra]],5),4),"RCBC",TEXT(RecebimentoConcreto[[#This Row],[Ordem]],"0000"))</f>
        <v>0184RCBC1169</v>
      </c>
      <c r="B1170" s="1">
        <v>1169</v>
      </c>
      <c r="C1170" s="1" t="s">
        <v>21</v>
      </c>
      <c r="D1170" s="35"/>
      <c r="K1170" s="32">
        <f>_xlfn.MAXIFS(ConsumoConcreto[Fim do Bombeamento],ConsumoConcreto[RecebimentoID],RecebimentoConcreto[[#This Row],[RecebimentoID]])</f>
        <v>0</v>
      </c>
      <c r="M1170" s="37">
        <v>36892</v>
      </c>
      <c r="N1170" s="5"/>
      <c r="O1170" s="9"/>
      <c r="P1170" s="5" t="s">
        <v>26</v>
      </c>
      <c r="Q1170" s="2"/>
      <c r="R1170" s="5" t="s">
        <v>27</v>
      </c>
      <c r="S1170" s="5"/>
    </row>
    <row r="1171" spans="1:19" ht="20.100000000000001" hidden="1" customHeight="1" x14ac:dyDescent="0.25">
      <c r="A1171" s="26" t="str">
        <f>CONCATENATE(RIGHT(LEFT(RecebimentoConcreto[[#This Row],[Obra]],5),4),"RCBC",TEXT(RecebimentoConcreto[[#This Row],[Ordem]],"0000"))</f>
        <v>0184RCBC1170</v>
      </c>
      <c r="B1171" s="1">
        <v>1170</v>
      </c>
      <c r="C1171" s="1" t="s">
        <v>21</v>
      </c>
      <c r="D1171" s="35"/>
      <c r="K1171" s="32">
        <f>_xlfn.MAXIFS(ConsumoConcreto[Fim do Bombeamento],ConsumoConcreto[RecebimentoID],RecebimentoConcreto[[#This Row],[RecebimentoID]])</f>
        <v>0</v>
      </c>
      <c r="M1171" s="37">
        <v>36892</v>
      </c>
      <c r="N1171" s="5"/>
      <c r="O1171" s="9"/>
      <c r="P1171" s="5" t="s">
        <v>26</v>
      </c>
      <c r="Q1171" s="2"/>
      <c r="R1171" s="5" t="s">
        <v>27</v>
      </c>
      <c r="S1171" s="5"/>
    </row>
    <row r="1172" spans="1:19" ht="20.100000000000001" hidden="1" customHeight="1" x14ac:dyDescent="0.25">
      <c r="A1172" s="26" t="str">
        <f>CONCATENATE(RIGHT(LEFT(RecebimentoConcreto[[#This Row],[Obra]],5),4),"RCBC",TEXT(RecebimentoConcreto[[#This Row],[Ordem]],"0000"))</f>
        <v>0184RCBC1171</v>
      </c>
      <c r="B1172" s="1">
        <v>1171</v>
      </c>
      <c r="C1172" s="1" t="s">
        <v>21</v>
      </c>
      <c r="D1172" s="35"/>
      <c r="K1172" s="32">
        <f>_xlfn.MAXIFS(ConsumoConcreto[Fim do Bombeamento],ConsumoConcreto[RecebimentoID],RecebimentoConcreto[[#This Row],[RecebimentoID]])</f>
        <v>0</v>
      </c>
      <c r="M1172" s="37">
        <v>36892</v>
      </c>
      <c r="N1172" s="5"/>
      <c r="O1172" s="9"/>
      <c r="P1172" s="5" t="s">
        <v>26</v>
      </c>
      <c r="Q1172" s="2"/>
      <c r="R1172" s="5" t="s">
        <v>27</v>
      </c>
      <c r="S1172" s="5"/>
    </row>
    <row r="1173" spans="1:19" ht="20.100000000000001" hidden="1" customHeight="1" x14ac:dyDescent="0.25">
      <c r="A1173" s="26" t="str">
        <f>CONCATENATE(RIGHT(LEFT(RecebimentoConcreto[[#This Row],[Obra]],5),4),"RCBC",TEXT(RecebimentoConcreto[[#This Row],[Ordem]],"0000"))</f>
        <v>0184RCBC1172</v>
      </c>
      <c r="B1173" s="1">
        <v>1172</v>
      </c>
      <c r="C1173" s="1" t="s">
        <v>21</v>
      </c>
      <c r="D1173" s="35"/>
      <c r="K1173" s="32">
        <f>_xlfn.MAXIFS(ConsumoConcreto[Fim do Bombeamento],ConsumoConcreto[RecebimentoID],RecebimentoConcreto[[#This Row],[RecebimentoID]])</f>
        <v>0</v>
      </c>
      <c r="M1173" s="37">
        <v>36892</v>
      </c>
      <c r="N1173" s="5"/>
      <c r="O1173" s="9"/>
      <c r="P1173" s="5" t="s">
        <v>26</v>
      </c>
      <c r="Q1173" s="2"/>
      <c r="R1173" s="5" t="s">
        <v>27</v>
      </c>
      <c r="S1173" s="5"/>
    </row>
    <row r="1174" spans="1:19" ht="20.100000000000001" hidden="1" customHeight="1" x14ac:dyDescent="0.25">
      <c r="A1174" s="26" t="str">
        <f>CONCATENATE(RIGHT(LEFT(RecebimentoConcreto[[#This Row],[Obra]],5),4),"RCBC",TEXT(RecebimentoConcreto[[#This Row],[Ordem]],"0000"))</f>
        <v>0184RCBC1173</v>
      </c>
      <c r="B1174" s="1">
        <v>1173</v>
      </c>
      <c r="C1174" s="1" t="s">
        <v>21</v>
      </c>
      <c r="D1174" s="35"/>
      <c r="K1174" s="32">
        <f>_xlfn.MAXIFS(ConsumoConcreto[Fim do Bombeamento],ConsumoConcreto[RecebimentoID],RecebimentoConcreto[[#This Row],[RecebimentoID]])</f>
        <v>0</v>
      </c>
      <c r="M1174" s="37">
        <v>36892</v>
      </c>
      <c r="N1174" s="5"/>
      <c r="O1174" s="9"/>
      <c r="P1174" s="5" t="s">
        <v>26</v>
      </c>
      <c r="Q1174" s="2"/>
      <c r="R1174" s="5" t="s">
        <v>27</v>
      </c>
      <c r="S1174" s="5"/>
    </row>
    <row r="1175" spans="1:19" ht="20.100000000000001" hidden="1" customHeight="1" x14ac:dyDescent="0.25">
      <c r="A1175" s="26" t="str">
        <f>CONCATENATE(RIGHT(LEFT(RecebimentoConcreto[[#This Row],[Obra]],5),4),"RCBC",TEXT(RecebimentoConcreto[[#This Row],[Ordem]],"0000"))</f>
        <v>0184RCBC1174</v>
      </c>
      <c r="B1175" s="1">
        <v>1174</v>
      </c>
      <c r="C1175" s="1" t="s">
        <v>21</v>
      </c>
      <c r="D1175" s="35"/>
      <c r="K1175" s="32">
        <f>_xlfn.MAXIFS(ConsumoConcreto[Fim do Bombeamento],ConsumoConcreto[RecebimentoID],RecebimentoConcreto[[#This Row],[RecebimentoID]])</f>
        <v>0</v>
      </c>
      <c r="M1175" s="37">
        <v>36892</v>
      </c>
      <c r="N1175" s="5"/>
      <c r="O1175" s="9"/>
      <c r="P1175" s="5" t="s">
        <v>26</v>
      </c>
      <c r="Q1175" s="2"/>
      <c r="R1175" s="5" t="s">
        <v>27</v>
      </c>
      <c r="S1175" s="5"/>
    </row>
    <row r="1176" spans="1:19" ht="20.100000000000001" hidden="1" customHeight="1" x14ac:dyDescent="0.25">
      <c r="A1176" s="26" t="str">
        <f>CONCATENATE(RIGHT(LEFT(RecebimentoConcreto[[#This Row],[Obra]],5),4),"RCBC",TEXT(RecebimentoConcreto[[#This Row],[Ordem]],"0000"))</f>
        <v>0184RCBC1175</v>
      </c>
      <c r="B1176" s="1">
        <v>1175</v>
      </c>
      <c r="C1176" s="1" t="s">
        <v>21</v>
      </c>
      <c r="D1176" s="35"/>
      <c r="K1176" s="32">
        <f>_xlfn.MAXIFS(ConsumoConcreto[Fim do Bombeamento],ConsumoConcreto[RecebimentoID],RecebimentoConcreto[[#This Row],[RecebimentoID]])</f>
        <v>0</v>
      </c>
      <c r="M1176" s="37">
        <v>36892</v>
      </c>
      <c r="N1176" s="5"/>
      <c r="O1176" s="9"/>
      <c r="P1176" s="5" t="s">
        <v>26</v>
      </c>
      <c r="Q1176" s="2"/>
      <c r="R1176" s="5" t="s">
        <v>27</v>
      </c>
      <c r="S1176" s="5"/>
    </row>
    <row r="1177" spans="1:19" ht="20.100000000000001" hidden="1" customHeight="1" x14ac:dyDescent="0.25">
      <c r="A1177" s="26" t="str">
        <f>CONCATENATE(RIGHT(LEFT(RecebimentoConcreto[[#This Row],[Obra]],5),4),"RCBC",TEXT(RecebimentoConcreto[[#This Row],[Ordem]],"0000"))</f>
        <v>0184RCBC1176</v>
      </c>
      <c r="B1177" s="1">
        <v>1176</v>
      </c>
      <c r="C1177" s="1" t="s">
        <v>21</v>
      </c>
      <c r="D1177" s="35"/>
      <c r="K1177" s="32">
        <f>_xlfn.MAXIFS(ConsumoConcreto[Fim do Bombeamento],ConsumoConcreto[RecebimentoID],RecebimentoConcreto[[#This Row],[RecebimentoID]])</f>
        <v>0</v>
      </c>
      <c r="M1177" s="37">
        <v>36892</v>
      </c>
      <c r="N1177" s="5"/>
      <c r="O1177" s="9"/>
      <c r="P1177" s="5" t="s">
        <v>26</v>
      </c>
      <c r="Q1177" s="2"/>
      <c r="R1177" s="5" t="s">
        <v>27</v>
      </c>
      <c r="S1177" s="5"/>
    </row>
    <row r="1178" spans="1:19" ht="20.100000000000001" hidden="1" customHeight="1" x14ac:dyDescent="0.25">
      <c r="A1178" s="26" t="str">
        <f>CONCATENATE(RIGHT(LEFT(RecebimentoConcreto[[#This Row],[Obra]],5),4),"RCBC",TEXT(RecebimentoConcreto[[#This Row],[Ordem]],"0000"))</f>
        <v>0184RCBC1177</v>
      </c>
      <c r="B1178" s="1">
        <v>1177</v>
      </c>
      <c r="C1178" s="1" t="s">
        <v>21</v>
      </c>
      <c r="D1178" s="35"/>
      <c r="K1178" s="32">
        <f>_xlfn.MAXIFS(ConsumoConcreto[Fim do Bombeamento],ConsumoConcreto[RecebimentoID],RecebimentoConcreto[[#This Row],[RecebimentoID]])</f>
        <v>0</v>
      </c>
      <c r="M1178" s="37">
        <v>36892</v>
      </c>
      <c r="N1178" s="5"/>
      <c r="O1178" s="9"/>
      <c r="P1178" s="5" t="s">
        <v>26</v>
      </c>
      <c r="Q1178" s="2"/>
      <c r="R1178" s="5" t="s">
        <v>27</v>
      </c>
      <c r="S1178" s="5"/>
    </row>
    <row r="1179" spans="1:19" ht="20.100000000000001" hidden="1" customHeight="1" x14ac:dyDescent="0.25">
      <c r="A1179" s="26" t="str">
        <f>CONCATENATE(RIGHT(LEFT(RecebimentoConcreto[[#This Row],[Obra]],5),4),"RCBC",TEXT(RecebimentoConcreto[[#This Row],[Ordem]],"0000"))</f>
        <v>0184RCBC1178</v>
      </c>
      <c r="B1179" s="1">
        <v>1178</v>
      </c>
      <c r="C1179" s="1" t="s">
        <v>21</v>
      </c>
      <c r="D1179" s="35"/>
      <c r="K1179" s="32">
        <f>_xlfn.MAXIFS(ConsumoConcreto[Fim do Bombeamento],ConsumoConcreto[RecebimentoID],RecebimentoConcreto[[#This Row],[RecebimentoID]])</f>
        <v>0</v>
      </c>
      <c r="M1179" s="37">
        <v>36892</v>
      </c>
      <c r="N1179" s="5"/>
      <c r="O1179" s="9"/>
      <c r="P1179" s="5" t="s">
        <v>26</v>
      </c>
      <c r="Q1179" s="2"/>
      <c r="R1179" s="5" t="s">
        <v>27</v>
      </c>
      <c r="S1179" s="5"/>
    </row>
    <row r="1180" spans="1:19" ht="20.100000000000001" hidden="1" customHeight="1" x14ac:dyDescent="0.25">
      <c r="A1180" s="26" t="str">
        <f>CONCATENATE(RIGHT(LEFT(RecebimentoConcreto[[#This Row],[Obra]],5),4),"RCBC",TEXT(RecebimentoConcreto[[#This Row],[Ordem]],"0000"))</f>
        <v>0184RCBC1179</v>
      </c>
      <c r="B1180" s="1">
        <v>1179</v>
      </c>
      <c r="C1180" s="1" t="s">
        <v>21</v>
      </c>
      <c r="D1180" s="35"/>
      <c r="K1180" s="32">
        <f>_xlfn.MAXIFS(ConsumoConcreto[Fim do Bombeamento],ConsumoConcreto[RecebimentoID],RecebimentoConcreto[[#This Row],[RecebimentoID]])</f>
        <v>0</v>
      </c>
      <c r="M1180" s="37">
        <v>36892</v>
      </c>
      <c r="N1180" s="5"/>
      <c r="O1180" s="9"/>
      <c r="P1180" s="5" t="s">
        <v>26</v>
      </c>
      <c r="Q1180" s="2"/>
      <c r="R1180" s="5" t="s">
        <v>27</v>
      </c>
      <c r="S1180" s="5"/>
    </row>
    <row r="1181" spans="1:19" ht="20.100000000000001" hidden="1" customHeight="1" x14ac:dyDescent="0.25">
      <c r="A1181" s="26" t="str">
        <f>CONCATENATE(RIGHT(LEFT(RecebimentoConcreto[[#This Row],[Obra]],5),4),"RCBC",TEXT(RecebimentoConcreto[[#This Row],[Ordem]],"0000"))</f>
        <v>0184RCBC1180</v>
      </c>
      <c r="B1181" s="1">
        <v>1180</v>
      </c>
      <c r="C1181" s="1" t="s">
        <v>21</v>
      </c>
      <c r="D1181" s="35"/>
      <c r="K1181" s="32">
        <f>_xlfn.MAXIFS(ConsumoConcreto[Fim do Bombeamento],ConsumoConcreto[RecebimentoID],RecebimentoConcreto[[#This Row],[RecebimentoID]])</f>
        <v>0</v>
      </c>
      <c r="M1181" s="37">
        <v>36892</v>
      </c>
      <c r="N1181" s="5"/>
      <c r="O1181" s="9"/>
      <c r="P1181" s="5" t="s">
        <v>26</v>
      </c>
      <c r="Q1181" s="2"/>
      <c r="R1181" s="5" t="s">
        <v>27</v>
      </c>
      <c r="S1181" s="5"/>
    </row>
    <row r="1182" spans="1:19" ht="20.100000000000001" hidden="1" customHeight="1" x14ac:dyDescent="0.25">
      <c r="A1182" s="26" t="str">
        <f>CONCATENATE(RIGHT(LEFT(RecebimentoConcreto[[#This Row],[Obra]],5),4),"RCBC",TEXT(RecebimentoConcreto[[#This Row],[Ordem]],"0000"))</f>
        <v>0184RCBC1181</v>
      </c>
      <c r="B1182" s="1">
        <v>1181</v>
      </c>
      <c r="C1182" s="1" t="s">
        <v>21</v>
      </c>
      <c r="D1182" s="35"/>
      <c r="K1182" s="32">
        <f>_xlfn.MAXIFS(ConsumoConcreto[Fim do Bombeamento],ConsumoConcreto[RecebimentoID],RecebimentoConcreto[[#This Row],[RecebimentoID]])</f>
        <v>0</v>
      </c>
      <c r="M1182" s="37">
        <v>36892</v>
      </c>
      <c r="N1182" s="5"/>
      <c r="O1182" s="9"/>
      <c r="P1182" s="5" t="s">
        <v>26</v>
      </c>
      <c r="Q1182" s="2"/>
      <c r="R1182" s="5" t="s">
        <v>27</v>
      </c>
      <c r="S1182" s="5"/>
    </row>
    <row r="1183" spans="1:19" ht="20.100000000000001" hidden="1" customHeight="1" x14ac:dyDescent="0.25">
      <c r="A1183" s="26" t="str">
        <f>CONCATENATE(RIGHT(LEFT(RecebimentoConcreto[[#This Row],[Obra]],5),4),"RCBC",TEXT(RecebimentoConcreto[[#This Row],[Ordem]],"0000"))</f>
        <v>0184RCBC1182</v>
      </c>
      <c r="B1183" s="1">
        <v>1182</v>
      </c>
      <c r="C1183" s="1" t="s">
        <v>21</v>
      </c>
      <c r="D1183" s="35"/>
      <c r="K1183" s="32">
        <f>_xlfn.MAXIFS(ConsumoConcreto[Fim do Bombeamento],ConsumoConcreto[RecebimentoID],RecebimentoConcreto[[#This Row],[RecebimentoID]])</f>
        <v>0</v>
      </c>
      <c r="M1183" s="37">
        <v>36892</v>
      </c>
      <c r="N1183" s="5"/>
      <c r="O1183" s="9"/>
      <c r="P1183" s="5" t="s">
        <v>26</v>
      </c>
      <c r="Q1183" s="2"/>
      <c r="R1183" s="5" t="s">
        <v>27</v>
      </c>
      <c r="S1183" s="5"/>
    </row>
    <row r="1184" spans="1:19" ht="20.100000000000001" hidden="1" customHeight="1" x14ac:dyDescent="0.25">
      <c r="A1184" s="26" t="str">
        <f>CONCATENATE(RIGHT(LEFT(RecebimentoConcreto[[#This Row],[Obra]],5),4),"RCBC",TEXT(RecebimentoConcreto[[#This Row],[Ordem]],"0000"))</f>
        <v>0184RCBC1183</v>
      </c>
      <c r="B1184" s="1">
        <v>1183</v>
      </c>
      <c r="C1184" s="1" t="s">
        <v>21</v>
      </c>
      <c r="D1184" s="35"/>
      <c r="K1184" s="32">
        <f>_xlfn.MAXIFS(ConsumoConcreto[Fim do Bombeamento],ConsumoConcreto[RecebimentoID],RecebimentoConcreto[[#This Row],[RecebimentoID]])</f>
        <v>0</v>
      </c>
      <c r="M1184" s="37">
        <v>36892</v>
      </c>
      <c r="N1184" s="5"/>
      <c r="O1184" s="9"/>
      <c r="P1184" s="5" t="s">
        <v>26</v>
      </c>
      <c r="Q1184" s="2"/>
      <c r="R1184" s="5" t="s">
        <v>27</v>
      </c>
      <c r="S1184" s="5"/>
    </row>
    <row r="1185" spans="1:19" ht="20.100000000000001" hidden="1" customHeight="1" x14ac:dyDescent="0.25">
      <c r="A1185" s="26" t="str">
        <f>CONCATENATE(RIGHT(LEFT(RecebimentoConcreto[[#This Row],[Obra]],5),4),"RCBC",TEXT(RecebimentoConcreto[[#This Row],[Ordem]],"0000"))</f>
        <v>0184RCBC1184</v>
      </c>
      <c r="B1185" s="1">
        <v>1184</v>
      </c>
      <c r="C1185" s="1" t="s">
        <v>21</v>
      </c>
      <c r="D1185" s="35"/>
      <c r="K1185" s="32">
        <f>_xlfn.MAXIFS(ConsumoConcreto[Fim do Bombeamento],ConsumoConcreto[RecebimentoID],RecebimentoConcreto[[#This Row],[RecebimentoID]])</f>
        <v>0</v>
      </c>
      <c r="M1185" s="37">
        <v>36892</v>
      </c>
      <c r="N1185" s="5"/>
      <c r="O1185" s="9"/>
      <c r="P1185" s="5" t="s">
        <v>26</v>
      </c>
      <c r="Q1185" s="2"/>
      <c r="R1185" s="5" t="s">
        <v>27</v>
      </c>
      <c r="S1185" s="5"/>
    </row>
    <row r="1186" spans="1:19" ht="20.100000000000001" hidden="1" customHeight="1" x14ac:dyDescent="0.25">
      <c r="A1186" s="26" t="str">
        <f>CONCATENATE(RIGHT(LEFT(RecebimentoConcreto[[#This Row],[Obra]],5),4),"RCBC",TEXT(RecebimentoConcreto[[#This Row],[Ordem]],"0000"))</f>
        <v>0184RCBC1185</v>
      </c>
      <c r="B1186" s="1">
        <v>1185</v>
      </c>
      <c r="C1186" s="1" t="s">
        <v>21</v>
      </c>
      <c r="D1186" s="35"/>
      <c r="K1186" s="32">
        <f>_xlfn.MAXIFS(ConsumoConcreto[Fim do Bombeamento],ConsumoConcreto[RecebimentoID],RecebimentoConcreto[[#This Row],[RecebimentoID]])</f>
        <v>0</v>
      </c>
      <c r="M1186" s="37">
        <v>36892</v>
      </c>
      <c r="N1186" s="5"/>
      <c r="O1186" s="9"/>
      <c r="P1186" s="5" t="s">
        <v>26</v>
      </c>
      <c r="Q1186" s="2"/>
      <c r="R1186" s="5" t="s">
        <v>27</v>
      </c>
      <c r="S1186" s="5"/>
    </row>
    <row r="1187" spans="1:19" ht="20.100000000000001" hidden="1" customHeight="1" x14ac:dyDescent="0.25">
      <c r="A1187" s="26" t="str">
        <f>CONCATENATE(RIGHT(LEFT(RecebimentoConcreto[[#This Row],[Obra]],5),4),"RCBC",TEXT(RecebimentoConcreto[[#This Row],[Ordem]],"0000"))</f>
        <v>0184RCBC1186</v>
      </c>
      <c r="B1187" s="1">
        <v>1186</v>
      </c>
      <c r="C1187" s="1" t="s">
        <v>21</v>
      </c>
      <c r="D1187" s="35"/>
      <c r="K1187" s="32">
        <f>_xlfn.MAXIFS(ConsumoConcreto[Fim do Bombeamento],ConsumoConcreto[RecebimentoID],RecebimentoConcreto[[#This Row],[RecebimentoID]])</f>
        <v>0</v>
      </c>
      <c r="M1187" s="37">
        <v>36892</v>
      </c>
      <c r="N1187" s="5"/>
      <c r="O1187" s="9"/>
      <c r="P1187" s="5" t="s">
        <v>26</v>
      </c>
      <c r="Q1187" s="2"/>
      <c r="R1187" s="5" t="s">
        <v>27</v>
      </c>
      <c r="S1187" s="5"/>
    </row>
    <row r="1188" spans="1:19" ht="20.100000000000001" hidden="1" customHeight="1" x14ac:dyDescent="0.25">
      <c r="A1188" s="26" t="str">
        <f>CONCATENATE(RIGHT(LEFT(RecebimentoConcreto[[#This Row],[Obra]],5),4),"RCBC",TEXT(RecebimentoConcreto[[#This Row],[Ordem]],"0000"))</f>
        <v>0184RCBC1187</v>
      </c>
      <c r="B1188" s="1">
        <v>1187</v>
      </c>
      <c r="C1188" s="1" t="s">
        <v>21</v>
      </c>
      <c r="D1188" s="35"/>
      <c r="K1188" s="32">
        <f>_xlfn.MAXIFS(ConsumoConcreto[Fim do Bombeamento],ConsumoConcreto[RecebimentoID],RecebimentoConcreto[[#This Row],[RecebimentoID]])</f>
        <v>0</v>
      </c>
      <c r="M1188" s="37">
        <v>36892</v>
      </c>
      <c r="N1188" s="5"/>
      <c r="O1188" s="9"/>
      <c r="P1188" s="5" t="s">
        <v>26</v>
      </c>
      <c r="Q1188" s="2"/>
      <c r="R1188" s="5" t="s">
        <v>27</v>
      </c>
      <c r="S1188" s="5"/>
    </row>
    <row r="1189" spans="1:19" ht="20.100000000000001" hidden="1" customHeight="1" x14ac:dyDescent="0.25">
      <c r="A1189" s="26" t="str">
        <f>CONCATENATE(RIGHT(LEFT(RecebimentoConcreto[[#This Row],[Obra]],5),4),"RCBC",TEXT(RecebimentoConcreto[[#This Row],[Ordem]],"0000"))</f>
        <v>0184RCBC1188</v>
      </c>
      <c r="B1189" s="1">
        <v>1188</v>
      </c>
      <c r="C1189" s="1" t="s">
        <v>21</v>
      </c>
      <c r="D1189" s="35"/>
      <c r="K1189" s="32">
        <f>_xlfn.MAXIFS(ConsumoConcreto[Fim do Bombeamento],ConsumoConcreto[RecebimentoID],RecebimentoConcreto[[#This Row],[RecebimentoID]])</f>
        <v>0</v>
      </c>
      <c r="M1189" s="37">
        <v>36892</v>
      </c>
      <c r="N1189" s="5"/>
      <c r="O1189" s="9"/>
      <c r="P1189" s="5" t="s">
        <v>26</v>
      </c>
      <c r="Q1189" s="2"/>
      <c r="R1189" s="5" t="s">
        <v>27</v>
      </c>
      <c r="S1189" s="5"/>
    </row>
    <row r="1190" spans="1:19" ht="20.100000000000001" hidden="1" customHeight="1" x14ac:dyDescent="0.25">
      <c r="A1190" s="26" t="str">
        <f>CONCATENATE(RIGHT(LEFT(RecebimentoConcreto[[#This Row],[Obra]],5),4),"RCBC",TEXT(RecebimentoConcreto[[#This Row],[Ordem]],"0000"))</f>
        <v>0184RCBC1189</v>
      </c>
      <c r="B1190" s="1">
        <v>1189</v>
      </c>
      <c r="C1190" s="1" t="s">
        <v>21</v>
      </c>
      <c r="D1190" s="35"/>
      <c r="K1190" s="32">
        <f>_xlfn.MAXIFS(ConsumoConcreto[Fim do Bombeamento],ConsumoConcreto[RecebimentoID],RecebimentoConcreto[[#This Row],[RecebimentoID]])</f>
        <v>0</v>
      </c>
      <c r="M1190" s="37">
        <v>36892</v>
      </c>
      <c r="N1190" s="5"/>
      <c r="O1190" s="9"/>
      <c r="P1190" s="5" t="s">
        <v>26</v>
      </c>
      <c r="Q1190" s="2"/>
      <c r="R1190" s="5" t="s">
        <v>27</v>
      </c>
      <c r="S1190" s="5"/>
    </row>
    <row r="1191" spans="1:19" ht="20.100000000000001" hidden="1" customHeight="1" x14ac:dyDescent="0.25">
      <c r="A1191" s="26" t="str">
        <f>CONCATENATE(RIGHT(LEFT(RecebimentoConcreto[[#This Row],[Obra]],5),4),"RCBC",TEXT(RecebimentoConcreto[[#This Row],[Ordem]],"0000"))</f>
        <v>0184RCBC1190</v>
      </c>
      <c r="B1191" s="1">
        <v>1190</v>
      </c>
      <c r="C1191" s="1" t="s">
        <v>21</v>
      </c>
      <c r="D1191" s="35"/>
      <c r="K1191" s="32">
        <f>_xlfn.MAXIFS(ConsumoConcreto[Fim do Bombeamento],ConsumoConcreto[RecebimentoID],RecebimentoConcreto[[#This Row],[RecebimentoID]])</f>
        <v>0</v>
      </c>
      <c r="M1191" s="37">
        <v>36892</v>
      </c>
      <c r="N1191" s="5"/>
      <c r="O1191" s="9"/>
      <c r="P1191" s="5" t="s">
        <v>26</v>
      </c>
      <c r="Q1191" s="2"/>
      <c r="R1191" s="5" t="s">
        <v>27</v>
      </c>
      <c r="S1191" s="5"/>
    </row>
    <row r="1192" spans="1:19" ht="20.100000000000001" hidden="1" customHeight="1" x14ac:dyDescent="0.25">
      <c r="A1192" s="26" t="str">
        <f>CONCATENATE(RIGHT(LEFT(RecebimentoConcreto[[#This Row],[Obra]],5),4),"RCBC",TEXT(RecebimentoConcreto[[#This Row],[Ordem]],"0000"))</f>
        <v>0184RCBC1191</v>
      </c>
      <c r="B1192" s="1">
        <v>1191</v>
      </c>
      <c r="C1192" s="1" t="s">
        <v>21</v>
      </c>
      <c r="D1192" s="35"/>
      <c r="K1192" s="32">
        <f>_xlfn.MAXIFS(ConsumoConcreto[Fim do Bombeamento],ConsumoConcreto[RecebimentoID],RecebimentoConcreto[[#This Row],[RecebimentoID]])</f>
        <v>0</v>
      </c>
      <c r="M1192" s="37">
        <v>36892</v>
      </c>
      <c r="N1192" s="5"/>
      <c r="O1192" s="9"/>
      <c r="P1192" s="5" t="s">
        <v>26</v>
      </c>
      <c r="Q1192" s="2"/>
      <c r="R1192" s="5" t="s">
        <v>27</v>
      </c>
      <c r="S1192" s="5"/>
    </row>
    <row r="1193" spans="1:19" ht="20.100000000000001" hidden="1" customHeight="1" x14ac:dyDescent="0.25">
      <c r="A1193" s="26" t="str">
        <f>CONCATENATE(RIGHT(LEFT(RecebimentoConcreto[[#This Row],[Obra]],5),4),"RCBC",TEXT(RecebimentoConcreto[[#This Row],[Ordem]],"0000"))</f>
        <v>0184RCBC1192</v>
      </c>
      <c r="B1193" s="1">
        <v>1192</v>
      </c>
      <c r="C1193" s="1" t="s">
        <v>21</v>
      </c>
      <c r="D1193" s="35"/>
      <c r="K1193" s="32">
        <f>_xlfn.MAXIFS(ConsumoConcreto[Fim do Bombeamento],ConsumoConcreto[RecebimentoID],RecebimentoConcreto[[#This Row],[RecebimentoID]])</f>
        <v>0</v>
      </c>
      <c r="M1193" s="37">
        <v>36892</v>
      </c>
      <c r="N1193" s="5"/>
      <c r="O1193" s="9"/>
      <c r="P1193" s="5" t="s">
        <v>26</v>
      </c>
      <c r="Q1193" s="2"/>
      <c r="R1193" s="5" t="s">
        <v>27</v>
      </c>
      <c r="S1193" s="5"/>
    </row>
    <row r="1194" spans="1:19" ht="20.100000000000001" hidden="1" customHeight="1" x14ac:dyDescent="0.25">
      <c r="A1194" s="26" t="str">
        <f>CONCATENATE(RIGHT(LEFT(RecebimentoConcreto[[#This Row],[Obra]],5),4),"RCBC",TEXT(RecebimentoConcreto[[#This Row],[Ordem]],"0000"))</f>
        <v>0184RCBC1193</v>
      </c>
      <c r="B1194" s="1">
        <v>1193</v>
      </c>
      <c r="C1194" s="1" t="s">
        <v>21</v>
      </c>
      <c r="D1194" s="35"/>
      <c r="K1194" s="32">
        <f>_xlfn.MAXIFS(ConsumoConcreto[Fim do Bombeamento],ConsumoConcreto[RecebimentoID],RecebimentoConcreto[[#This Row],[RecebimentoID]])</f>
        <v>0</v>
      </c>
      <c r="M1194" s="37">
        <v>36892</v>
      </c>
      <c r="N1194" s="5"/>
      <c r="O1194" s="9"/>
      <c r="P1194" s="5" t="s">
        <v>26</v>
      </c>
      <c r="Q1194" s="2"/>
      <c r="R1194" s="5" t="s">
        <v>27</v>
      </c>
      <c r="S1194" s="5"/>
    </row>
    <row r="1195" spans="1:19" ht="20.100000000000001" hidden="1" customHeight="1" x14ac:dyDescent="0.25">
      <c r="A1195" s="26" t="str">
        <f>CONCATENATE(RIGHT(LEFT(RecebimentoConcreto[[#This Row],[Obra]],5),4),"RCBC",TEXT(RecebimentoConcreto[[#This Row],[Ordem]],"0000"))</f>
        <v>0184RCBC1194</v>
      </c>
      <c r="B1195" s="1">
        <v>1194</v>
      </c>
      <c r="C1195" s="1" t="s">
        <v>21</v>
      </c>
      <c r="D1195" s="35"/>
      <c r="K1195" s="32">
        <f>_xlfn.MAXIFS(ConsumoConcreto[Fim do Bombeamento],ConsumoConcreto[RecebimentoID],RecebimentoConcreto[[#This Row],[RecebimentoID]])</f>
        <v>0</v>
      </c>
      <c r="M1195" s="37">
        <v>36892</v>
      </c>
      <c r="N1195" s="5"/>
      <c r="O1195" s="9"/>
      <c r="P1195" s="5" t="s">
        <v>26</v>
      </c>
      <c r="Q1195" s="2"/>
      <c r="R1195" s="5" t="s">
        <v>27</v>
      </c>
      <c r="S1195" s="5"/>
    </row>
    <row r="1196" spans="1:19" ht="20.100000000000001" hidden="1" customHeight="1" x14ac:dyDescent="0.25">
      <c r="A1196" s="26" t="str">
        <f>CONCATENATE(RIGHT(LEFT(RecebimentoConcreto[[#This Row],[Obra]],5),4),"RCBC",TEXT(RecebimentoConcreto[[#This Row],[Ordem]],"0000"))</f>
        <v>0184RCBC1195</v>
      </c>
      <c r="B1196" s="1">
        <v>1195</v>
      </c>
      <c r="C1196" s="1" t="s">
        <v>21</v>
      </c>
      <c r="D1196" s="35"/>
      <c r="K1196" s="32">
        <f>_xlfn.MAXIFS(ConsumoConcreto[Fim do Bombeamento],ConsumoConcreto[RecebimentoID],RecebimentoConcreto[[#This Row],[RecebimentoID]])</f>
        <v>0</v>
      </c>
      <c r="M1196" s="37">
        <v>36892</v>
      </c>
      <c r="N1196" s="5"/>
      <c r="O1196" s="9"/>
      <c r="P1196" s="5" t="s">
        <v>26</v>
      </c>
      <c r="Q1196" s="2"/>
      <c r="R1196" s="5" t="s">
        <v>27</v>
      </c>
      <c r="S1196" s="5"/>
    </row>
    <row r="1197" spans="1:19" ht="20.100000000000001" hidden="1" customHeight="1" x14ac:dyDescent="0.25">
      <c r="A1197" s="26" t="str">
        <f>CONCATENATE(RIGHT(LEFT(RecebimentoConcreto[[#This Row],[Obra]],5),4),"RCBC",TEXT(RecebimentoConcreto[[#This Row],[Ordem]],"0000"))</f>
        <v>0184RCBC1196</v>
      </c>
      <c r="B1197" s="1">
        <v>1196</v>
      </c>
      <c r="C1197" s="1" t="s">
        <v>21</v>
      </c>
      <c r="D1197" s="35"/>
      <c r="K1197" s="32">
        <f>_xlfn.MAXIFS(ConsumoConcreto[Fim do Bombeamento],ConsumoConcreto[RecebimentoID],RecebimentoConcreto[[#This Row],[RecebimentoID]])</f>
        <v>0</v>
      </c>
      <c r="M1197" s="37">
        <v>36892</v>
      </c>
      <c r="N1197" s="5"/>
      <c r="O1197" s="9"/>
      <c r="P1197" s="5" t="s">
        <v>26</v>
      </c>
      <c r="Q1197" s="2"/>
      <c r="R1197" s="5" t="s">
        <v>27</v>
      </c>
      <c r="S1197" s="5"/>
    </row>
    <row r="1198" spans="1:19" ht="20.100000000000001" hidden="1" customHeight="1" x14ac:dyDescent="0.25">
      <c r="A1198" s="26" t="str">
        <f>CONCATENATE(RIGHT(LEFT(RecebimentoConcreto[[#This Row],[Obra]],5),4),"RCBC",TEXT(RecebimentoConcreto[[#This Row],[Ordem]],"0000"))</f>
        <v>0184RCBC1197</v>
      </c>
      <c r="B1198" s="1">
        <v>1197</v>
      </c>
      <c r="C1198" s="1" t="s">
        <v>21</v>
      </c>
      <c r="D1198" s="35"/>
      <c r="K1198" s="32">
        <f>_xlfn.MAXIFS(ConsumoConcreto[Fim do Bombeamento],ConsumoConcreto[RecebimentoID],RecebimentoConcreto[[#This Row],[RecebimentoID]])</f>
        <v>0</v>
      </c>
      <c r="M1198" s="37">
        <v>36892</v>
      </c>
      <c r="N1198" s="5"/>
      <c r="O1198" s="9"/>
      <c r="P1198" s="5" t="s">
        <v>26</v>
      </c>
      <c r="Q1198" s="2"/>
      <c r="R1198" s="5" t="s">
        <v>27</v>
      </c>
      <c r="S1198" s="5"/>
    </row>
    <row r="1199" spans="1:19" ht="20.100000000000001" hidden="1" customHeight="1" x14ac:dyDescent="0.25">
      <c r="A1199" s="26" t="str">
        <f>CONCATENATE(RIGHT(LEFT(RecebimentoConcreto[[#This Row],[Obra]],5),4),"RCBC",TEXT(RecebimentoConcreto[[#This Row],[Ordem]],"0000"))</f>
        <v>0184RCBC1198</v>
      </c>
      <c r="B1199" s="1">
        <v>1198</v>
      </c>
      <c r="C1199" s="1" t="s">
        <v>21</v>
      </c>
      <c r="D1199" s="35"/>
      <c r="K1199" s="32">
        <f>_xlfn.MAXIFS(ConsumoConcreto[Fim do Bombeamento],ConsumoConcreto[RecebimentoID],RecebimentoConcreto[[#This Row],[RecebimentoID]])</f>
        <v>0</v>
      </c>
      <c r="M1199" s="37">
        <v>36892</v>
      </c>
      <c r="N1199" s="5"/>
      <c r="O1199" s="9"/>
      <c r="P1199" s="5" t="s">
        <v>26</v>
      </c>
      <c r="Q1199" s="2"/>
      <c r="R1199" s="5" t="s">
        <v>27</v>
      </c>
      <c r="S1199" s="5"/>
    </row>
    <row r="1200" spans="1:19" ht="20.100000000000001" hidden="1" customHeight="1" x14ac:dyDescent="0.25">
      <c r="A1200" s="26" t="str">
        <f>CONCATENATE(RIGHT(LEFT(RecebimentoConcreto[[#This Row],[Obra]],5),4),"RCBC",TEXT(RecebimentoConcreto[[#This Row],[Ordem]],"0000"))</f>
        <v>0184RCBC1199</v>
      </c>
      <c r="B1200" s="1">
        <v>1199</v>
      </c>
      <c r="C1200" s="1" t="s">
        <v>21</v>
      </c>
      <c r="D1200" s="35"/>
      <c r="K1200" s="32">
        <f>_xlfn.MAXIFS(ConsumoConcreto[Fim do Bombeamento],ConsumoConcreto[RecebimentoID],RecebimentoConcreto[[#This Row],[RecebimentoID]])</f>
        <v>0</v>
      </c>
      <c r="M1200" s="37">
        <v>36892</v>
      </c>
      <c r="N1200" s="5"/>
      <c r="O1200" s="9"/>
      <c r="P1200" s="5" t="s">
        <v>26</v>
      </c>
      <c r="Q1200" s="2"/>
      <c r="R1200" s="5" t="s">
        <v>27</v>
      </c>
      <c r="S1200" s="5"/>
    </row>
    <row r="1201" spans="1:19" ht="20.100000000000001" hidden="1" customHeight="1" x14ac:dyDescent="0.25">
      <c r="A1201" s="26" t="str">
        <f>CONCATENATE(RIGHT(LEFT(RecebimentoConcreto[[#This Row],[Obra]],5),4),"RCBC",TEXT(RecebimentoConcreto[[#This Row],[Ordem]],"0000"))</f>
        <v>0184RCBC1200</v>
      </c>
      <c r="B1201" s="1">
        <v>1200</v>
      </c>
      <c r="C1201" s="1" t="s">
        <v>21</v>
      </c>
      <c r="D1201" s="35"/>
      <c r="K1201" s="32">
        <f>_xlfn.MAXIFS(ConsumoConcreto[Fim do Bombeamento],ConsumoConcreto[RecebimentoID],RecebimentoConcreto[[#This Row],[RecebimentoID]])</f>
        <v>0</v>
      </c>
      <c r="M1201" s="37">
        <v>36892</v>
      </c>
      <c r="N1201" s="5"/>
      <c r="O1201" s="9"/>
      <c r="P1201" s="5" t="s">
        <v>26</v>
      </c>
      <c r="Q1201" s="2"/>
      <c r="R1201" s="5" t="s">
        <v>27</v>
      </c>
      <c r="S1201" s="5"/>
    </row>
    <row r="1202" spans="1:19" ht="20.100000000000001" hidden="1" customHeight="1" x14ac:dyDescent="0.25">
      <c r="A1202" s="26" t="str">
        <f>CONCATENATE(RIGHT(LEFT(RecebimentoConcreto[[#This Row],[Obra]],5),4),"RCBC",TEXT(RecebimentoConcreto[[#This Row],[Ordem]],"0000"))</f>
        <v>0184RCBC1201</v>
      </c>
      <c r="B1202" s="1">
        <v>1201</v>
      </c>
      <c r="C1202" s="1" t="s">
        <v>21</v>
      </c>
      <c r="D1202" s="35"/>
      <c r="K1202" s="32">
        <f>_xlfn.MAXIFS(ConsumoConcreto[Fim do Bombeamento],ConsumoConcreto[RecebimentoID],RecebimentoConcreto[[#This Row],[RecebimentoID]])</f>
        <v>0</v>
      </c>
      <c r="M1202" s="37">
        <v>36892</v>
      </c>
      <c r="N1202" s="5"/>
      <c r="O1202" s="9"/>
      <c r="P1202" s="5" t="s">
        <v>26</v>
      </c>
      <c r="Q1202" s="2"/>
      <c r="R1202" s="5" t="s">
        <v>27</v>
      </c>
      <c r="S1202" s="5"/>
    </row>
    <row r="1203" spans="1:19" ht="20.100000000000001" hidden="1" customHeight="1" x14ac:dyDescent="0.25">
      <c r="A1203" s="26" t="str">
        <f>CONCATENATE(RIGHT(LEFT(RecebimentoConcreto[[#This Row],[Obra]],5),4),"RCBC",TEXT(RecebimentoConcreto[[#This Row],[Ordem]],"0000"))</f>
        <v>0184RCBC1202</v>
      </c>
      <c r="B1203" s="1">
        <v>1202</v>
      </c>
      <c r="C1203" s="1" t="s">
        <v>21</v>
      </c>
      <c r="D1203" s="35"/>
      <c r="K1203" s="32">
        <f>_xlfn.MAXIFS(ConsumoConcreto[Fim do Bombeamento],ConsumoConcreto[RecebimentoID],RecebimentoConcreto[[#This Row],[RecebimentoID]])</f>
        <v>0</v>
      </c>
      <c r="M1203" s="37">
        <v>36892</v>
      </c>
      <c r="N1203" s="5"/>
      <c r="O1203" s="9"/>
      <c r="P1203" s="5" t="s">
        <v>26</v>
      </c>
      <c r="Q1203" s="2"/>
      <c r="R1203" s="5" t="s">
        <v>27</v>
      </c>
      <c r="S1203" s="5"/>
    </row>
    <row r="1204" spans="1:19" ht="20.100000000000001" hidden="1" customHeight="1" x14ac:dyDescent="0.25">
      <c r="A1204" s="26" t="str">
        <f>CONCATENATE(RIGHT(LEFT(RecebimentoConcreto[[#This Row],[Obra]],5),4),"RCBC",TEXT(RecebimentoConcreto[[#This Row],[Ordem]],"0000"))</f>
        <v>0184RCBC1203</v>
      </c>
      <c r="B1204" s="1">
        <v>1203</v>
      </c>
      <c r="C1204" s="1" t="s">
        <v>21</v>
      </c>
      <c r="D1204" s="35"/>
      <c r="K1204" s="32">
        <f>_xlfn.MAXIFS(ConsumoConcreto[Fim do Bombeamento],ConsumoConcreto[RecebimentoID],RecebimentoConcreto[[#This Row],[RecebimentoID]])</f>
        <v>0</v>
      </c>
      <c r="M1204" s="37">
        <v>36892</v>
      </c>
      <c r="N1204" s="5"/>
      <c r="O1204" s="9"/>
      <c r="P1204" s="5" t="s">
        <v>26</v>
      </c>
      <c r="Q1204" s="2"/>
      <c r="R1204" s="5" t="s">
        <v>27</v>
      </c>
      <c r="S1204" s="5"/>
    </row>
    <row r="1205" spans="1:19" ht="20.100000000000001" hidden="1" customHeight="1" x14ac:dyDescent="0.25">
      <c r="A1205" s="26" t="str">
        <f>CONCATENATE(RIGHT(LEFT(RecebimentoConcreto[[#This Row],[Obra]],5),4),"RCBC",TEXT(RecebimentoConcreto[[#This Row],[Ordem]],"0000"))</f>
        <v>0184RCBC1204</v>
      </c>
      <c r="B1205" s="1">
        <v>1204</v>
      </c>
      <c r="C1205" s="1" t="s">
        <v>21</v>
      </c>
      <c r="D1205" s="35"/>
      <c r="K1205" s="32">
        <f>_xlfn.MAXIFS(ConsumoConcreto[Fim do Bombeamento],ConsumoConcreto[RecebimentoID],RecebimentoConcreto[[#This Row],[RecebimentoID]])</f>
        <v>0</v>
      </c>
      <c r="M1205" s="37">
        <v>36892</v>
      </c>
      <c r="N1205" s="5"/>
      <c r="O1205" s="9"/>
      <c r="P1205" s="5" t="s">
        <v>26</v>
      </c>
      <c r="Q1205" s="2"/>
      <c r="R1205" s="5" t="s">
        <v>27</v>
      </c>
      <c r="S1205" s="5"/>
    </row>
    <row r="1209" spans="1:19" ht="20.100000000000001" customHeight="1" x14ac:dyDescent="0.25">
      <c r="E1209" s="1" t="s">
        <v>3330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35115-7704-4C8E-BA25-7730533441F0}">
  <sheetPr codeName="Planilha2">
    <tabColor theme="4"/>
  </sheetPr>
  <dimension ref="A1:P1204"/>
  <sheetViews>
    <sheetView zoomScaleNormal="100" workbookViewId="0">
      <selection activeCell="B48" sqref="B48"/>
    </sheetView>
  </sheetViews>
  <sheetFormatPr defaultColWidth="15.7109375" defaultRowHeight="20.100000000000001" customHeight="1" x14ac:dyDescent="0.25"/>
  <cols>
    <col min="1" max="1" width="16.140625" style="1" bestFit="1" customWidth="1"/>
    <col min="2" max="2" width="16.140625" style="1" customWidth="1"/>
    <col min="3" max="3" width="17.7109375" style="2" customWidth="1"/>
    <col min="4" max="4" width="18.42578125" style="2" bestFit="1" customWidth="1"/>
    <col min="5" max="5" width="12" style="18" bestFit="1" customWidth="1"/>
    <col min="6" max="6" width="38" style="2" bestFit="1" customWidth="1"/>
    <col min="7" max="7" width="21" style="25" bestFit="1" customWidth="1"/>
    <col min="8" max="8" width="11.5703125" style="20" bestFit="1" customWidth="1"/>
    <col min="9" max="9" width="15.7109375" style="23" customWidth="1"/>
    <col min="10" max="11" width="15.7109375" style="22" customWidth="1"/>
    <col min="12" max="12" width="19" style="1" bestFit="1" customWidth="1"/>
    <col min="13" max="13" width="17.42578125" style="1" bestFit="1" customWidth="1"/>
    <col min="14" max="16384" width="15.7109375" style="1"/>
  </cols>
  <sheetData>
    <row r="1" spans="1:16" s="3" customFormat="1" ht="20.100000000000001" customHeight="1" x14ac:dyDescent="0.25">
      <c r="A1" s="27" t="s">
        <v>1950</v>
      </c>
      <c r="B1" s="3" t="s">
        <v>2</v>
      </c>
      <c r="C1" s="4" t="s">
        <v>1</v>
      </c>
      <c r="D1" s="4" t="s">
        <v>1951</v>
      </c>
      <c r="E1" s="17" t="s">
        <v>1952</v>
      </c>
      <c r="F1" s="4" t="s">
        <v>14</v>
      </c>
      <c r="G1" s="24" t="s">
        <v>11</v>
      </c>
      <c r="H1" s="4" t="s">
        <v>1953</v>
      </c>
      <c r="I1" s="29" t="s">
        <v>1954</v>
      </c>
      <c r="J1" s="21" t="s">
        <v>1955</v>
      </c>
      <c r="K1" s="21" t="s">
        <v>1956</v>
      </c>
      <c r="L1" s="4" t="s">
        <v>13</v>
      </c>
      <c r="M1" s="4" t="s">
        <v>1957</v>
      </c>
      <c r="N1" s="4" t="s">
        <v>1958</v>
      </c>
      <c r="O1" s="4" t="s">
        <v>18</v>
      </c>
      <c r="P1" s="4" t="s">
        <v>1959</v>
      </c>
    </row>
    <row r="2" spans="1:16" ht="20.100000000000001" customHeight="1" x14ac:dyDescent="0.25">
      <c r="A2" s="26" t="str">
        <f>CONCATENATE(LEFT(ConsumoConcreto[[#This Row],[RecebimentoID]],4),"CNSC",TEXT(ConsumoConcreto[[#This Row],[Ordem]],"0000"),UPPER(LEFT(ConsumoConcreto[[#This Row],[Destino]],3)))</f>
        <v>0184CNSC0023PIL</v>
      </c>
      <c r="B2" s="1">
        <v>23</v>
      </c>
      <c r="C2" s="2" t="s">
        <v>1960</v>
      </c>
      <c r="D2" s="2" t="s">
        <v>1961</v>
      </c>
      <c r="E2" s="18">
        <v>1</v>
      </c>
      <c r="F2" s="2" t="s">
        <v>25</v>
      </c>
      <c r="G2" s="36"/>
      <c r="H2" s="2" t="s">
        <v>1962</v>
      </c>
      <c r="I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" s="22">
        <v>0.2</v>
      </c>
      <c r="K2" s="22">
        <v>0.1</v>
      </c>
      <c r="L2" s="37">
        <v>36892</v>
      </c>
      <c r="M2" s="2"/>
      <c r="N2" s="2" t="s">
        <v>1963</v>
      </c>
      <c r="O2" s="2" t="s">
        <v>27</v>
      </c>
      <c r="P2" s="2" t="s">
        <v>26</v>
      </c>
    </row>
    <row r="3" spans="1:16" ht="20.100000000000001" customHeight="1" x14ac:dyDescent="0.25">
      <c r="A3" s="26" t="str">
        <f>CONCATENATE(LEFT(ConsumoConcreto[[#This Row],[RecebimentoID]],4),"CNSC",TEXT(ConsumoConcreto[[#This Row],[Ordem]],"0000"),UPPER(LEFT(ConsumoConcreto[[#This Row],[Destino]],3)))</f>
        <v>0184CNSC0009PAR</v>
      </c>
      <c r="B3" s="1">
        <v>9</v>
      </c>
      <c r="C3" s="2" t="s">
        <v>1964</v>
      </c>
      <c r="D3" s="2" t="s">
        <v>1961</v>
      </c>
      <c r="E3" s="18">
        <v>1</v>
      </c>
      <c r="F3" s="2" t="s">
        <v>1780</v>
      </c>
      <c r="G3" s="36"/>
      <c r="H3" s="2" t="s">
        <v>1965</v>
      </c>
      <c r="I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" s="22">
        <v>14</v>
      </c>
      <c r="K3" s="22">
        <v>14</v>
      </c>
      <c r="L3" s="37">
        <v>36892</v>
      </c>
      <c r="M3" s="2"/>
      <c r="N3" s="2" t="s">
        <v>1966</v>
      </c>
      <c r="O3" s="2" t="s">
        <v>27</v>
      </c>
      <c r="P3" s="2" t="s">
        <v>26</v>
      </c>
    </row>
    <row r="4" spans="1:16" ht="20.100000000000001" customHeight="1" x14ac:dyDescent="0.25">
      <c r="A4" s="26" t="str">
        <f>CONCATENATE(LEFT(ConsumoConcreto[[#This Row],[RecebimentoID]],4),"CNSC",TEXT(ConsumoConcreto[[#This Row],[Ordem]],"0000"),UPPER(LEFT(ConsumoConcreto[[#This Row],[Destino]],3)))</f>
        <v>0184CNSC0001RAD</v>
      </c>
      <c r="B4" s="1">
        <v>1</v>
      </c>
      <c r="C4" s="2" t="s">
        <v>1967</v>
      </c>
      <c r="D4" s="2" t="s">
        <v>1961</v>
      </c>
      <c r="E4" s="18">
        <v>1</v>
      </c>
      <c r="F4" s="2" t="s">
        <v>1801</v>
      </c>
      <c r="G4" s="36"/>
      <c r="H4" s="2" t="s">
        <v>1968</v>
      </c>
      <c r="I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" s="22">
        <v>5.5</v>
      </c>
      <c r="K4" s="22">
        <v>5.5</v>
      </c>
      <c r="L4" s="37">
        <v>36892</v>
      </c>
      <c r="M4" s="2"/>
      <c r="N4" s="2"/>
      <c r="O4" s="2" t="s">
        <v>27</v>
      </c>
      <c r="P4" s="2" t="s">
        <v>26</v>
      </c>
    </row>
    <row r="5" spans="1:16" ht="20.100000000000001" customHeight="1" x14ac:dyDescent="0.25">
      <c r="A5" s="26" t="str">
        <f>CONCATENATE(LEFT(ConsumoConcreto[[#This Row],[RecebimentoID]],4),"CNSC",TEXT(ConsumoConcreto[[#This Row],[Ordem]],"0000"),UPPER(LEFT(ConsumoConcreto[[#This Row],[Destino]],3)))</f>
        <v>0184CNSC0049PAR</v>
      </c>
      <c r="B5" s="1">
        <v>49</v>
      </c>
      <c r="C5" s="2" t="s">
        <v>1969</v>
      </c>
      <c r="D5" s="2" t="s">
        <v>1970</v>
      </c>
      <c r="E5" s="18">
        <v>1</v>
      </c>
      <c r="F5" s="2" t="s">
        <v>25</v>
      </c>
      <c r="G5" s="36"/>
      <c r="H5" s="2" t="s">
        <v>1965</v>
      </c>
      <c r="I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" s="22">
        <v>15.5</v>
      </c>
      <c r="K5" s="22">
        <v>14</v>
      </c>
      <c r="L5" s="37">
        <v>36892</v>
      </c>
      <c r="M5" s="2" t="s">
        <v>1971</v>
      </c>
      <c r="N5" s="2" t="s">
        <v>1966</v>
      </c>
      <c r="O5" s="2" t="s">
        <v>27</v>
      </c>
      <c r="P5" s="2" t="s">
        <v>26</v>
      </c>
    </row>
    <row r="6" spans="1:16" ht="20.100000000000001" customHeight="1" x14ac:dyDescent="0.25">
      <c r="A6" s="26" t="str">
        <f>CONCATENATE(LEFT(ConsumoConcreto[[#This Row],[RecebimentoID]],4),"CNSC",TEXT(ConsumoConcreto[[#This Row],[Ordem]],"0000"),UPPER(LEFT(ConsumoConcreto[[#This Row],[Destino]],3)))</f>
        <v>0184CNSC0073PIL</v>
      </c>
      <c r="B6" s="1">
        <v>73</v>
      </c>
      <c r="C6" s="2" t="s">
        <v>1972</v>
      </c>
      <c r="D6" s="2" t="s">
        <v>1970</v>
      </c>
      <c r="E6" s="18">
        <v>1</v>
      </c>
      <c r="F6" s="2" t="s">
        <v>25</v>
      </c>
      <c r="G6" s="36"/>
      <c r="H6" s="2" t="s">
        <v>1962</v>
      </c>
      <c r="I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" s="22">
        <v>0.2</v>
      </c>
      <c r="K6" s="22">
        <v>0.1</v>
      </c>
      <c r="L6" s="37">
        <v>36892</v>
      </c>
      <c r="M6" s="2"/>
      <c r="N6" s="2" t="s">
        <v>1963</v>
      </c>
      <c r="O6" s="2" t="s">
        <v>27</v>
      </c>
      <c r="P6" s="2" t="s">
        <v>26</v>
      </c>
    </row>
    <row r="7" spans="1:16" ht="20.100000000000001" customHeight="1" x14ac:dyDescent="0.25">
      <c r="A7" s="26" t="str">
        <f>CONCATENATE(LEFT(ConsumoConcreto[[#This Row],[RecebimentoID]],4),"CNSC",TEXT(ConsumoConcreto[[#This Row],[Ordem]],"0000"),UPPER(LEFT(ConsumoConcreto[[#This Row],[Destino]],3)))</f>
        <v>0184CNSC0025RAD</v>
      </c>
      <c r="B7" s="1">
        <v>25</v>
      </c>
      <c r="C7" s="2" t="s">
        <v>1973</v>
      </c>
      <c r="D7" s="2" t="s">
        <v>1970</v>
      </c>
      <c r="E7" s="18">
        <v>1</v>
      </c>
      <c r="F7" s="2" t="s">
        <v>1801</v>
      </c>
      <c r="G7" s="36"/>
      <c r="H7" s="2" t="s">
        <v>1968</v>
      </c>
      <c r="I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" s="22">
        <v>5.5</v>
      </c>
      <c r="K7" s="22">
        <v>5.5</v>
      </c>
      <c r="L7" s="37">
        <v>36892</v>
      </c>
      <c r="M7" s="2"/>
      <c r="N7" s="2"/>
      <c r="O7" s="2" t="s">
        <v>27</v>
      </c>
      <c r="P7" s="2" t="s">
        <v>26</v>
      </c>
    </row>
    <row r="8" spans="1:16" ht="20.100000000000001" customHeight="1" x14ac:dyDescent="0.25">
      <c r="A8" s="26" t="str">
        <f>CONCATENATE(LEFT(ConsumoConcreto[[#This Row],[RecebimentoID]],4),"CNSC",TEXT(ConsumoConcreto[[#This Row],[Ordem]],"0000"),UPPER(LEFT(ConsumoConcreto[[#This Row],[Destino]],3)))</f>
        <v>0184CNSC0126PAR</v>
      </c>
      <c r="B8" s="1">
        <v>126</v>
      </c>
      <c r="C8" s="2" t="s">
        <v>1974</v>
      </c>
      <c r="D8" s="2" t="s">
        <v>1975</v>
      </c>
      <c r="E8" s="18">
        <v>1</v>
      </c>
      <c r="F8" s="2" t="s">
        <v>25</v>
      </c>
      <c r="G8" s="36"/>
      <c r="H8" s="2" t="s">
        <v>1965</v>
      </c>
      <c r="I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" s="22">
        <v>14.5</v>
      </c>
      <c r="K8" s="22">
        <v>14</v>
      </c>
      <c r="L8" s="37">
        <v>36892</v>
      </c>
      <c r="M8" s="2" t="s">
        <v>1976</v>
      </c>
      <c r="N8" s="2" t="s">
        <v>1966</v>
      </c>
      <c r="O8" s="2" t="s">
        <v>27</v>
      </c>
      <c r="P8" s="2" t="s">
        <v>26</v>
      </c>
    </row>
    <row r="9" spans="1:16" ht="20.100000000000001" customHeight="1" x14ac:dyDescent="0.25">
      <c r="A9" s="26" t="str">
        <f>CONCATENATE(LEFT(ConsumoConcreto[[#This Row],[RecebimentoID]],4),"CNSC",TEXT(ConsumoConcreto[[#This Row],[Ordem]],"0000"),UPPER(LEFT(ConsumoConcreto[[#This Row],[Destino]],3)))</f>
        <v>0184CNSC0096RAD</v>
      </c>
      <c r="B9" s="1">
        <v>96</v>
      </c>
      <c r="C9" s="2" t="s">
        <v>1977</v>
      </c>
      <c r="D9" s="2" t="s">
        <v>1975</v>
      </c>
      <c r="E9" s="18">
        <v>1</v>
      </c>
      <c r="F9" s="2" t="s">
        <v>1801</v>
      </c>
      <c r="G9" s="36"/>
      <c r="H9" s="2" t="s">
        <v>1968</v>
      </c>
      <c r="I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" s="22">
        <v>5.5</v>
      </c>
      <c r="K9" s="22">
        <v>5.4809999999999999</v>
      </c>
      <c r="L9" s="37">
        <v>36892</v>
      </c>
      <c r="M9" s="2"/>
      <c r="N9" s="2"/>
      <c r="O9" s="2" t="s">
        <v>27</v>
      </c>
      <c r="P9" s="2" t="s">
        <v>26</v>
      </c>
    </row>
    <row r="10" spans="1:16" ht="20.100000000000001" customHeight="1" x14ac:dyDescent="0.25">
      <c r="A10" s="26" t="str">
        <f>CONCATENATE(LEFT(ConsumoConcreto[[#This Row],[RecebimentoID]],4),"CNSC",TEXT(ConsumoConcreto[[#This Row],[Ordem]],"0000"),UPPER(LEFT(ConsumoConcreto[[#This Row],[Destino]],3)))</f>
        <v>0184CNSC0232PAR</v>
      </c>
      <c r="B10" s="1">
        <v>232</v>
      </c>
      <c r="C10" s="2" t="s">
        <v>1978</v>
      </c>
      <c r="D10" s="2" t="s">
        <v>1979</v>
      </c>
      <c r="E10" s="18">
        <v>1</v>
      </c>
      <c r="F10" s="2" t="s">
        <v>25</v>
      </c>
      <c r="G10" s="36">
        <v>0.78819444444444453</v>
      </c>
      <c r="H10" s="2" t="s">
        <v>1965</v>
      </c>
      <c r="I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" s="22">
        <v>15</v>
      </c>
      <c r="K10" s="22">
        <v>15</v>
      </c>
      <c r="L10" s="37">
        <v>36892</v>
      </c>
      <c r="M10" s="2" t="s">
        <v>1980</v>
      </c>
      <c r="N10" s="2" t="s">
        <v>1966</v>
      </c>
      <c r="O10" s="2" t="s">
        <v>27</v>
      </c>
      <c r="P10" s="2" t="s">
        <v>26</v>
      </c>
    </row>
    <row r="11" spans="1:16" ht="20.100000000000001" customHeight="1" x14ac:dyDescent="0.25">
      <c r="A11" s="26" t="str">
        <f>CONCATENATE(LEFT(ConsumoConcreto[[#This Row],[RecebimentoID]],4),"CNSC",TEXT(ConsumoConcreto[[#This Row],[Ordem]],"0000"),UPPER(LEFT(ConsumoConcreto[[#This Row],[Destino]],3)))</f>
        <v>0184CNSC0179RAD</v>
      </c>
      <c r="B11" s="1">
        <v>179</v>
      </c>
      <c r="C11" s="2" t="s">
        <v>1981</v>
      </c>
      <c r="D11" s="2" t="s">
        <v>1979</v>
      </c>
      <c r="E11" s="18">
        <v>1</v>
      </c>
      <c r="F11" s="2" t="s">
        <v>1801</v>
      </c>
      <c r="G11" s="36"/>
      <c r="H11" s="2" t="s">
        <v>1968</v>
      </c>
      <c r="I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1" s="22">
        <v>7</v>
      </c>
      <c r="K11" s="22">
        <v>6.5</v>
      </c>
      <c r="L11" s="37">
        <v>36892</v>
      </c>
      <c r="M11" s="2" t="s">
        <v>1982</v>
      </c>
      <c r="N11" s="2" t="s">
        <v>1966</v>
      </c>
      <c r="O11" s="2" t="s">
        <v>27</v>
      </c>
      <c r="P11" s="2" t="s">
        <v>26</v>
      </c>
    </row>
    <row r="12" spans="1:16" ht="20.100000000000001" customHeight="1" x14ac:dyDescent="0.25">
      <c r="A12" s="26" t="str">
        <f>CONCATENATE(LEFT(ConsumoConcreto[[#This Row],[RecebimentoID]],4),"CNSC",TEXT(ConsumoConcreto[[#This Row],[Ordem]],"0000"),UPPER(LEFT(ConsumoConcreto[[#This Row],[Destino]],3)))</f>
        <v>0184CNSC0243PIL</v>
      </c>
      <c r="B12" s="1">
        <v>243</v>
      </c>
      <c r="C12" s="2" t="s">
        <v>1983</v>
      </c>
      <c r="D12" s="2" t="s">
        <v>1979</v>
      </c>
      <c r="E12" s="18">
        <v>1</v>
      </c>
      <c r="F12" s="2" t="s">
        <v>1801</v>
      </c>
      <c r="G12" s="36"/>
      <c r="H12" s="2" t="s">
        <v>1962</v>
      </c>
      <c r="I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2" s="22">
        <v>0.1</v>
      </c>
      <c r="K12" s="22">
        <v>0.1</v>
      </c>
      <c r="L12" s="37">
        <v>36892</v>
      </c>
      <c r="M12" s="2"/>
      <c r="N12" s="2" t="s">
        <v>1963</v>
      </c>
      <c r="O12" s="2" t="s">
        <v>27</v>
      </c>
      <c r="P12" s="2" t="s">
        <v>26</v>
      </c>
    </row>
    <row r="13" spans="1:16" ht="20.100000000000001" customHeight="1" x14ac:dyDescent="0.25">
      <c r="A13" s="26" t="str">
        <f>CONCATENATE(LEFT(ConsumoConcreto[[#This Row],[RecebimentoID]],4),"CNSC",TEXT(ConsumoConcreto[[#This Row],[Ordem]],"0000"),UPPER(LEFT(ConsumoConcreto[[#This Row],[Destino]],3)))</f>
        <v>0184CNSC0273PAR</v>
      </c>
      <c r="B13" s="1">
        <v>273</v>
      </c>
      <c r="C13" s="2" t="s">
        <v>1984</v>
      </c>
      <c r="D13" s="2" t="s">
        <v>1985</v>
      </c>
      <c r="E13" s="18">
        <v>1</v>
      </c>
      <c r="F13" s="2" t="s">
        <v>25</v>
      </c>
      <c r="G13" s="36">
        <v>0.79861111111111116</v>
      </c>
      <c r="H13" s="2" t="s">
        <v>1965</v>
      </c>
      <c r="I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3" s="22">
        <v>14.5</v>
      </c>
      <c r="K13" s="22">
        <v>14.5</v>
      </c>
      <c r="L13" s="37">
        <v>36892</v>
      </c>
      <c r="M13" s="2"/>
      <c r="N13" s="2" t="s">
        <v>1966</v>
      </c>
      <c r="O13" s="2" t="s">
        <v>27</v>
      </c>
      <c r="P13" s="2" t="s">
        <v>26</v>
      </c>
    </row>
    <row r="14" spans="1:16" ht="20.100000000000001" customHeight="1" x14ac:dyDescent="0.25">
      <c r="A14" s="26" t="str">
        <f>CONCATENATE(LEFT(ConsumoConcreto[[#This Row],[RecebimentoID]],4),"CNSC",TEXT(ConsumoConcreto[[#This Row],[Ordem]],"0000"),UPPER(LEFT(ConsumoConcreto[[#This Row],[Destino]],3)))</f>
        <v>0184CNSC0269RAD</v>
      </c>
      <c r="B14" s="1">
        <v>269</v>
      </c>
      <c r="C14" s="2" t="s">
        <v>1986</v>
      </c>
      <c r="D14" s="2" t="s">
        <v>1985</v>
      </c>
      <c r="E14" s="18">
        <v>1</v>
      </c>
      <c r="F14" s="2" t="s">
        <v>1801</v>
      </c>
      <c r="G14" s="36">
        <v>0.6875</v>
      </c>
      <c r="H14" s="2" t="s">
        <v>1968</v>
      </c>
      <c r="I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4" s="22">
        <v>5.5</v>
      </c>
      <c r="K14" s="22">
        <v>5.5</v>
      </c>
      <c r="L14" s="37">
        <v>36892</v>
      </c>
      <c r="M14" s="2"/>
      <c r="N14" s="2" t="s">
        <v>1963</v>
      </c>
      <c r="O14" s="2" t="s">
        <v>27</v>
      </c>
      <c r="P14" s="2" t="s">
        <v>26</v>
      </c>
    </row>
    <row r="15" spans="1:16" ht="20.100000000000001" customHeight="1" x14ac:dyDescent="0.25">
      <c r="A15" s="26" t="str">
        <f>CONCATENATE(LEFT(ConsumoConcreto[[#This Row],[RecebimentoID]],4),"CNSC",TEXT(ConsumoConcreto[[#This Row],[Ordem]],"0000"),UPPER(LEFT(ConsumoConcreto[[#This Row],[Destino]],3)))</f>
        <v>0184CNSC0289PIL</v>
      </c>
      <c r="B15" s="1">
        <v>289</v>
      </c>
      <c r="C15" s="2" t="s">
        <v>1987</v>
      </c>
      <c r="D15" s="2" t="s">
        <v>1985</v>
      </c>
      <c r="E15" s="18">
        <v>1</v>
      </c>
      <c r="F15" s="2" t="s">
        <v>1801</v>
      </c>
      <c r="G15" s="36">
        <v>0.70833333333333337</v>
      </c>
      <c r="H15" s="2" t="s">
        <v>1962</v>
      </c>
      <c r="I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5" s="22">
        <v>0.1</v>
      </c>
      <c r="K15" s="22">
        <v>0.1</v>
      </c>
      <c r="L15" s="37">
        <v>36892</v>
      </c>
      <c r="M15" s="2"/>
      <c r="N15" s="2" t="s">
        <v>1963</v>
      </c>
      <c r="O15" s="2" t="s">
        <v>27</v>
      </c>
      <c r="P15" s="2" t="s">
        <v>26</v>
      </c>
    </row>
    <row r="16" spans="1:16" ht="20.100000000000001" customHeight="1" x14ac:dyDescent="0.25">
      <c r="A16" s="26" t="str">
        <f>CONCATENATE(LEFT(ConsumoConcreto[[#This Row],[RecebimentoID]],4),"CNSC",TEXT(ConsumoConcreto[[#This Row],[Ordem]],"0000"),UPPER(LEFT(ConsumoConcreto[[#This Row],[Destino]],3)))</f>
        <v>0184CNSC0332PAR</v>
      </c>
      <c r="B16" s="1">
        <v>332</v>
      </c>
      <c r="C16" s="2" t="s">
        <v>1988</v>
      </c>
      <c r="D16" s="2" t="s">
        <v>1989</v>
      </c>
      <c r="E16" s="18">
        <v>1</v>
      </c>
      <c r="F16" s="2" t="s">
        <v>25</v>
      </c>
      <c r="G16" s="36">
        <v>0.93333333333333324</v>
      </c>
      <c r="H16" s="2" t="s">
        <v>1965</v>
      </c>
      <c r="I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6" s="22">
        <v>18.5</v>
      </c>
      <c r="K16" s="22">
        <v>18.5</v>
      </c>
      <c r="L16" s="37">
        <v>36892</v>
      </c>
      <c r="M16" s="2"/>
      <c r="N16" s="2" t="s">
        <v>1966</v>
      </c>
      <c r="O16" s="2" t="s">
        <v>27</v>
      </c>
      <c r="P16" s="2" t="s">
        <v>26</v>
      </c>
    </row>
    <row r="17" spans="1:16" ht="20.100000000000001" customHeight="1" x14ac:dyDescent="0.25">
      <c r="A17" s="26" t="str">
        <f>CONCATENATE(LEFT(ConsumoConcreto[[#This Row],[RecebimentoID]],4),"CNSC",TEXT(ConsumoConcreto[[#This Row],[Ordem]],"0000"),UPPER(LEFT(ConsumoConcreto[[#This Row],[Destino]],3)))</f>
        <v>0184CNSC0312RAD</v>
      </c>
      <c r="B17" s="1">
        <v>312</v>
      </c>
      <c r="C17" s="2" t="s">
        <v>1990</v>
      </c>
      <c r="D17" s="2" t="s">
        <v>1989</v>
      </c>
      <c r="E17" s="18">
        <v>1</v>
      </c>
      <c r="F17" s="2" t="s">
        <v>1801</v>
      </c>
      <c r="G17" s="36">
        <v>0.44444444444444442</v>
      </c>
      <c r="H17" s="2" t="s">
        <v>1968</v>
      </c>
      <c r="I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7" s="22">
        <v>7</v>
      </c>
      <c r="K17" s="22">
        <v>7</v>
      </c>
      <c r="L17" s="37">
        <v>36892</v>
      </c>
      <c r="M17" s="2"/>
      <c r="N17" s="2" t="s">
        <v>1963</v>
      </c>
      <c r="O17" s="2" t="s">
        <v>27</v>
      </c>
      <c r="P17" s="2" t="s">
        <v>26</v>
      </c>
    </row>
    <row r="18" spans="1:16" ht="20.100000000000001" customHeight="1" x14ac:dyDescent="0.25">
      <c r="A18" s="26" t="str">
        <f>CONCATENATE(LEFT(ConsumoConcreto[[#This Row],[RecebimentoID]],4),"CNSC",TEXT(ConsumoConcreto[[#This Row],[Ordem]],"0000"),UPPER(LEFT(ConsumoConcreto[[#This Row],[Destino]],3)))</f>
        <v>0184CNSC0348PAR</v>
      </c>
      <c r="B18" s="1">
        <v>348</v>
      </c>
      <c r="C18" s="2" t="s">
        <v>1991</v>
      </c>
      <c r="D18" s="2" t="s">
        <v>1992</v>
      </c>
      <c r="E18" s="18">
        <v>1</v>
      </c>
      <c r="F18" s="2" t="s">
        <v>25</v>
      </c>
      <c r="G18" s="36">
        <v>0.95486111111111116</v>
      </c>
      <c r="H18" s="2" t="s">
        <v>1965</v>
      </c>
      <c r="I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8" s="22">
        <v>14</v>
      </c>
      <c r="K18" s="22">
        <v>14</v>
      </c>
      <c r="L18" s="37">
        <v>36892</v>
      </c>
      <c r="M18" s="2"/>
      <c r="N18" s="2" t="s">
        <v>1966</v>
      </c>
      <c r="O18" s="2" t="s">
        <v>27</v>
      </c>
      <c r="P18" s="2" t="s">
        <v>26</v>
      </c>
    </row>
    <row r="19" spans="1:16" ht="20.100000000000001" customHeight="1" x14ac:dyDescent="0.25">
      <c r="A19" s="26" t="str">
        <f>CONCATENATE(LEFT(ConsumoConcreto[[#This Row],[RecebimentoID]],4),"CNSC",TEXT(ConsumoConcreto[[#This Row],[Ordem]],"0000"),UPPER(LEFT(ConsumoConcreto[[#This Row],[Destino]],3)))</f>
        <v>0184CNSC0342RAD</v>
      </c>
      <c r="B19" s="1">
        <v>342</v>
      </c>
      <c r="C19" s="2" t="s">
        <v>1993</v>
      </c>
      <c r="D19" s="2" t="s">
        <v>1992</v>
      </c>
      <c r="E19" s="18">
        <v>1</v>
      </c>
      <c r="F19" s="2" t="s">
        <v>1801</v>
      </c>
      <c r="G19" s="36">
        <v>0.63888888888888895</v>
      </c>
      <c r="H19" s="2" t="s">
        <v>1968</v>
      </c>
      <c r="I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9" s="22">
        <v>5.5</v>
      </c>
      <c r="K19" s="22">
        <v>5.5</v>
      </c>
      <c r="L19" s="37">
        <v>36892</v>
      </c>
      <c r="M19" s="2"/>
      <c r="N19" s="2" t="s">
        <v>1963</v>
      </c>
      <c r="O19" s="2" t="s">
        <v>27</v>
      </c>
      <c r="P19" s="2" t="s">
        <v>26</v>
      </c>
    </row>
    <row r="20" spans="1:16" ht="20.100000000000001" customHeight="1" x14ac:dyDescent="0.25">
      <c r="A20" s="26" t="str">
        <f>CONCATENATE(LEFT(ConsumoConcreto[[#This Row],[RecebimentoID]],4),"CNSC",TEXT(ConsumoConcreto[[#This Row],[Ordem]],"0000"),UPPER(LEFT(ConsumoConcreto[[#This Row],[Destino]],3)))</f>
        <v>0184CNSC0397PIL</v>
      </c>
      <c r="B20" s="1">
        <v>397</v>
      </c>
      <c r="C20" s="2" t="s">
        <v>1994</v>
      </c>
      <c r="D20" s="2" t="s">
        <v>1995</v>
      </c>
      <c r="E20" s="18">
        <v>1</v>
      </c>
      <c r="F20" s="2" t="s">
        <v>25</v>
      </c>
      <c r="G20" s="36"/>
      <c r="H20" s="2" t="s">
        <v>1962</v>
      </c>
      <c r="I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0" s="22">
        <v>0.1</v>
      </c>
      <c r="K20" s="22">
        <v>0.1</v>
      </c>
      <c r="L20" s="37">
        <v>36892</v>
      </c>
      <c r="M20" s="2"/>
      <c r="N20" s="2" t="s">
        <v>1963</v>
      </c>
      <c r="O20" s="2" t="s">
        <v>27</v>
      </c>
      <c r="P20" s="2" t="s">
        <v>26</v>
      </c>
    </row>
    <row r="21" spans="1:16" ht="20.100000000000001" customHeight="1" x14ac:dyDescent="0.25">
      <c r="A21" s="26" t="str">
        <f>CONCATENATE(LEFT(ConsumoConcreto[[#This Row],[RecebimentoID]],4),"CNSC",TEXT(ConsumoConcreto[[#This Row],[Ordem]],"0000"),UPPER(LEFT(ConsumoConcreto[[#This Row],[Destino]],3)))</f>
        <v>0184CNSC0380PAR</v>
      </c>
      <c r="B21" s="1">
        <v>380</v>
      </c>
      <c r="C21" s="2" t="s">
        <v>1996</v>
      </c>
      <c r="D21" s="2" t="s">
        <v>1995</v>
      </c>
      <c r="E21" s="18">
        <v>1</v>
      </c>
      <c r="F21" s="2" t="s">
        <v>25</v>
      </c>
      <c r="G21" s="36">
        <v>0.4861111111111111</v>
      </c>
      <c r="H21" s="2" t="s">
        <v>1965</v>
      </c>
      <c r="I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1" s="22">
        <v>14</v>
      </c>
      <c r="K21" s="22">
        <v>14</v>
      </c>
      <c r="L21" s="37">
        <v>36892</v>
      </c>
      <c r="M21" s="2"/>
      <c r="N21" s="2" t="s">
        <v>1966</v>
      </c>
      <c r="O21" s="2" t="s">
        <v>27</v>
      </c>
      <c r="P21" s="2" t="s">
        <v>26</v>
      </c>
    </row>
    <row r="22" spans="1:16" ht="20.100000000000001" customHeight="1" x14ac:dyDescent="0.25">
      <c r="A22" s="26" t="str">
        <f>CONCATENATE(LEFT(ConsumoConcreto[[#This Row],[RecebimentoID]],4),"CNSC",TEXT(ConsumoConcreto[[#This Row],[Ordem]],"0000"),UPPER(LEFT(ConsumoConcreto[[#This Row],[Destino]],3)))</f>
        <v>0184CNSC0379RAD</v>
      </c>
      <c r="B22" s="1">
        <v>379</v>
      </c>
      <c r="C22" s="2" t="s">
        <v>1997</v>
      </c>
      <c r="D22" s="2" t="s">
        <v>1995</v>
      </c>
      <c r="E22" s="18">
        <v>1</v>
      </c>
      <c r="F22" s="2" t="s">
        <v>1801</v>
      </c>
      <c r="G22" s="36">
        <v>0.61111111111111105</v>
      </c>
      <c r="H22" s="2" t="s">
        <v>1968</v>
      </c>
      <c r="I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2" s="22">
        <v>5.5</v>
      </c>
      <c r="K22" s="22">
        <v>5.5</v>
      </c>
      <c r="L22" s="37">
        <v>36892</v>
      </c>
      <c r="M22" s="2"/>
      <c r="N22" s="2" t="s">
        <v>1963</v>
      </c>
      <c r="O22" s="2" t="s">
        <v>27</v>
      </c>
      <c r="P22" s="2" t="s">
        <v>26</v>
      </c>
    </row>
    <row r="23" spans="1:16" ht="20.100000000000001" customHeight="1" x14ac:dyDescent="0.25">
      <c r="A23" s="26" t="str">
        <f>CONCATENATE(LEFT(ConsumoConcreto[[#This Row],[RecebimentoID]],4),"CNSC",TEXT(ConsumoConcreto[[#This Row],[Ordem]],"0000"),UPPER(LEFT(ConsumoConcreto[[#This Row],[Destino]],3)))</f>
        <v>0184CNSC0440PAR</v>
      </c>
      <c r="B23" s="1">
        <v>440</v>
      </c>
      <c r="C23" s="2" t="s">
        <v>1998</v>
      </c>
      <c r="D23" s="2" t="s">
        <v>1999</v>
      </c>
      <c r="E23" s="18">
        <v>1</v>
      </c>
      <c r="F23" s="2" t="s">
        <v>25</v>
      </c>
      <c r="G23" s="36">
        <v>0.67152777777777783</v>
      </c>
      <c r="H23" s="2" t="s">
        <v>1965</v>
      </c>
      <c r="I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3" s="22">
        <v>18</v>
      </c>
      <c r="K23" s="22">
        <v>18</v>
      </c>
      <c r="L23" s="37">
        <v>36892</v>
      </c>
      <c r="M23" s="2"/>
      <c r="N23" s="2" t="s">
        <v>1966</v>
      </c>
      <c r="O23" s="2" t="s">
        <v>27</v>
      </c>
      <c r="P23" s="2" t="s">
        <v>26</v>
      </c>
    </row>
    <row r="24" spans="1:16" ht="20.100000000000001" customHeight="1" x14ac:dyDescent="0.25">
      <c r="A24" s="26" t="str">
        <f>CONCATENATE(LEFT(ConsumoConcreto[[#This Row],[RecebimentoID]],4),"CNSC",TEXT(ConsumoConcreto[[#This Row],[Ordem]],"0000"),UPPER(LEFT(ConsumoConcreto[[#This Row],[Destino]],3)))</f>
        <v>0184CNSC0413RAD</v>
      </c>
      <c r="B24" s="1">
        <v>413</v>
      </c>
      <c r="C24" s="2" t="s">
        <v>2000</v>
      </c>
      <c r="D24" s="2" t="s">
        <v>1999</v>
      </c>
      <c r="E24" s="18">
        <v>1</v>
      </c>
      <c r="F24" s="2" t="s">
        <v>1801</v>
      </c>
      <c r="G24" s="36">
        <v>0.625</v>
      </c>
      <c r="H24" s="2" t="s">
        <v>1968</v>
      </c>
      <c r="I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4" s="22">
        <v>7</v>
      </c>
      <c r="K24" s="22">
        <v>7</v>
      </c>
      <c r="L24" s="37">
        <v>36892</v>
      </c>
      <c r="M24" s="2"/>
      <c r="N24" s="2" t="s">
        <v>1963</v>
      </c>
      <c r="O24" s="2" t="s">
        <v>27</v>
      </c>
      <c r="P24" s="2" t="s">
        <v>26</v>
      </c>
    </row>
    <row r="25" spans="1:16" ht="20.100000000000001" customHeight="1" x14ac:dyDescent="0.25">
      <c r="A25" s="26" t="str">
        <f>CONCATENATE(LEFT(ConsumoConcreto[[#This Row],[RecebimentoID]],4),"CNSC",TEXT(ConsumoConcreto[[#This Row],[Ordem]],"0000"),UPPER(LEFT(ConsumoConcreto[[#This Row],[Destino]],3)))</f>
        <v>0184CNSC0459PAR</v>
      </c>
      <c r="B25" s="1">
        <v>459</v>
      </c>
      <c r="C25" s="2" t="s">
        <v>2001</v>
      </c>
      <c r="D25" s="2" t="s">
        <v>2002</v>
      </c>
      <c r="E25" s="18">
        <v>1</v>
      </c>
      <c r="F25" s="2" t="s">
        <v>25</v>
      </c>
      <c r="G25" s="36">
        <v>0.89722222222222225</v>
      </c>
      <c r="H25" s="2" t="s">
        <v>1965</v>
      </c>
      <c r="I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5" s="22">
        <v>18.5</v>
      </c>
      <c r="K25" s="22">
        <v>18.5</v>
      </c>
      <c r="L25" s="37">
        <v>36892</v>
      </c>
      <c r="M25" s="2"/>
      <c r="N25" s="2" t="s">
        <v>1966</v>
      </c>
      <c r="O25" s="2" t="s">
        <v>27</v>
      </c>
      <c r="P25" s="2" t="s">
        <v>26</v>
      </c>
    </row>
    <row r="26" spans="1:16" ht="20.100000000000001" customHeight="1" x14ac:dyDescent="0.25">
      <c r="A26" s="26" t="str">
        <f>CONCATENATE(LEFT(ConsumoConcreto[[#This Row],[RecebimentoID]],4),"CNSC",TEXT(ConsumoConcreto[[#This Row],[Ordem]],"0000"),UPPER(LEFT(ConsumoConcreto[[#This Row],[Destino]],3)))</f>
        <v>0184CNSC0453RAD</v>
      </c>
      <c r="B26" s="1">
        <v>453</v>
      </c>
      <c r="C26" s="2" t="s">
        <v>2003</v>
      </c>
      <c r="D26" s="2" t="s">
        <v>2002</v>
      </c>
      <c r="E26" s="18">
        <v>1</v>
      </c>
      <c r="F26" s="2" t="s">
        <v>1801</v>
      </c>
      <c r="G26" s="36">
        <v>0.72222222222222221</v>
      </c>
      <c r="H26" s="2" t="s">
        <v>1968</v>
      </c>
      <c r="I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6" s="22">
        <v>7</v>
      </c>
      <c r="K26" s="22">
        <v>7</v>
      </c>
      <c r="L26" s="37">
        <v>36892</v>
      </c>
      <c r="M26" s="2"/>
      <c r="N26" s="2" t="s">
        <v>1963</v>
      </c>
      <c r="O26" s="2" t="s">
        <v>27</v>
      </c>
      <c r="P26" s="2" t="s">
        <v>26</v>
      </c>
    </row>
    <row r="27" spans="1:16" ht="20.100000000000001" customHeight="1" x14ac:dyDescent="0.25">
      <c r="A27" s="26" t="str">
        <f>CONCATENATE(LEFT(ConsumoConcreto[[#This Row],[RecebimentoID]],4),"CNSC",TEXT(ConsumoConcreto[[#This Row],[Ordem]],"0000"),UPPER(LEFT(ConsumoConcreto[[#This Row],[Destino]],3)))</f>
        <v>0184CNSC0508PAR</v>
      </c>
      <c r="B27" s="1">
        <v>508</v>
      </c>
      <c r="C27" s="2" t="s">
        <v>2004</v>
      </c>
      <c r="D27" s="2" t="s">
        <v>2005</v>
      </c>
      <c r="E27" s="18">
        <v>1</v>
      </c>
      <c r="F27" s="2" t="s">
        <v>25</v>
      </c>
      <c r="G27" s="36">
        <v>0.85555555555555562</v>
      </c>
      <c r="H27" s="2" t="s">
        <v>1965</v>
      </c>
      <c r="I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7" s="22">
        <v>18</v>
      </c>
      <c r="K27" s="22">
        <v>18</v>
      </c>
      <c r="L27" s="37">
        <v>36892</v>
      </c>
      <c r="M27" s="2"/>
      <c r="N27" s="2" t="s">
        <v>1966</v>
      </c>
      <c r="O27" s="2" t="s">
        <v>27</v>
      </c>
      <c r="P27" s="2" t="s">
        <v>26</v>
      </c>
    </row>
    <row r="28" spans="1:16" ht="20.100000000000001" customHeight="1" x14ac:dyDescent="0.25">
      <c r="A28" s="26" t="str">
        <f>CONCATENATE(LEFT(ConsumoConcreto[[#This Row],[RecebimentoID]],4),"CNSC",TEXT(ConsumoConcreto[[#This Row],[Ordem]],"0000"),UPPER(LEFT(ConsumoConcreto[[#This Row],[Destino]],3)))</f>
        <v>0184CNSC0568PAR</v>
      </c>
      <c r="B28" s="1">
        <v>568</v>
      </c>
      <c r="C28" s="2" t="s">
        <v>2006</v>
      </c>
      <c r="D28" s="2" t="s">
        <v>2007</v>
      </c>
      <c r="E28" s="18">
        <v>1</v>
      </c>
      <c r="F28" s="2" t="s">
        <v>25</v>
      </c>
      <c r="G28" s="36"/>
      <c r="H28" s="2" t="s">
        <v>1965</v>
      </c>
      <c r="I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8" s="22">
        <v>18</v>
      </c>
      <c r="K28" s="22">
        <v>18</v>
      </c>
      <c r="L28" s="37">
        <v>36892</v>
      </c>
      <c r="M28" s="2"/>
      <c r="N28" s="2" t="s">
        <v>1966</v>
      </c>
      <c r="O28" s="2" t="s">
        <v>27</v>
      </c>
      <c r="P28" s="2" t="s">
        <v>26</v>
      </c>
    </row>
    <row r="29" spans="1:16" ht="20.100000000000001" customHeight="1" x14ac:dyDescent="0.25">
      <c r="A29" s="26" t="str">
        <f>CONCATENATE(LEFT(ConsumoConcreto[[#This Row],[RecebimentoID]],4),"CNSC",TEXT(ConsumoConcreto[[#This Row],[Ordem]],"0000"),UPPER(LEFT(ConsumoConcreto[[#This Row],[Destino]],3)))</f>
        <v>0184CNSC0541RAD</v>
      </c>
      <c r="B29" s="1">
        <v>541</v>
      </c>
      <c r="C29" s="2" t="s">
        <v>2008</v>
      </c>
      <c r="D29" s="2" t="s">
        <v>2007</v>
      </c>
      <c r="E29" s="18">
        <v>1</v>
      </c>
      <c r="F29" s="2" t="s">
        <v>1801</v>
      </c>
      <c r="G29" s="36"/>
      <c r="H29" s="2" t="s">
        <v>1968</v>
      </c>
      <c r="I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9" s="22">
        <v>7</v>
      </c>
      <c r="K29" s="22">
        <v>6.6989999999999998</v>
      </c>
      <c r="L29" s="37">
        <v>36892</v>
      </c>
      <c r="M29" s="2"/>
      <c r="N29" s="2"/>
      <c r="O29" s="2" t="s">
        <v>27</v>
      </c>
      <c r="P29" s="2" t="s">
        <v>26</v>
      </c>
    </row>
    <row r="30" spans="1:16" ht="20.100000000000001" customHeight="1" x14ac:dyDescent="0.25">
      <c r="A30" s="26" t="str">
        <f>CONCATENATE(LEFT(ConsumoConcreto[[#This Row],[RecebimentoID]],4),"CNSC",TEXT(ConsumoConcreto[[#This Row],[Ordem]],"0000"),UPPER(LEFT(ConsumoConcreto[[#This Row],[Destino]],3)))</f>
        <v>0184CNSC0611PAR</v>
      </c>
      <c r="B30" s="1">
        <v>611</v>
      </c>
      <c r="C30" s="2" t="s">
        <v>2009</v>
      </c>
      <c r="D30" s="2" t="s">
        <v>2010</v>
      </c>
      <c r="E30" s="18">
        <v>1</v>
      </c>
      <c r="F30" s="2" t="s">
        <v>25</v>
      </c>
      <c r="G30" s="36">
        <v>0.875</v>
      </c>
      <c r="H30" s="2" t="s">
        <v>1965</v>
      </c>
      <c r="I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0" s="22">
        <v>18</v>
      </c>
      <c r="K30" s="22">
        <v>18</v>
      </c>
      <c r="L30" s="37">
        <v>36892</v>
      </c>
      <c r="M30" s="2"/>
      <c r="N30" s="2" t="s">
        <v>1966</v>
      </c>
      <c r="O30" s="2" t="s">
        <v>27</v>
      </c>
      <c r="P30" s="2" t="s">
        <v>26</v>
      </c>
    </row>
    <row r="31" spans="1:16" ht="20.100000000000001" customHeight="1" x14ac:dyDescent="0.25">
      <c r="A31" s="26" t="str">
        <f>CONCATENATE(LEFT(ConsumoConcreto[[#This Row],[RecebimentoID]],4),"CNSC",TEXT(ConsumoConcreto[[#This Row],[Ordem]],"0000"),UPPER(LEFT(ConsumoConcreto[[#This Row],[Destino]],3)))</f>
        <v>0184CNSC0595RAD</v>
      </c>
      <c r="B31" s="1">
        <v>595</v>
      </c>
      <c r="C31" s="2" t="s">
        <v>2011</v>
      </c>
      <c r="D31" s="2" t="s">
        <v>2010</v>
      </c>
      <c r="E31" s="18">
        <v>1</v>
      </c>
      <c r="F31" s="2" t="s">
        <v>1801</v>
      </c>
      <c r="G31" s="36">
        <v>0.49305555555555558</v>
      </c>
      <c r="H31" s="2" t="s">
        <v>1968</v>
      </c>
      <c r="I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1" s="22">
        <v>7</v>
      </c>
      <c r="K31" s="22">
        <v>7</v>
      </c>
      <c r="L31" s="37">
        <v>36892</v>
      </c>
      <c r="M31" s="2"/>
      <c r="N31" s="2" t="s">
        <v>1963</v>
      </c>
      <c r="O31" s="2" t="s">
        <v>27</v>
      </c>
      <c r="P31" s="2" t="s">
        <v>26</v>
      </c>
    </row>
    <row r="32" spans="1:16" ht="20.100000000000001" customHeight="1" x14ac:dyDescent="0.25">
      <c r="A32" s="26" t="str">
        <f>CONCATENATE(LEFT(ConsumoConcreto[[#This Row],[RecebimentoID]],4),"CNSC",TEXT(ConsumoConcreto[[#This Row],[Ordem]],"0000"),UPPER(LEFT(ConsumoConcreto[[#This Row],[Destino]],3)))</f>
        <v>0184CNSC0684PAR</v>
      </c>
      <c r="B32" s="1">
        <v>684</v>
      </c>
      <c r="C32" s="2" t="s">
        <v>2012</v>
      </c>
      <c r="D32" s="2" t="s">
        <v>2013</v>
      </c>
      <c r="E32" s="18">
        <v>1</v>
      </c>
      <c r="F32" s="2" t="s">
        <v>25</v>
      </c>
      <c r="G32" s="36">
        <v>0.67361111111111116</v>
      </c>
      <c r="H32" s="2" t="s">
        <v>1965</v>
      </c>
      <c r="I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2" s="22">
        <v>15</v>
      </c>
      <c r="K32" s="22">
        <v>15</v>
      </c>
      <c r="L32" s="37">
        <v>36892</v>
      </c>
      <c r="M32" s="2" t="s">
        <v>1971</v>
      </c>
      <c r="N32" s="2" t="s">
        <v>1966</v>
      </c>
      <c r="O32" s="2" t="s">
        <v>27</v>
      </c>
      <c r="P32" s="2" t="s">
        <v>26</v>
      </c>
    </row>
    <row r="33" spans="1:16" ht="20.100000000000001" customHeight="1" x14ac:dyDescent="0.25">
      <c r="A33" s="26" t="str">
        <f>CONCATENATE(LEFT(ConsumoConcreto[[#This Row],[RecebimentoID]],4),"CNSC",TEXT(ConsumoConcreto[[#This Row],[Ordem]],"0000"),UPPER(LEFT(ConsumoConcreto[[#This Row],[Destino]],3)))</f>
        <v>0184CNSC0677RAD</v>
      </c>
      <c r="B33" s="1">
        <v>677</v>
      </c>
      <c r="C33" s="2" t="s">
        <v>2014</v>
      </c>
      <c r="D33" s="2" t="s">
        <v>2013</v>
      </c>
      <c r="E33" s="18">
        <v>1</v>
      </c>
      <c r="F33" s="2" t="s">
        <v>1801</v>
      </c>
      <c r="G33" s="36"/>
      <c r="H33" s="2" t="s">
        <v>1968</v>
      </c>
      <c r="I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3" s="22">
        <v>7.33</v>
      </c>
      <c r="K33" s="22">
        <v>5.4809999999999999</v>
      </c>
      <c r="L33" s="37">
        <v>36892</v>
      </c>
      <c r="M33" s="2" t="s">
        <v>1971</v>
      </c>
      <c r="N33" s="2"/>
      <c r="O33" s="2" t="s">
        <v>27</v>
      </c>
      <c r="P33" s="2" t="s">
        <v>26</v>
      </c>
    </row>
    <row r="34" spans="1:16" ht="20.100000000000001" customHeight="1" x14ac:dyDescent="0.25">
      <c r="A34" s="26" t="str">
        <f>CONCATENATE(LEFT(ConsumoConcreto[[#This Row],[RecebimentoID]],4),"CNSC",TEXT(ConsumoConcreto[[#This Row],[Ordem]],"0000"),UPPER(LEFT(ConsumoConcreto[[#This Row],[Destino]],3)))</f>
        <v>0184CNSC0759PAR</v>
      </c>
      <c r="B34" s="1">
        <v>759</v>
      </c>
      <c r="C34" s="2" t="s">
        <v>2015</v>
      </c>
      <c r="D34" s="2" t="s">
        <v>2016</v>
      </c>
      <c r="E34" s="18">
        <v>1</v>
      </c>
      <c r="F34" s="2" t="s">
        <v>25</v>
      </c>
      <c r="G34" s="36">
        <v>0.82847222222222217</v>
      </c>
      <c r="H34" s="2" t="s">
        <v>1965</v>
      </c>
      <c r="I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4" s="22">
        <v>14.5</v>
      </c>
      <c r="K34" s="22">
        <v>14.5</v>
      </c>
      <c r="L34" s="37">
        <v>36892</v>
      </c>
      <c r="M34" s="2"/>
      <c r="N34" s="2" t="s">
        <v>2017</v>
      </c>
      <c r="O34" s="2" t="s">
        <v>27</v>
      </c>
      <c r="P34" s="2" t="s">
        <v>26</v>
      </c>
    </row>
    <row r="35" spans="1:16" ht="20.100000000000001" customHeight="1" x14ac:dyDescent="0.25">
      <c r="A35" s="26" t="str">
        <f>CONCATENATE(LEFT(ConsumoConcreto[[#This Row],[RecebimentoID]],4),"CNSC",TEXT(ConsumoConcreto[[#This Row],[Ordem]],"0000"),UPPER(LEFT(ConsumoConcreto[[#This Row],[Destino]],3)))</f>
        <v>0184CNSC0754RAD</v>
      </c>
      <c r="B35" s="1">
        <v>754</v>
      </c>
      <c r="C35" s="2" t="s">
        <v>2018</v>
      </c>
      <c r="D35" s="2" t="s">
        <v>2016</v>
      </c>
      <c r="E35" s="18">
        <v>1</v>
      </c>
      <c r="F35" s="2" t="s">
        <v>1801</v>
      </c>
      <c r="G35" s="36">
        <v>0.49513888888888885</v>
      </c>
      <c r="H35" s="2" t="s">
        <v>1968</v>
      </c>
      <c r="I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5" s="22">
        <v>5.5</v>
      </c>
      <c r="K35" s="22">
        <v>5.5</v>
      </c>
      <c r="L35" s="37">
        <v>36892</v>
      </c>
      <c r="M35" s="2" t="s">
        <v>2019</v>
      </c>
      <c r="N35" s="2" t="s">
        <v>1963</v>
      </c>
      <c r="O35" s="2" t="s">
        <v>27</v>
      </c>
      <c r="P35" s="2" t="s">
        <v>26</v>
      </c>
    </row>
    <row r="36" spans="1:16" ht="20.100000000000001" customHeight="1" x14ac:dyDescent="0.25">
      <c r="A36" s="26" t="str">
        <f>CONCATENATE(LEFT(ConsumoConcreto[[#This Row],[RecebimentoID]],4),"CNSC",TEXT(ConsumoConcreto[[#This Row],[Ordem]],"0000"),UPPER(LEFT(ConsumoConcreto[[#This Row],[Destino]],3)))</f>
        <v>0184CNSC0798PAR</v>
      </c>
      <c r="B36" s="1">
        <v>798</v>
      </c>
      <c r="C36" s="2" t="s">
        <v>2020</v>
      </c>
      <c r="D36" s="2" t="s">
        <v>2021</v>
      </c>
      <c r="E36" s="18">
        <v>1</v>
      </c>
      <c r="F36" s="2" t="s">
        <v>25</v>
      </c>
      <c r="G36" s="36"/>
      <c r="H36" s="2" t="s">
        <v>1965</v>
      </c>
      <c r="I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L36" s="37">
        <v>36892</v>
      </c>
      <c r="M36" s="2"/>
      <c r="N36" s="2" t="s">
        <v>1966</v>
      </c>
      <c r="O36" s="2" t="s">
        <v>27</v>
      </c>
      <c r="P36" s="2" t="s">
        <v>26</v>
      </c>
    </row>
    <row r="37" spans="1:16" ht="20.100000000000001" customHeight="1" x14ac:dyDescent="0.25">
      <c r="A37" s="26" t="str">
        <f>CONCATENATE(LEFT(ConsumoConcreto[[#This Row],[RecebimentoID]],4),"CNSC",TEXT(ConsumoConcreto[[#This Row],[Ordem]],"0000"),UPPER(LEFT(ConsumoConcreto[[#This Row],[Destino]],3)))</f>
        <v>0184CNSC0782RAD</v>
      </c>
      <c r="B37" s="1">
        <v>782</v>
      </c>
      <c r="C37" s="2" t="s">
        <v>2022</v>
      </c>
      <c r="D37" s="2" t="s">
        <v>2021</v>
      </c>
      <c r="E37" s="18">
        <v>1</v>
      </c>
      <c r="F37" s="2" t="s">
        <v>1801</v>
      </c>
      <c r="G37" s="36">
        <v>0.62152777777777779</v>
      </c>
      <c r="H37" s="2" t="s">
        <v>1968</v>
      </c>
      <c r="I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7" s="22">
        <v>7</v>
      </c>
      <c r="K37" s="22">
        <v>7</v>
      </c>
      <c r="L37" s="37">
        <v>36892</v>
      </c>
      <c r="M37" s="2"/>
      <c r="N37" s="2" t="s">
        <v>1963</v>
      </c>
      <c r="O37" s="2" t="s">
        <v>27</v>
      </c>
      <c r="P37" s="2" t="s">
        <v>26</v>
      </c>
    </row>
    <row r="38" spans="1:16" ht="20.100000000000001" customHeight="1" x14ac:dyDescent="0.25">
      <c r="A38" s="26" t="str">
        <f>CONCATENATE(LEFT(ConsumoConcreto[[#This Row],[RecebimentoID]],4),"CNSC",TEXT(ConsumoConcreto[[#This Row],[Ordem]],"0000"),UPPER(LEFT(ConsumoConcreto[[#This Row],[Destino]],3)))</f>
        <v>0184CNSC0861PAR</v>
      </c>
      <c r="B38" s="1">
        <v>861</v>
      </c>
      <c r="C38" s="2" t="s">
        <v>2023</v>
      </c>
      <c r="D38" s="2" t="s">
        <v>2024</v>
      </c>
      <c r="E38" s="18">
        <v>1</v>
      </c>
      <c r="F38" s="2" t="s">
        <v>25</v>
      </c>
      <c r="G38" s="36">
        <v>0.66319444444444442</v>
      </c>
      <c r="H38" s="2" t="s">
        <v>1965</v>
      </c>
      <c r="I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8" s="22">
        <v>14.5</v>
      </c>
      <c r="K38" s="22">
        <v>14.5</v>
      </c>
      <c r="L38" s="37">
        <v>36892</v>
      </c>
      <c r="M38" s="2"/>
      <c r="N38" s="2" t="s">
        <v>1966</v>
      </c>
      <c r="O38" s="2" t="s">
        <v>27</v>
      </c>
      <c r="P38" s="2" t="s">
        <v>26</v>
      </c>
    </row>
    <row r="39" spans="1:16" ht="20.100000000000001" customHeight="1" x14ac:dyDescent="0.25">
      <c r="A39" s="26" t="str">
        <f>CONCATENATE(LEFT(ConsumoConcreto[[#This Row],[RecebimentoID]],4),"CNSC",TEXT(ConsumoConcreto[[#This Row],[Ordem]],"0000"),UPPER(LEFT(ConsumoConcreto[[#This Row],[Destino]],3)))</f>
        <v>0184CNSC0837RAD</v>
      </c>
      <c r="B39" s="1">
        <v>837</v>
      </c>
      <c r="C39" s="2" t="s">
        <v>2025</v>
      </c>
      <c r="D39" s="2" t="s">
        <v>2024</v>
      </c>
      <c r="E39" s="18">
        <v>1</v>
      </c>
      <c r="F39" s="2" t="s">
        <v>1801</v>
      </c>
      <c r="G39" s="36">
        <v>0.45833333333333331</v>
      </c>
      <c r="H39" s="2" t="s">
        <v>1968</v>
      </c>
      <c r="I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9" s="22">
        <v>5.5</v>
      </c>
      <c r="K39" s="22">
        <v>5.5</v>
      </c>
      <c r="L39" s="37">
        <v>36892</v>
      </c>
      <c r="M39" s="2"/>
      <c r="N39" s="2" t="s">
        <v>1963</v>
      </c>
      <c r="O39" s="2" t="s">
        <v>27</v>
      </c>
      <c r="P39" s="2" t="s">
        <v>26</v>
      </c>
    </row>
    <row r="40" spans="1:16" ht="20.100000000000001" customHeight="1" x14ac:dyDescent="0.25">
      <c r="A40" s="26" t="str">
        <f>CONCATENATE(LEFT(ConsumoConcreto[[#This Row],[RecebimentoID]],4),"CNSC",TEXT(ConsumoConcreto[[#This Row],[Ordem]],"0000"),UPPER(LEFT(ConsumoConcreto[[#This Row],[Destino]],3)))</f>
        <v>0184CNSC0883PAR</v>
      </c>
      <c r="B40" s="1">
        <v>883</v>
      </c>
      <c r="C40" s="2" t="s">
        <v>2026</v>
      </c>
      <c r="D40" s="2" t="s">
        <v>2027</v>
      </c>
      <c r="E40" s="18">
        <v>1</v>
      </c>
      <c r="F40" s="2" t="s">
        <v>25</v>
      </c>
      <c r="G40" s="36">
        <v>0.70277777777777783</v>
      </c>
      <c r="H40" s="2" t="s">
        <v>1965</v>
      </c>
      <c r="I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0" s="22">
        <v>14.5</v>
      </c>
      <c r="K40" s="22">
        <v>14.5</v>
      </c>
      <c r="L40" s="37">
        <v>36892</v>
      </c>
      <c r="M40" s="2"/>
      <c r="N40" s="2" t="s">
        <v>1966</v>
      </c>
      <c r="O40" s="2" t="s">
        <v>27</v>
      </c>
      <c r="P40" s="2" t="s">
        <v>26</v>
      </c>
    </row>
    <row r="41" spans="1:16" ht="20.100000000000001" customHeight="1" x14ac:dyDescent="0.25">
      <c r="A41" s="26" t="str">
        <f>CONCATENATE(LEFT(ConsumoConcreto[[#This Row],[RecebimentoID]],4),"CNSC",TEXT(ConsumoConcreto[[#This Row],[Ordem]],"0000"),UPPER(LEFT(ConsumoConcreto[[#This Row],[Destino]],3)))</f>
        <v>0184CNSC0870RAD</v>
      </c>
      <c r="B41" s="1">
        <v>870</v>
      </c>
      <c r="C41" s="2" t="s">
        <v>2028</v>
      </c>
      <c r="D41" s="2" t="s">
        <v>2027</v>
      </c>
      <c r="E41" s="18">
        <v>1</v>
      </c>
      <c r="F41" s="2" t="s">
        <v>1801</v>
      </c>
      <c r="G41" s="36">
        <v>0.51041666666666663</v>
      </c>
      <c r="H41" s="2" t="s">
        <v>1968</v>
      </c>
      <c r="I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1" s="22">
        <v>5.5</v>
      </c>
      <c r="K41" s="22">
        <v>5.5</v>
      </c>
      <c r="L41" s="37">
        <v>36892</v>
      </c>
      <c r="M41" s="2"/>
      <c r="N41" s="2" t="s">
        <v>1963</v>
      </c>
      <c r="O41" s="2" t="s">
        <v>27</v>
      </c>
      <c r="P41" s="2" t="s">
        <v>26</v>
      </c>
    </row>
    <row r="42" spans="1:16" ht="20.100000000000001" customHeight="1" x14ac:dyDescent="0.25">
      <c r="A42" s="26" t="str">
        <f>CONCATENATE(LEFT(ConsumoConcreto[[#This Row],[RecebimentoID]],4),"CNSC",TEXT(ConsumoConcreto[[#This Row],[Ordem]],"0000"),UPPER(LEFT(ConsumoConcreto[[#This Row],[Destino]],3)))</f>
        <v>0184CNSC0909PAR</v>
      </c>
      <c r="B42" s="1">
        <v>909</v>
      </c>
      <c r="C42" s="2" t="s">
        <v>2029</v>
      </c>
      <c r="D42" s="2" t="s">
        <v>2030</v>
      </c>
      <c r="E42" s="18">
        <v>1</v>
      </c>
      <c r="F42" s="2" t="s">
        <v>25</v>
      </c>
      <c r="G42" s="36">
        <v>0.84305555555555556</v>
      </c>
      <c r="H42" s="2" t="s">
        <v>1965</v>
      </c>
      <c r="I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2" s="22">
        <v>14.5</v>
      </c>
      <c r="K42" s="22">
        <v>14.5</v>
      </c>
      <c r="L42" s="37">
        <v>36892</v>
      </c>
      <c r="M42" s="2"/>
      <c r="N42" s="2" t="s">
        <v>1966</v>
      </c>
      <c r="O42" s="2" t="s">
        <v>27</v>
      </c>
      <c r="P42" s="2" t="s">
        <v>26</v>
      </c>
    </row>
    <row r="43" spans="1:16" ht="20.100000000000001" customHeight="1" x14ac:dyDescent="0.25">
      <c r="A43" s="26" t="str">
        <f>CONCATENATE(LEFT(ConsumoConcreto[[#This Row],[RecebimentoID]],4),"CNSC",TEXT(ConsumoConcreto[[#This Row],[Ordem]],"0000"),UPPER(LEFT(ConsumoConcreto[[#This Row],[Destino]],3)))</f>
        <v>0184CNSC0896RAD</v>
      </c>
      <c r="B43" s="1">
        <v>896</v>
      </c>
      <c r="C43" s="2" t="s">
        <v>2031</v>
      </c>
      <c r="D43" s="2" t="s">
        <v>2030</v>
      </c>
      <c r="E43" s="18">
        <v>1</v>
      </c>
      <c r="F43" s="2" t="s">
        <v>1801</v>
      </c>
      <c r="G43" s="36"/>
      <c r="H43" s="2" t="s">
        <v>1968</v>
      </c>
      <c r="I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3" s="22">
        <v>7.58</v>
      </c>
      <c r="K43" s="22">
        <v>5.4809999999999999</v>
      </c>
      <c r="L43" s="37">
        <v>36892</v>
      </c>
      <c r="M43" s="2" t="s">
        <v>1971</v>
      </c>
      <c r="N43" s="2"/>
      <c r="O43" s="2" t="s">
        <v>27</v>
      </c>
      <c r="P43" s="2" t="s">
        <v>26</v>
      </c>
    </row>
    <row r="44" spans="1:16" ht="20.100000000000001" customHeight="1" x14ac:dyDescent="0.25">
      <c r="A44" s="26" t="str">
        <f>CONCATENATE(LEFT(ConsumoConcreto[[#This Row],[RecebimentoID]],4),"CNSC",TEXT(ConsumoConcreto[[#This Row],[Ordem]],"0000"),UPPER(LEFT(ConsumoConcreto[[#This Row],[Destino]],3)))</f>
        <v>0184CNSC1006PAR</v>
      </c>
      <c r="B44" s="1">
        <v>1006</v>
      </c>
      <c r="C44" s="2" t="s">
        <v>2032</v>
      </c>
      <c r="D44" s="2" t="s">
        <v>2033</v>
      </c>
      <c r="E44" s="18">
        <v>1</v>
      </c>
      <c r="F44" s="2" t="s">
        <v>25</v>
      </c>
      <c r="G44" s="36"/>
      <c r="H44" s="2" t="s">
        <v>1965</v>
      </c>
      <c r="I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44" s="37">
        <v>36892</v>
      </c>
      <c r="M44" s="2"/>
      <c r="N44" s="2"/>
      <c r="O44" s="2" t="s">
        <v>27</v>
      </c>
      <c r="P44" s="2" t="s">
        <v>26</v>
      </c>
    </row>
    <row r="45" spans="1:16" ht="20.100000000000001" customHeight="1" x14ac:dyDescent="0.25">
      <c r="A45" s="26" t="str">
        <f>CONCATENATE(LEFT(ConsumoConcreto[[#This Row],[RecebimentoID]],4),"CNSC",TEXT(ConsumoConcreto[[#This Row],[Ordem]],"0000"),UPPER(LEFT(ConsumoConcreto[[#This Row],[Destino]],3)))</f>
        <v>0184CNSC1002RAD</v>
      </c>
      <c r="B45" s="1">
        <v>1002</v>
      </c>
      <c r="C45" s="2" t="s">
        <v>2034</v>
      </c>
      <c r="D45" s="2" t="s">
        <v>2033</v>
      </c>
      <c r="E45" s="18">
        <v>1</v>
      </c>
      <c r="F45" s="2" t="s">
        <v>1801</v>
      </c>
      <c r="G45" s="36"/>
      <c r="H45" s="2" t="s">
        <v>1968</v>
      </c>
      <c r="I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L45" s="37">
        <v>36892</v>
      </c>
      <c r="M45" s="2"/>
      <c r="N45" s="2"/>
      <c r="O45" s="2" t="s">
        <v>27</v>
      </c>
      <c r="P45" s="2" t="s">
        <v>26</v>
      </c>
    </row>
    <row r="46" spans="1:16" ht="20.100000000000001" customHeight="1" x14ac:dyDescent="0.25">
      <c r="A46" s="26" t="str">
        <f>CONCATENATE(LEFT(ConsumoConcreto[[#This Row],[RecebimentoID]],4),"CNSC",TEXT(ConsumoConcreto[[#This Row],[Ordem]],"0000"),UPPER(LEFT(ConsumoConcreto[[#This Row],[Destino]],3)))</f>
        <v>0184CNSC1050PAR</v>
      </c>
      <c r="B46" s="1">
        <v>1050</v>
      </c>
      <c r="C46" s="2" t="s">
        <v>2035</v>
      </c>
      <c r="D46" s="2" t="s">
        <v>2036</v>
      </c>
      <c r="E46" s="18">
        <v>1</v>
      </c>
      <c r="F46" s="2" t="s">
        <v>25</v>
      </c>
      <c r="G46" s="36">
        <v>0.77083333333333337</v>
      </c>
      <c r="H46" s="2" t="s">
        <v>1965</v>
      </c>
      <c r="I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6" s="22">
        <v>14.5</v>
      </c>
      <c r="K46" s="22">
        <v>14.5</v>
      </c>
      <c r="L46" s="37">
        <v>36892</v>
      </c>
      <c r="M46" s="2"/>
      <c r="N46" s="2" t="s">
        <v>1966</v>
      </c>
      <c r="O46" s="2" t="s">
        <v>27</v>
      </c>
      <c r="P46" s="2" t="s">
        <v>26</v>
      </c>
    </row>
    <row r="47" spans="1:16" ht="20.100000000000001" customHeight="1" x14ac:dyDescent="0.25">
      <c r="A47" s="26" t="str">
        <f>CONCATENATE(LEFT(ConsumoConcreto[[#This Row],[RecebimentoID]],4),"CNSC",TEXT(ConsumoConcreto[[#This Row],[Ordem]],"0000"),UPPER(LEFT(ConsumoConcreto[[#This Row],[Destino]],3)))</f>
        <v>0184CNSC1035RAD</v>
      </c>
      <c r="B47" s="1">
        <v>1035</v>
      </c>
      <c r="C47" s="2" t="s">
        <v>2037</v>
      </c>
      <c r="D47" s="2" t="s">
        <v>2036</v>
      </c>
      <c r="E47" s="18">
        <v>1</v>
      </c>
      <c r="F47" s="2" t="s">
        <v>1801</v>
      </c>
      <c r="G47" s="36">
        <v>0.59027777777777779</v>
      </c>
      <c r="H47" s="2" t="s">
        <v>1968</v>
      </c>
      <c r="I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7" s="22">
        <v>5.5</v>
      </c>
      <c r="K47" s="22">
        <v>5.5</v>
      </c>
      <c r="L47" s="37">
        <v>36892</v>
      </c>
      <c r="M47" s="2"/>
      <c r="N47" s="2" t="s">
        <v>1963</v>
      </c>
      <c r="O47" s="2" t="s">
        <v>27</v>
      </c>
      <c r="P47" s="2" t="s">
        <v>26</v>
      </c>
    </row>
    <row r="48" spans="1:16" ht="20.100000000000001" customHeight="1" x14ac:dyDescent="0.25">
      <c r="A48" s="26" t="str">
        <f>CONCATENATE(LEFT(ConsumoConcreto[[#This Row],[RecebimentoID]],4),"CNSC",TEXT(ConsumoConcreto[[#This Row],[Ordem]],"0000"),UPPER(LEFT(ConsumoConcreto[[#This Row],[Destino]],3)))</f>
        <v>0184CNSC0024PIL</v>
      </c>
      <c r="B48" s="1">
        <v>24</v>
      </c>
      <c r="C48" s="2" t="s">
        <v>2038</v>
      </c>
      <c r="D48" s="2" t="s">
        <v>1961</v>
      </c>
      <c r="E48" s="18">
        <v>2</v>
      </c>
      <c r="F48" s="2" t="s">
        <v>25</v>
      </c>
      <c r="G48" s="36"/>
      <c r="H48" s="2" t="s">
        <v>1962</v>
      </c>
      <c r="I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48" s="22">
        <v>0.2</v>
      </c>
      <c r="K48" s="22">
        <v>0.1</v>
      </c>
      <c r="L48" s="37">
        <v>36892</v>
      </c>
      <c r="M48" s="2"/>
      <c r="N48" s="2" t="s">
        <v>1963</v>
      </c>
      <c r="O48" s="2" t="s">
        <v>27</v>
      </c>
      <c r="P48" s="2" t="s">
        <v>26</v>
      </c>
    </row>
    <row r="49" spans="1:16" ht="20.100000000000001" customHeight="1" x14ac:dyDescent="0.25">
      <c r="A49" s="26" t="str">
        <f>CONCATENATE(LEFT(ConsumoConcreto[[#This Row],[RecebimentoID]],4),"CNSC",TEXT(ConsumoConcreto[[#This Row],[Ordem]],"0000"),UPPER(LEFT(ConsumoConcreto[[#This Row],[Destino]],3)))</f>
        <v>0184CNSC0010PAR</v>
      </c>
      <c r="B49" s="1">
        <v>10</v>
      </c>
      <c r="C49" s="2" t="s">
        <v>2039</v>
      </c>
      <c r="D49" s="2" t="s">
        <v>1961</v>
      </c>
      <c r="E49" s="18">
        <v>2</v>
      </c>
      <c r="F49" s="2" t="s">
        <v>1780</v>
      </c>
      <c r="G49" s="36"/>
      <c r="H49" s="2" t="s">
        <v>1965</v>
      </c>
      <c r="I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9" s="22">
        <v>14</v>
      </c>
      <c r="K49" s="22">
        <v>14</v>
      </c>
      <c r="L49" s="37">
        <v>36892</v>
      </c>
      <c r="M49" s="2"/>
      <c r="N49" s="2" t="s">
        <v>1966</v>
      </c>
      <c r="O49" s="2" t="s">
        <v>27</v>
      </c>
      <c r="P49" s="2" t="s">
        <v>26</v>
      </c>
    </row>
    <row r="50" spans="1:16" ht="20.100000000000001" customHeight="1" x14ac:dyDescent="0.25">
      <c r="A50" s="26" t="str">
        <f>CONCATENATE(LEFT(ConsumoConcreto[[#This Row],[RecebimentoID]],4),"CNSC",TEXT(ConsumoConcreto[[#This Row],[Ordem]],"0000"),UPPER(LEFT(ConsumoConcreto[[#This Row],[Destino]],3)))</f>
        <v>0184CNSC0002RAD</v>
      </c>
      <c r="B50" s="1">
        <v>2</v>
      </c>
      <c r="C50" s="2" t="s">
        <v>2040</v>
      </c>
      <c r="D50" s="2" t="s">
        <v>1961</v>
      </c>
      <c r="E50" s="18">
        <v>2</v>
      </c>
      <c r="F50" s="2" t="s">
        <v>1801</v>
      </c>
      <c r="G50" s="36"/>
      <c r="H50" s="2" t="s">
        <v>1968</v>
      </c>
      <c r="I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0" s="22">
        <v>5.5</v>
      </c>
      <c r="K50" s="22">
        <v>5.5</v>
      </c>
      <c r="L50" s="37">
        <v>36892</v>
      </c>
      <c r="M50" s="2"/>
      <c r="N50" s="2"/>
      <c r="O50" s="2" t="s">
        <v>27</v>
      </c>
      <c r="P50" s="2" t="s">
        <v>26</v>
      </c>
    </row>
    <row r="51" spans="1:16" ht="20.100000000000001" customHeight="1" x14ac:dyDescent="0.25">
      <c r="A51" s="26" t="str">
        <f>CONCATENATE(LEFT(ConsumoConcreto[[#This Row],[RecebimentoID]],4),"CNSC",TEXT(ConsumoConcreto[[#This Row],[Ordem]],"0000"),UPPER(LEFT(ConsumoConcreto[[#This Row],[Destino]],3)))</f>
        <v>0184CNSC0050PAR</v>
      </c>
      <c r="B51" s="1">
        <v>50</v>
      </c>
      <c r="C51" s="2" t="s">
        <v>2041</v>
      </c>
      <c r="D51" s="2" t="s">
        <v>1970</v>
      </c>
      <c r="E51" s="18">
        <v>2</v>
      </c>
      <c r="F51" s="2" t="s">
        <v>25</v>
      </c>
      <c r="G51" s="36"/>
      <c r="H51" s="2" t="s">
        <v>1965</v>
      </c>
      <c r="I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1" s="22">
        <v>14</v>
      </c>
      <c r="K51" s="22">
        <v>14</v>
      </c>
      <c r="L51" s="37">
        <v>36892</v>
      </c>
      <c r="M51" s="2"/>
      <c r="N51" s="2" t="s">
        <v>1966</v>
      </c>
      <c r="O51" s="2" t="s">
        <v>27</v>
      </c>
      <c r="P51" s="2" t="s">
        <v>26</v>
      </c>
    </row>
    <row r="52" spans="1:16" ht="20.100000000000001" customHeight="1" x14ac:dyDescent="0.25">
      <c r="A52" s="26" t="str">
        <f>CONCATENATE(LEFT(ConsumoConcreto[[#This Row],[RecebimentoID]],4),"CNSC",TEXT(ConsumoConcreto[[#This Row],[Ordem]],"0000"),UPPER(LEFT(ConsumoConcreto[[#This Row],[Destino]],3)))</f>
        <v>0184CNSC0085PIL</v>
      </c>
      <c r="B52" s="1">
        <v>85</v>
      </c>
      <c r="C52" s="2" t="s">
        <v>2042</v>
      </c>
      <c r="D52" s="2" t="s">
        <v>1970</v>
      </c>
      <c r="E52" s="18">
        <v>2</v>
      </c>
      <c r="F52" s="2" t="s">
        <v>25</v>
      </c>
      <c r="G52" s="36"/>
      <c r="H52" s="2" t="s">
        <v>1962</v>
      </c>
      <c r="I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2" s="22">
        <v>0.1</v>
      </c>
      <c r="K52" s="22">
        <v>0.1</v>
      </c>
      <c r="L52" s="37">
        <v>36892</v>
      </c>
      <c r="M52" s="2"/>
      <c r="N52" s="2" t="s">
        <v>1963</v>
      </c>
      <c r="O52" s="2" t="s">
        <v>27</v>
      </c>
      <c r="P52" s="2" t="s">
        <v>26</v>
      </c>
    </row>
    <row r="53" spans="1:16" ht="20.100000000000001" customHeight="1" x14ac:dyDescent="0.25">
      <c r="A53" s="26" t="str">
        <f>CONCATENATE(LEFT(ConsumoConcreto[[#This Row],[RecebimentoID]],4),"CNSC",TEXT(ConsumoConcreto[[#This Row],[Ordem]],"0000"),UPPER(LEFT(ConsumoConcreto[[#This Row],[Destino]],3)))</f>
        <v>0184CNSC0026RAD</v>
      </c>
      <c r="B53" s="1">
        <v>26</v>
      </c>
      <c r="C53" s="2" t="s">
        <v>2043</v>
      </c>
      <c r="D53" s="2" t="s">
        <v>1970</v>
      </c>
      <c r="E53" s="18">
        <v>2</v>
      </c>
      <c r="F53" s="2" t="s">
        <v>1801</v>
      </c>
      <c r="G53" s="36"/>
      <c r="H53" s="2" t="s">
        <v>1968</v>
      </c>
      <c r="I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3" s="22">
        <v>5.5</v>
      </c>
      <c r="K53" s="22">
        <v>5.5</v>
      </c>
      <c r="L53" s="37">
        <v>36892</v>
      </c>
      <c r="M53" s="2"/>
      <c r="N53" s="2"/>
      <c r="O53" s="2" t="s">
        <v>27</v>
      </c>
      <c r="P53" s="2" t="s">
        <v>26</v>
      </c>
    </row>
    <row r="54" spans="1:16" ht="20.100000000000001" customHeight="1" x14ac:dyDescent="0.25">
      <c r="A54" s="26" t="str">
        <f>CONCATENATE(LEFT(ConsumoConcreto[[#This Row],[RecebimentoID]],4),"CNSC",TEXT(ConsumoConcreto[[#This Row],[Ordem]],"0000"),UPPER(LEFT(ConsumoConcreto[[#This Row],[Destino]],3)))</f>
        <v>0184CNSC0128PAR</v>
      </c>
      <c r="B54" s="1">
        <v>128</v>
      </c>
      <c r="C54" s="2" t="s">
        <v>2044</v>
      </c>
      <c r="D54" s="2" t="s">
        <v>1975</v>
      </c>
      <c r="E54" s="18">
        <v>2</v>
      </c>
      <c r="F54" s="2" t="s">
        <v>25</v>
      </c>
      <c r="G54" s="36"/>
      <c r="H54" s="2" t="s">
        <v>1965</v>
      </c>
      <c r="I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4" s="22">
        <v>14.5</v>
      </c>
      <c r="K54" s="22">
        <v>14</v>
      </c>
      <c r="L54" s="37">
        <v>36892</v>
      </c>
      <c r="M54" s="2"/>
      <c r="N54" s="2" t="s">
        <v>1966</v>
      </c>
      <c r="O54" s="2" t="s">
        <v>27</v>
      </c>
      <c r="P54" s="2" t="s">
        <v>26</v>
      </c>
    </row>
    <row r="55" spans="1:16" ht="20.100000000000001" customHeight="1" x14ac:dyDescent="0.25">
      <c r="A55" s="26" t="str">
        <f>CONCATENATE(LEFT(ConsumoConcreto[[#This Row],[RecebimentoID]],4),"CNSC",TEXT(ConsumoConcreto[[#This Row],[Ordem]],"0000"),UPPER(LEFT(ConsumoConcreto[[#This Row],[Destino]],3)))</f>
        <v>0184CNSC0108RAD</v>
      </c>
      <c r="B55" s="1">
        <v>108</v>
      </c>
      <c r="C55" s="2" t="s">
        <v>2045</v>
      </c>
      <c r="D55" s="2" t="s">
        <v>1975</v>
      </c>
      <c r="E55" s="18">
        <v>2</v>
      </c>
      <c r="F55" s="2" t="s">
        <v>1801</v>
      </c>
      <c r="G55" s="36"/>
      <c r="H55" s="2" t="s">
        <v>1968</v>
      </c>
      <c r="I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5" s="22">
        <v>5.5</v>
      </c>
      <c r="K55" s="22">
        <v>5.4809999999999999</v>
      </c>
      <c r="L55" s="37">
        <v>36892</v>
      </c>
      <c r="M55" s="2"/>
      <c r="N55" s="2"/>
      <c r="O55" s="2" t="s">
        <v>27</v>
      </c>
      <c r="P55" s="2" t="s">
        <v>26</v>
      </c>
    </row>
    <row r="56" spans="1:16" ht="20.100000000000001" customHeight="1" x14ac:dyDescent="0.25">
      <c r="A56" s="26" t="str">
        <f>CONCATENATE(LEFT(ConsumoConcreto[[#This Row],[RecebimentoID]],4),"CNSC",TEXT(ConsumoConcreto[[#This Row],[Ordem]],"0000"),UPPER(LEFT(ConsumoConcreto[[#This Row],[Destino]],3)))</f>
        <v>0184CNSC0233PAR</v>
      </c>
      <c r="B56" s="1">
        <v>233</v>
      </c>
      <c r="C56" s="2" t="s">
        <v>2046</v>
      </c>
      <c r="D56" s="2" t="s">
        <v>1979</v>
      </c>
      <c r="E56" s="18">
        <v>2</v>
      </c>
      <c r="F56" s="2" t="s">
        <v>25</v>
      </c>
      <c r="G56" s="36">
        <v>0.75347222222222221</v>
      </c>
      <c r="H56" s="2" t="s">
        <v>1965</v>
      </c>
      <c r="I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6" s="22">
        <v>15</v>
      </c>
      <c r="K56" s="22">
        <v>15</v>
      </c>
      <c r="L56" s="37">
        <v>36892</v>
      </c>
      <c r="M56" s="2"/>
      <c r="N56" s="2" t="s">
        <v>1966</v>
      </c>
      <c r="O56" s="2" t="s">
        <v>27</v>
      </c>
      <c r="P56" s="2" t="s">
        <v>26</v>
      </c>
    </row>
    <row r="57" spans="1:16" ht="20.100000000000001" customHeight="1" x14ac:dyDescent="0.25">
      <c r="A57" s="26" t="str">
        <f>CONCATENATE(LEFT(ConsumoConcreto[[#This Row],[RecebimentoID]],4),"CNSC",TEXT(ConsumoConcreto[[#This Row],[Ordem]],"0000"),UPPER(LEFT(ConsumoConcreto[[#This Row],[Destino]],3)))</f>
        <v>0184CNSC0180RAD</v>
      </c>
      <c r="B57" s="1">
        <v>180</v>
      </c>
      <c r="C57" s="2" t="s">
        <v>2047</v>
      </c>
      <c r="D57" s="2" t="s">
        <v>1979</v>
      </c>
      <c r="E57" s="18">
        <v>2</v>
      </c>
      <c r="F57" s="2" t="s">
        <v>1801</v>
      </c>
      <c r="G57" s="36"/>
      <c r="H57" s="2" t="s">
        <v>1968</v>
      </c>
      <c r="I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7" s="22">
        <v>7</v>
      </c>
      <c r="K57" s="22">
        <v>6.5</v>
      </c>
      <c r="L57" s="37">
        <v>36892</v>
      </c>
      <c r="M57" s="2" t="s">
        <v>1982</v>
      </c>
      <c r="N57" s="2" t="s">
        <v>1966</v>
      </c>
      <c r="O57" s="2" t="s">
        <v>27</v>
      </c>
      <c r="P57" s="2" t="s">
        <v>26</v>
      </c>
    </row>
    <row r="58" spans="1:16" ht="20.100000000000001" customHeight="1" x14ac:dyDescent="0.25">
      <c r="A58" s="26" t="str">
        <f>CONCATENATE(LEFT(ConsumoConcreto[[#This Row],[RecebimentoID]],4),"CNSC",TEXT(ConsumoConcreto[[#This Row],[Ordem]],"0000"),UPPER(LEFT(ConsumoConcreto[[#This Row],[Destino]],3)))</f>
        <v>0184CNSC0244PIL</v>
      </c>
      <c r="B58" s="1">
        <v>244</v>
      </c>
      <c r="C58" s="2" t="s">
        <v>2048</v>
      </c>
      <c r="D58" s="2" t="s">
        <v>1979</v>
      </c>
      <c r="E58" s="18">
        <v>2</v>
      </c>
      <c r="F58" s="2" t="s">
        <v>1801</v>
      </c>
      <c r="G58" s="36"/>
      <c r="H58" s="2" t="s">
        <v>1962</v>
      </c>
      <c r="I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8" s="22">
        <v>0.1</v>
      </c>
      <c r="K58" s="22">
        <v>0.1</v>
      </c>
      <c r="L58" s="37">
        <v>36892</v>
      </c>
      <c r="M58" s="2"/>
      <c r="N58" s="2" t="s">
        <v>1963</v>
      </c>
      <c r="O58" s="2" t="s">
        <v>27</v>
      </c>
      <c r="P58" s="2" t="s">
        <v>26</v>
      </c>
    </row>
    <row r="59" spans="1:16" ht="20.100000000000001" customHeight="1" x14ac:dyDescent="0.25">
      <c r="A59" s="26" t="str">
        <f>CONCATENATE(LEFT(ConsumoConcreto[[#This Row],[RecebimentoID]],4),"CNSC",TEXT(ConsumoConcreto[[#This Row],[Ordem]],"0000"),UPPER(LEFT(ConsumoConcreto[[#This Row],[Destino]],3)))</f>
        <v>0184CNSC0272PAR</v>
      </c>
      <c r="B59" s="1">
        <v>272</v>
      </c>
      <c r="C59" s="2" t="s">
        <v>2049</v>
      </c>
      <c r="D59" s="2" t="s">
        <v>1985</v>
      </c>
      <c r="E59" s="18">
        <v>2</v>
      </c>
      <c r="F59" s="2" t="s">
        <v>25</v>
      </c>
      <c r="G59" s="36">
        <v>0.77777777777777779</v>
      </c>
      <c r="H59" s="2" t="s">
        <v>1965</v>
      </c>
      <c r="I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9" s="22">
        <v>19</v>
      </c>
      <c r="K59" s="22">
        <v>18</v>
      </c>
      <c r="L59" s="37">
        <v>36892</v>
      </c>
      <c r="M59" s="2" t="s">
        <v>2050</v>
      </c>
      <c r="N59" s="2" t="s">
        <v>1966</v>
      </c>
      <c r="O59" s="2" t="s">
        <v>27</v>
      </c>
      <c r="P59" s="2" t="s">
        <v>26</v>
      </c>
    </row>
    <row r="60" spans="1:16" ht="20.100000000000001" customHeight="1" x14ac:dyDescent="0.25">
      <c r="A60" s="26" t="str">
        <f>CONCATENATE(LEFT(ConsumoConcreto[[#This Row],[RecebimentoID]],4),"CNSC",TEXT(ConsumoConcreto[[#This Row],[Ordem]],"0000"),UPPER(LEFT(ConsumoConcreto[[#This Row],[Destino]],3)))</f>
        <v>0184CNSC0262RAD</v>
      </c>
      <c r="B60" s="1">
        <v>262</v>
      </c>
      <c r="C60" s="2" t="s">
        <v>2051</v>
      </c>
      <c r="D60" s="2" t="s">
        <v>1985</v>
      </c>
      <c r="E60" s="18">
        <v>2</v>
      </c>
      <c r="F60" s="2" t="s">
        <v>1801</v>
      </c>
      <c r="G60" s="36">
        <v>0.72916666666666663</v>
      </c>
      <c r="H60" s="2" t="s">
        <v>1968</v>
      </c>
      <c r="I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0" s="22">
        <v>7</v>
      </c>
      <c r="K60" s="22">
        <v>7</v>
      </c>
      <c r="L60" s="37">
        <v>36892</v>
      </c>
      <c r="M60" s="2"/>
      <c r="N60" s="2" t="s">
        <v>1963</v>
      </c>
      <c r="O60" s="2" t="s">
        <v>27</v>
      </c>
      <c r="P60" s="2" t="s">
        <v>26</v>
      </c>
    </row>
    <row r="61" spans="1:16" ht="20.100000000000001" customHeight="1" x14ac:dyDescent="0.25">
      <c r="A61" s="26" t="str">
        <f>CONCATENATE(LEFT(ConsumoConcreto[[#This Row],[RecebimentoID]],4),"CNSC",TEXT(ConsumoConcreto[[#This Row],[Ordem]],"0000"),UPPER(LEFT(ConsumoConcreto[[#This Row],[Destino]],3)))</f>
        <v>0184CNSC0290PIL</v>
      </c>
      <c r="B61" s="1">
        <v>290</v>
      </c>
      <c r="C61" s="2" t="s">
        <v>2052</v>
      </c>
      <c r="D61" s="2" t="s">
        <v>1985</v>
      </c>
      <c r="E61" s="18">
        <v>2</v>
      </c>
      <c r="F61" s="2" t="s">
        <v>1801</v>
      </c>
      <c r="G61" s="36">
        <v>0.70833333333333337</v>
      </c>
      <c r="H61" s="2" t="s">
        <v>1962</v>
      </c>
      <c r="I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1" s="22">
        <v>0.1</v>
      </c>
      <c r="K61" s="22">
        <v>0.1</v>
      </c>
      <c r="L61" s="37">
        <v>36892</v>
      </c>
      <c r="M61" s="2"/>
      <c r="N61" s="2" t="s">
        <v>1963</v>
      </c>
      <c r="O61" s="2" t="s">
        <v>27</v>
      </c>
      <c r="P61" s="2" t="s">
        <v>26</v>
      </c>
    </row>
    <row r="62" spans="1:16" ht="20.100000000000001" customHeight="1" x14ac:dyDescent="0.25">
      <c r="A62" s="26" t="str">
        <f>CONCATENATE(LEFT(ConsumoConcreto[[#This Row],[RecebimentoID]],4),"CNSC",TEXT(ConsumoConcreto[[#This Row],[Ordem]],"0000"),UPPER(LEFT(ConsumoConcreto[[#This Row],[Destino]],3)))</f>
        <v>0184CNSC0327PAR</v>
      </c>
      <c r="B62" s="1">
        <v>327</v>
      </c>
      <c r="C62" s="2" t="s">
        <v>2053</v>
      </c>
      <c r="D62" s="2" t="s">
        <v>1989</v>
      </c>
      <c r="E62" s="18">
        <v>2</v>
      </c>
      <c r="F62" s="2" t="s">
        <v>25</v>
      </c>
      <c r="G62" s="36">
        <v>0.75902777777777775</v>
      </c>
      <c r="H62" s="2" t="s">
        <v>1965</v>
      </c>
      <c r="I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2" s="22">
        <v>14.5</v>
      </c>
      <c r="K62" s="22">
        <v>14.5</v>
      </c>
      <c r="L62" s="37">
        <v>36892</v>
      </c>
      <c r="M62" s="2"/>
      <c r="N62" s="2" t="s">
        <v>1966</v>
      </c>
      <c r="O62" s="2" t="s">
        <v>27</v>
      </c>
      <c r="P62" s="2" t="s">
        <v>26</v>
      </c>
    </row>
    <row r="63" spans="1:16" ht="20.100000000000001" customHeight="1" x14ac:dyDescent="0.25">
      <c r="A63" s="26" t="str">
        <f>CONCATENATE(LEFT(ConsumoConcreto[[#This Row],[RecebimentoID]],4),"CNSC",TEXT(ConsumoConcreto[[#This Row],[Ordem]],"0000"),UPPER(LEFT(ConsumoConcreto[[#This Row],[Destino]],3)))</f>
        <v>0184CNSC0305RAD</v>
      </c>
      <c r="B63" s="1">
        <v>305</v>
      </c>
      <c r="C63" s="2" t="s">
        <v>2054</v>
      </c>
      <c r="D63" s="2" t="s">
        <v>1989</v>
      </c>
      <c r="E63" s="18">
        <v>2</v>
      </c>
      <c r="F63" s="2" t="s">
        <v>1801</v>
      </c>
      <c r="G63" s="36">
        <v>0.57638888888888895</v>
      </c>
      <c r="H63" s="2" t="s">
        <v>1968</v>
      </c>
      <c r="I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3" s="22">
        <v>5.5</v>
      </c>
      <c r="K63" s="22">
        <v>5.5</v>
      </c>
      <c r="L63" s="37">
        <v>36892</v>
      </c>
      <c r="M63" s="2"/>
      <c r="N63" s="2" t="s">
        <v>1963</v>
      </c>
      <c r="O63" s="2" t="s">
        <v>27</v>
      </c>
      <c r="P63" s="2" t="s">
        <v>26</v>
      </c>
    </row>
    <row r="64" spans="1:16" ht="20.100000000000001" customHeight="1" x14ac:dyDescent="0.25">
      <c r="A64" s="26" t="str">
        <f>CONCATENATE(LEFT(ConsumoConcreto[[#This Row],[RecebimentoID]],4),"CNSC",TEXT(ConsumoConcreto[[#This Row],[Ordem]],"0000"),UPPER(LEFT(ConsumoConcreto[[#This Row],[Destino]],3)))</f>
        <v>0184CNSC0353PAR</v>
      </c>
      <c r="B64" s="1">
        <v>353</v>
      </c>
      <c r="C64" s="2" t="s">
        <v>2055</v>
      </c>
      <c r="D64" s="2" t="s">
        <v>1992</v>
      </c>
      <c r="E64" s="18">
        <v>2</v>
      </c>
      <c r="F64" s="2" t="s">
        <v>25</v>
      </c>
      <c r="G64" s="36">
        <v>0.72291666666666676</v>
      </c>
      <c r="H64" s="2" t="s">
        <v>1965</v>
      </c>
      <c r="I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4" s="22">
        <v>18.5</v>
      </c>
      <c r="K64" s="22">
        <v>18.5</v>
      </c>
      <c r="L64" s="37">
        <v>36892</v>
      </c>
      <c r="M64" s="2"/>
      <c r="N64" s="2" t="s">
        <v>1966</v>
      </c>
      <c r="O64" s="2" t="s">
        <v>27</v>
      </c>
      <c r="P64" s="2" t="s">
        <v>26</v>
      </c>
    </row>
    <row r="65" spans="1:16" ht="20.100000000000001" customHeight="1" x14ac:dyDescent="0.25">
      <c r="A65" s="26" t="str">
        <f>CONCATENATE(LEFT(ConsumoConcreto[[#This Row],[RecebimentoID]],4),"CNSC",TEXT(ConsumoConcreto[[#This Row],[Ordem]],"0000"),UPPER(LEFT(ConsumoConcreto[[#This Row],[Destino]],3)))</f>
        <v>0184CNSC0343RAD</v>
      </c>
      <c r="B65" s="1">
        <v>343</v>
      </c>
      <c r="C65" s="2" t="s">
        <v>2056</v>
      </c>
      <c r="D65" s="2" t="s">
        <v>1992</v>
      </c>
      <c r="E65" s="18">
        <v>2</v>
      </c>
      <c r="F65" s="2" t="s">
        <v>1801</v>
      </c>
      <c r="G65" s="36">
        <v>0.75</v>
      </c>
      <c r="H65" s="2" t="s">
        <v>1968</v>
      </c>
      <c r="I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5" s="22">
        <v>7</v>
      </c>
      <c r="K65" s="22">
        <v>7</v>
      </c>
      <c r="L65" s="37">
        <v>36892</v>
      </c>
      <c r="M65" s="2"/>
      <c r="N65" s="2" t="s">
        <v>1963</v>
      </c>
      <c r="O65" s="2" t="s">
        <v>27</v>
      </c>
      <c r="P65" s="2" t="s">
        <v>26</v>
      </c>
    </row>
    <row r="66" spans="1:16" ht="20.100000000000001" customHeight="1" x14ac:dyDescent="0.25">
      <c r="A66" s="26" t="str">
        <f>CONCATENATE(LEFT(ConsumoConcreto[[#This Row],[RecebimentoID]],4),"CNSC",TEXT(ConsumoConcreto[[#This Row],[Ordem]],"0000"),UPPER(LEFT(ConsumoConcreto[[#This Row],[Destino]],3)))</f>
        <v>0184CNSC0381PAR</v>
      </c>
      <c r="B66" s="1">
        <v>381</v>
      </c>
      <c r="C66" s="2" t="s">
        <v>2057</v>
      </c>
      <c r="D66" s="2" t="s">
        <v>1995</v>
      </c>
      <c r="E66" s="18">
        <v>2</v>
      </c>
      <c r="F66" s="2" t="s">
        <v>25</v>
      </c>
      <c r="G66" s="36">
        <v>0.38263888888888892</v>
      </c>
      <c r="H66" s="2" t="s">
        <v>1965</v>
      </c>
      <c r="I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6" s="22">
        <v>18</v>
      </c>
      <c r="K66" s="22">
        <v>18</v>
      </c>
      <c r="L66" s="37">
        <v>36892</v>
      </c>
      <c r="M66" s="2"/>
      <c r="N66" s="2" t="s">
        <v>1966</v>
      </c>
      <c r="O66" s="2" t="s">
        <v>27</v>
      </c>
      <c r="P66" s="2" t="s">
        <v>26</v>
      </c>
    </row>
    <row r="67" spans="1:16" ht="20.100000000000001" customHeight="1" x14ac:dyDescent="0.25">
      <c r="A67" s="26" t="str">
        <f>CONCATENATE(LEFT(ConsumoConcreto[[#This Row],[RecebimentoID]],4),"CNSC",TEXT(ConsumoConcreto[[#This Row],[Ordem]],"0000"),UPPER(LEFT(ConsumoConcreto[[#This Row],[Destino]],3)))</f>
        <v>0184CNSC0365RAD</v>
      </c>
      <c r="B67" s="1">
        <v>365</v>
      </c>
      <c r="C67" s="2" t="s">
        <v>2058</v>
      </c>
      <c r="D67" s="2" t="s">
        <v>1995</v>
      </c>
      <c r="E67" s="18">
        <v>2</v>
      </c>
      <c r="F67" s="2" t="s">
        <v>1801</v>
      </c>
      <c r="G67" s="36">
        <v>0.43194444444444446</v>
      </c>
      <c r="H67" s="2" t="s">
        <v>1968</v>
      </c>
      <c r="I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7" s="22">
        <v>7</v>
      </c>
      <c r="K67" s="22">
        <v>7</v>
      </c>
      <c r="L67" s="37">
        <v>36892</v>
      </c>
      <c r="M67" s="2"/>
      <c r="N67" s="2" t="s">
        <v>1963</v>
      </c>
      <c r="O67" s="2" t="s">
        <v>27</v>
      </c>
      <c r="P67" s="2" t="s">
        <v>26</v>
      </c>
    </row>
    <row r="68" spans="1:16" ht="20.100000000000001" customHeight="1" x14ac:dyDescent="0.25">
      <c r="A68" s="26" t="str">
        <f>CONCATENATE(LEFT(ConsumoConcreto[[#This Row],[RecebimentoID]],4),"CNSC",TEXT(ConsumoConcreto[[#This Row],[Ordem]],"0000"),UPPER(LEFT(ConsumoConcreto[[#This Row],[Destino]],3)))</f>
        <v>0184CNSC0410PIL</v>
      </c>
      <c r="B68" s="1">
        <v>410</v>
      </c>
      <c r="C68" s="2" t="s">
        <v>2059</v>
      </c>
      <c r="D68" s="2" t="s">
        <v>1995</v>
      </c>
      <c r="E68" s="18">
        <v>2</v>
      </c>
      <c r="F68" s="2" t="s">
        <v>1801</v>
      </c>
      <c r="G68" s="36"/>
      <c r="H68" s="2" t="s">
        <v>1962</v>
      </c>
      <c r="I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8" s="22">
        <v>0.1</v>
      </c>
      <c r="K68" s="22">
        <v>0.1</v>
      </c>
      <c r="L68" s="37">
        <v>36892</v>
      </c>
      <c r="M68" s="2"/>
      <c r="N68" s="2" t="s">
        <v>1963</v>
      </c>
      <c r="O68" s="2" t="s">
        <v>27</v>
      </c>
      <c r="P68" s="2" t="s">
        <v>26</v>
      </c>
    </row>
    <row r="69" spans="1:16" ht="20.100000000000001" customHeight="1" x14ac:dyDescent="0.25">
      <c r="A69" s="26" t="str">
        <f>CONCATENATE(LEFT(ConsumoConcreto[[#This Row],[RecebimentoID]],4),"CNSC",TEXT(ConsumoConcreto[[#This Row],[Ordem]],"0000"),UPPER(LEFT(ConsumoConcreto[[#This Row],[Destino]],3)))</f>
        <v>0184CNSC0437PAR</v>
      </c>
      <c r="B69" s="1">
        <v>437</v>
      </c>
      <c r="C69" s="2" t="s">
        <v>2060</v>
      </c>
      <c r="D69" s="2" t="s">
        <v>1999</v>
      </c>
      <c r="E69" s="18">
        <v>2</v>
      </c>
      <c r="F69" s="2" t="s">
        <v>25</v>
      </c>
      <c r="G69" s="36">
        <v>0.89236111111111116</v>
      </c>
      <c r="H69" s="2" t="s">
        <v>1965</v>
      </c>
      <c r="I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9" s="22">
        <v>14.5</v>
      </c>
      <c r="K69" s="22">
        <v>14.5</v>
      </c>
      <c r="L69" s="37">
        <v>36892</v>
      </c>
      <c r="M69" s="2"/>
      <c r="N69" s="2" t="s">
        <v>1966</v>
      </c>
      <c r="O69" s="2" t="s">
        <v>27</v>
      </c>
      <c r="P69" s="2" t="s">
        <v>26</v>
      </c>
    </row>
    <row r="70" spans="1:16" ht="20.100000000000001" customHeight="1" x14ac:dyDescent="0.25">
      <c r="A70" s="26" t="str">
        <f>CONCATENATE(LEFT(ConsumoConcreto[[#This Row],[RecebimentoID]],4),"CNSC",TEXT(ConsumoConcreto[[#This Row],[Ordem]],"0000"),UPPER(LEFT(ConsumoConcreto[[#This Row],[Destino]],3)))</f>
        <v>0184CNSC0420RAD</v>
      </c>
      <c r="B70" s="1">
        <v>420</v>
      </c>
      <c r="C70" s="2" t="s">
        <v>2061</v>
      </c>
      <c r="D70" s="2" t="s">
        <v>1999</v>
      </c>
      <c r="E70" s="18">
        <v>2</v>
      </c>
      <c r="F70" s="2" t="s">
        <v>1801</v>
      </c>
      <c r="G70" s="36">
        <v>0.63402777777777775</v>
      </c>
      <c r="H70" s="2" t="s">
        <v>1968</v>
      </c>
      <c r="I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0" s="22">
        <v>5</v>
      </c>
      <c r="K70" s="22">
        <v>5</v>
      </c>
      <c r="L70" s="37">
        <v>36892</v>
      </c>
      <c r="M70" s="2" t="s">
        <v>2062</v>
      </c>
      <c r="N70" s="2" t="s">
        <v>1963</v>
      </c>
      <c r="O70" s="2" t="s">
        <v>27</v>
      </c>
      <c r="P70" s="2" t="s">
        <v>26</v>
      </c>
    </row>
    <row r="71" spans="1:16" ht="20.100000000000001" customHeight="1" x14ac:dyDescent="0.25">
      <c r="A71" s="26" t="str">
        <f>CONCATENATE(LEFT(ConsumoConcreto[[#This Row],[RecebimentoID]],4),"CNSC",TEXT(ConsumoConcreto[[#This Row],[Ordem]],"0000"),UPPER(LEFT(ConsumoConcreto[[#This Row],[Destino]],3)))</f>
        <v>0184CNSC0457PAR</v>
      </c>
      <c r="B71" s="1">
        <v>457</v>
      </c>
      <c r="C71" s="2" t="s">
        <v>2063</v>
      </c>
      <c r="D71" s="2" t="s">
        <v>2002</v>
      </c>
      <c r="E71" s="18">
        <v>2</v>
      </c>
      <c r="F71" s="2" t="s">
        <v>25</v>
      </c>
      <c r="G71" s="36">
        <v>0.67152777777777783</v>
      </c>
      <c r="H71" s="2" t="s">
        <v>1965</v>
      </c>
      <c r="I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1" s="22">
        <v>18.5</v>
      </c>
      <c r="K71" s="22">
        <v>18.5</v>
      </c>
      <c r="L71" s="37">
        <v>36892</v>
      </c>
      <c r="M71" s="2"/>
      <c r="N71" s="2" t="s">
        <v>1966</v>
      </c>
      <c r="O71" s="2" t="s">
        <v>27</v>
      </c>
      <c r="P71" s="2" t="s">
        <v>26</v>
      </c>
    </row>
    <row r="72" spans="1:16" ht="20.100000000000001" customHeight="1" x14ac:dyDescent="0.25">
      <c r="A72" s="26" t="str">
        <f>CONCATENATE(LEFT(ConsumoConcreto[[#This Row],[RecebimentoID]],4),"CNSC",TEXT(ConsumoConcreto[[#This Row],[Ordem]],"0000"),UPPER(LEFT(ConsumoConcreto[[#This Row],[Destino]],3)))</f>
        <v>0184CNSC0448RAD</v>
      </c>
      <c r="B72" s="1">
        <v>448</v>
      </c>
      <c r="C72" s="2" t="s">
        <v>2064</v>
      </c>
      <c r="D72" s="2" t="s">
        <v>2002</v>
      </c>
      <c r="E72" s="18">
        <v>2</v>
      </c>
      <c r="F72" s="2" t="s">
        <v>1801</v>
      </c>
      <c r="G72" s="36">
        <v>0.70833333333333337</v>
      </c>
      <c r="H72" s="2" t="s">
        <v>1968</v>
      </c>
      <c r="I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2" s="22">
        <v>7</v>
      </c>
      <c r="K72" s="22">
        <v>6.5</v>
      </c>
      <c r="L72" s="37">
        <v>36892</v>
      </c>
      <c r="M72" s="2" t="s">
        <v>2065</v>
      </c>
      <c r="N72" s="2" t="s">
        <v>1963</v>
      </c>
      <c r="O72" s="2" t="s">
        <v>27</v>
      </c>
      <c r="P72" s="2" t="s">
        <v>26</v>
      </c>
    </row>
    <row r="73" spans="1:16" ht="20.100000000000001" customHeight="1" x14ac:dyDescent="0.25">
      <c r="A73" s="26" t="str">
        <f>CONCATENATE(LEFT(ConsumoConcreto[[#This Row],[RecebimentoID]],4),"CNSC",TEXT(ConsumoConcreto[[#This Row],[Ordem]],"0000"),UPPER(LEFT(ConsumoConcreto[[#This Row],[Destino]],3)))</f>
        <v>0184CNSC0510PAR</v>
      </c>
      <c r="B73" s="1">
        <v>510</v>
      </c>
      <c r="C73" s="2" t="s">
        <v>2066</v>
      </c>
      <c r="D73" s="2" t="s">
        <v>2005</v>
      </c>
      <c r="E73" s="18">
        <v>2</v>
      </c>
      <c r="F73" s="2" t="s">
        <v>25</v>
      </c>
      <c r="G73" s="36">
        <v>0.83263888888888893</v>
      </c>
      <c r="H73" s="2" t="s">
        <v>1965</v>
      </c>
      <c r="I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3" s="22">
        <v>14.5</v>
      </c>
      <c r="K73" s="22">
        <v>14.5</v>
      </c>
      <c r="L73" s="37">
        <v>36892</v>
      </c>
      <c r="M73" s="2"/>
      <c r="N73" s="2" t="s">
        <v>1966</v>
      </c>
      <c r="O73" s="2" t="s">
        <v>27</v>
      </c>
      <c r="P73" s="2" t="s">
        <v>26</v>
      </c>
    </row>
    <row r="74" spans="1:16" ht="20.100000000000001" customHeight="1" x14ac:dyDescent="0.25">
      <c r="A74" s="26" t="str">
        <f>CONCATENATE(LEFT(ConsumoConcreto[[#This Row],[RecebimentoID]],4),"CNSC",TEXT(ConsumoConcreto[[#This Row],[Ordem]],"0000"),UPPER(LEFT(ConsumoConcreto[[#This Row],[Destino]],3)))</f>
        <v>0184CNSC0469RAD</v>
      </c>
      <c r="B74" s="1">
        <v>469</v>
      </c>
      <c r="C74" s="2" t="s">
        <v>2067</v>
      </c>
      <c r="D74" s="2" t="s">
        <v>2005</v>
      </c>
      <c r="E74" s="18">
        <v>2</v>
      </c>
      <c r="F74" s="2" t="s">
        <v>1801</v>
      </c>
      <c r="G74" s="36">
        <v>0.72083333333333333</v>
      </c>
      <c r="H74" s="2" t="s">
        <v>1968</v>
      </c>
      <c r="I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4" s="22">
        <v>7</v>
      </c>
      <c r="K74" s="22">
        <v>7</v>
      </c>
      <c r="L74" s="37">
        <v>36892</v>
      </c>
      <c r="M74" s="2"/>
      <c r="N74" s="2" t="s">
        <v>1963</v>
      </c>
      <c r="O74" s="2" t="s">
        <v>27</v>
      </c>
      <c r="P74" s="2" t="s">
        <v>26</v>
      </c>
    </row>
    <row r="75" spans="1:16" ht="20.100000000000001" customHeight="1" x14ac:dyDescent="0.25">
      <c r="A75" s="26" t="str">
        <f>CONCATENATE(LEFT(ConsumoConcreto[[#This Row],[RecebimentoID]],4),"CNSC",TEXT(ConsumoConcreto[[#This Row],[Ordem]],"0000"),UPPER(LEFT(ConsumoConcreto[[#This Row],[Destino]],3)))</f>
        <v>0184CNSC0578PAR</v>
      </c>
      <c r="B75" s="1">
        <v>578</v>
      </c>
      <c r="C75" s="2" t="s">
        <v>2068</v>
      </c>
      <c r="D75" s="2" t="s">
        <v>2007</v>
      </c>
      <c r="E75" s="18">
        <v>2</v>
      </c>
      <c r="F75" s="2" t="s">
        <v>25</v>
      </c>
      <c r="G75" s="36">
        <v>0.64236111111111105</v>
      </c>
      <c r="H75" s="2" t="s">
        <v>1965</v>
      </c>
      <c r="I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5" s="22">
        <v>18</v>
      </c>
      <c r="K75" s="22">
        <v>18</v>
      </c>
      <c r="L75" s="37">
        <v>36892</v>
      </c>
      <c r="M75" s="2"/>
      <c r="N75" s="2" t="s">
        <v>1966</v>
      </c>
      <c r="O75" s="2" t="s">
        <v>27</v>
      </c>
      <c r="P75" s="2" t="s">
        <v>26</v>
      </c>
    </row>
    <row r="76" spans="1:16" ht="20.100000000000001" customHeight="1" x14ac:dyDescent="0.25">
      <c r="A76" s="26" t="str">
        <f>CONCATENATE(LEFT(ConsumoConcreto[[#This Row],[RecebimentoID]],4),"CNSC",TEXT(ConsumoConcreto[[#This Row],[Ordem]],"0000"),UPPER(LEFT(ConsumoConcreto[[#This Row],[Destino]],3)))</f>
        <v>0184CNSC0564RAD</v>
      </c>
      <c r="B76" s="1">
        <v>564</v>
      </c>
      <c r="C76" s="2" t="s">
        <v>2069</v>
      </c>
      <c r="D76" s="2" t="s">
        <v>2007</v>
      </c>
      <c r="E76" s="18">
        <v>2</v>
      </c>
      <c r="F76" s="2" t="s">
        <v>1801</v>
      </c>
      <c r="G76" s="36"/>
      <c r="H76" s="2" t="s">
        <v>1968</v>
      </c>
      <c r="I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6" s="22">
        <v>7</v>
      </c>
      <c r="K76" s="22">
        <v>7</v>
      </c>
      <c r="L76" s="37">
        <v>36892</v>
      </c>
      <c r="M76" s="2"/>
      <c r="N76" s="2" t="s">
        <v>1963</v>
      </c>
      <c r="O76" s="2" t="s">
        <v>27</v>
      </c>
      <c r="P76" s="2" t="s">
        <v>26</v>
      </c>
    </row>
    <row r="77" spans="1:16" ht="20.100000000000001" customHeight="1" x14ac:dyDescent="0.25">
      <c r="A77" s="26" t="str">
        <f>CONCATENATE(LEFT(ConsumoConcreto[[#This Row],[RecebimentoID]],4),"CNSC",TEXT(ConsumoConcreto[[#This Row],[Ordem]],"0000"),UPPER(LEFT(ConsumoConcreto[[#This Row],[Destino]],3)))</f>
        <v>0184CNSC0630PAR</v>
      </c>
      <c r="B77" s="1">
        <v>630</v>
      </c>
      <c r="C77" s="2" t="s">
        <v>2070</v>
      </c>
      <c r="D77" s="2" t="s">
        <v>2010</v>
      </c>
      <c r="E77" s="18">
        <v>2</v>
      </c>
      <c r="F77" s="2" t="s">
        <v>25</v>
      </c>
      <c r="G77" s="36">
        <v>0.41319444444444442</v>
      </c>
      <c r="H77" s="2" t="s">
        <v>1965</v>
      </c>
      <c r="I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7" s="22">
        <v>18</v>
      </c>
      <c r="K77" s="22">
        <v>18</v>
      </c>
      <c r="L77" s="37">
        <v>36892</v>
      </c>
      <c r="M77" s="2"/>
      <c r="N77" s="2" t="s">
        <v>1966</v>
      </c>
      <c r="O77" s="2" t="s">
        <v>27</v>
      </c>
      <c r="P77" s="2" t="s">
        <v>26</v>
      </c>
    </row>
    <row r="78" spans="1:16" ht="20.100000000000001" customHeight="1" x14ac:dyDescent="0.25">
      <c r="A78" s="26" t="str">
        <f>CONCATENATE(LEFT(ConsumoConcreto[[#This Row],[RecebimentoID]],4),"CNSC",TEXT(ConsumoConcreto[[#This Row],[Ordem]],"0000"),UPPER(LEFT(ConsumoConcreto[[#This Row],[Destino]],3)))</f>
        <v>0184CNSC0607RAD</v>
      </c>
      <c r="B78" s="1">
        <v>607</v>
      </c>
      <c r="C78" s="2" t="s">
        <v>2071</v>
      </c>
      <c r="D78" s="2" t="s">
        <v>2010</v>
      </c>
      <c r="E78" s="18">
        <v>2</v>
      </c>
      <c r="F78" s="2" t="s">
        <v>1801</v>
      </c>
      <c r="G78" s="36">
        <v>0.37777777777777777</v>
      </c>
      <c r="H78" s="2" t="s">
        <v>1968</v>
      </c>
      <c r="I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8" s="22">
        <v>7.5</v>
      </c>
      <c r="K78" s="22">
        <v>7.5</v>
      </c>
      <c r="L78" s="37">
        <v>36892</v>
      </c>
      <c r="M78" s="2" t="s">
        <v>2072</v>
      </c>
      <c r="N78" s="2" t="s">
        <v>1966</v>
      </c>
      <c r="O78" s="2" t="s">
        <v>27</v>
      </c>
      <c r="P78" s="2" t="s">
        <v>26</v>
      </c>
    </row>
    <row r="79" spans="1:16" ht="20.100000000000001" customHeight="1" x14ac:dyDescent="0.25">
      <c r="A79" s="26" t="str">
        <f>CONCATENATE(LEFT(ConsumoConcreto[[#This Row],[RecebimentoID]],4),"CNSC",TEXT(ConsumoConcreto[[#This Row],[Ordem]],"0000"),UPPER(LEFT(ConsumoConcreto[[#This Row],[Destino]],3)))</f>
        <v>0184CNSC0734PAR</v>
      </c>
      <c r="B79" s="1">
        <v>734</v>
      </c>
      <c r="C79" s="2" t="s">
        <v>2073</v>
      </c>
      <c r="D79" s="2" t="s">
        <v>2013</v>
      </c>
      <c r="E79" s="18">
        <v>2</v>
      </c>
      <c r="F79" s="2" t="s">
        <v>25</v>
      </c>
      <c r="G79" s="36">
        <v>0.70277777777777783</v>
      </c>
      <c r="H79" s="2" t="s">
        <v>1965</v>
      </c>
      <c r="I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9" s="22">
        <v>14.5</v>
      </c>
      <c r="K79" s="22">
        <v>14.5</v>
      </c>
      <c r="L79" s="37">
        <v>36892</v>
      </c>
      <c r="M79" s="2"/>
      <c r="N79" s="2" t="s">
        <v>1966</v>
      </c>
      <c r="O79" s="2" t="s">
        <v>27</v>
      </c>
      <c r="P79" s="2" t="s">
        <v>26</v>
      </c>
    </row>
    <row r="80" spans="1:16" ht="20.100000000000001" customHeight="1" x14ac:dyDescent="0.25">
      <c r="A80" s="26" t="str">
        <f>CONCATENATE(LEFT(ConsumoConcreto[[#This Row],[RecebimentoID]],4),"CNSC",TEXT(ConsumoConcreto[[#This Row],[Ordem]],"0000"),UPPER(LEFT(ConsumoConcreto[[#This Row],[Destino]],3)))</f>
        <v>0184CNSC0716RAD</v>
      </c>
      <c r="B80" s="1">
        <v>716</v>
      </c>
      <c r="C80" s="2" t="s">
        <v>2074</v>
      </c>
      <c r="D80" s="2" t="s">
        <v>2013</v>
      </c>
      <c r="E80" s="18">
        <v>2</v>
      </c>
      <c r="F80" s="2" t="s">
        <v>1801</v>
      </c>
      <c r="G80" s="36">
        <v>0.40416666666666662</v>
      </c>
      <c r="H80" s="2" t="s">
        <v>1968</v>
      </c>
      <c r="I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0" s="22">
        <v>6</v>
      </c>
      <c r="K80" s="22">
        <v>6</v>
      </c>
      <c r="L80" s="37">
        <v>36892</v>
      </c>
      <c r="M80" s="2"/>
      <c r="N80" s="2" t="s">
        <v>1963</v>
      </c>
      <c r="O80" s="2" t="s">
        <v>27</v>
      </c>
      <c r="P80" s="2" t="s">
        <v>26</v>
      </c>
    </row>
    <row r="81" spans="1:16" ht="20.100000000000001" customHeight="1" x14ac:dyDescent="0.25">
      <c r="A81" s="26" t="str">
        <f>CONCATENATE(LEFT(ConsumoConcreto[[#This Row],[RecebimentoID]],4),"CNSC",TEXT(ConsumoConcreto[[#This Row],[Ordem]],"0000"),UPPER(LEFT(ConsumoConcreto[[#This Row],[Destino]],3)))</f>
        <v>0184CNSC0760PAR</v>
      </c>
      <c r="B81" s="1">
        <v>760</v>
      </c>
      <c r="C81" s="2" t="s">
        <v>2075</v>
      </c>
      <c r="D81" s="2" t="s">
        <v>2016</v>
      </c>
      <c r="E81" s="18">
        <v>2</v>
      </c>
      <c r="F81" s="2" t="s">
        <v>25</v>
      </c>
      <c r="G81" s="36">
        <v>0.8125</v>
      </c>
      <c r="H81" s="2" t="s">
        <v>1965</v>
      </c>
      <c r="I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81" s="22">
        <v>18</v>
      </c>
      <c r="K81" s="22">
        <v>18</v>
      </c>
      <c r="L81" s="37">
        <v>36892</v>
      </c>
      <c r="M81" s="2"/>
      <c r="N81" s="2" t="s">
        <v>2017</v>
      </c>
      <c r="O81" s="2" t="s">
        <v>27</v>
      </c>
      <c r="P81" s="2" t="s">
        <v>26</v>
      </c>
    </row>
    <row r="82" spans="1:16" ht="20.100000000000001" customHeight="1" x14ac:dyDescent="0.25">
      <c r="A82" s="26" t="str">
        <f>CONCATENATE(LEFT(ConsumoConcreto[[#This Row],[RecebimentoID]],4),"CNSC",TEXT(ConsumoConcreto[[#This Row],[Ordem]],"0000"),UPPER(LEFT(ConsumoConcreto[[#This Row],[Destino]],3)))</f>
        <v>0184CNSC0742RAD</v>
      </c>
      <c r="B82" s="1">
        <v>742</v>
      </c>
      <c r="C82" s="2" t="s">
        <v>2076</v>
      </c>
      <c r="D82" s="2" t="s">
        <v>2016</v>
      </c>
      <c r="E82" s="18">
        <v>2</v>
      </c>
      <c r="F82" s="2" t="s">
        <v>1801</v>
      </c>
      <c r="G82" s="36">
        <v>0.51041666666666663</v>
      </c>
      <c r="H82" s="2" t="s">
        <v>1968</v>
      </c>
      <c r="I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82" s="22">
        <v>7</v>
      </c>
      <c r="K82" s="22">
        <v>7</v>
      </c>
      <c r="L82" s="37">
        <v>36892</v>
      </c>
      <c r="M82" s="2"/>
      <c r="N82" s="2" t="s">
        <v>1963</v>
      </c>
      <c r="O82" s="2" t="s">
        <v>27</v>
      </c>
      <c r="P82" s="2" t="s">
        <v>26</v>
      </c>
    </row>
    <row r="83" spans="1:16" ht="20.100000000000001" customHeight="1" x14ac:dyDescent="0.25">
      <c r="A83" s="26" t="str">
        <f>CONCATENATE(LEFT(ConsumoConcreto[[#This Row],[RecebimentoID]],4),"CNSC",TEXT(ConsumoConcreto[[#This Row],[Ordem]],"0000"),UPPER(LEFT(ConsumoConcreto[[#This Row],[Destino]],3)))</f>
        <v>0184CNSC0794PAR</v>
      </c>
      <c r="B83" s="1">
        <v>794</v>
      </c>
      <c r="C83" s="2" t="s">
        <v>2077</v>
      </c>
      <c r="D83" s="2" t="s">
        <v>2021</v>
      </c>
      <c r="E83" s="18">
        <v>2</v>
      </c>
      <c r="F83" s="2" t="s">
        <v>25</v>
      </c>
      <c r="G83" s="36">
        <v>0.72916666666666663</v>
      </c>
      <c r="H83" s="2" t="s">
        <v>1965</v>
      </c>
      <c r="I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3" s="22">
        <v>14.5</v>
      </c>
      <c r="K83" s="22">
        <v>14.5</v>
      </c>
      <c r="L83" s="37">
        <v>36892</v>
      </c>
      <c r="M83" s="2"/>
      <c r="N83" s="2" t="s">
        <v>1966</v>
      </c>
      <c r="O83" s="2" t="s">
        <v>27</v>
      </c>
      <c r="P83" s="2" t="s">
        <v>26</v>
      </c>
    </row>
    <row r="84" spans="1:16" ht="20.100000000000001" customHeight="1" x14ac:dyDescent="0.25">
      <c r="A84" s="26" t="str">
        <f>CONCATENATE(LEFT(ConsumoConcreto[[#This Row],[RecebimentoID]],4),"CNSC",TEXT(ConsumoConcreto[[#This Row],[Ordem]],"0000"),UPPER(LEFT(ConsumoConcreto[[#This Row],[Destino]],3)))</f>
        <v>0184CNSC0776RAD</v>
      </c>
      <c r="B84" s="1">
        <v>776</v>
      </c>
      <c r="C84" s="2" t="s">
        <v>2078</v>
      </c>
      <c r="D84" s="2" t="s">
        <v>2021</v>
      </c>
      <c r="E84" s="18">
        <v>2</v>
      </c>
      <c r="F84" s="2" t="s">
        <v>1801</v>
      </c>
      <c r="G84" s="36">
        <v>0.4375</v>
      </c>
      <c r="H84" s="2" t="s">
        <v>1968</v>
      </c>
      <c r="I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4" s="22">
        <v>5.5</v>
      </c>
      <c r="K84" s="22">
        <v>5.5</v>
      </c>
      <c r="L84" s="37">
        <v>36892</v>
      </c>
      <c r="M84" s="2"/>
      <c r="N84" s="2" t="s">
        <v>1963</v>
      </c>
      <c r="O84" s="2" t="s">
        <v>27</v>
      </c>
      <c r="P84" s="2" t="s">
        <v>26</v>
      </c>
    </row>
    <row r="85" spans="1:16" ht="20.100000000000001" customHeight="1" x14ac:dyDescent="0.25">
      <c r="A85" s="26" t="str">
        <f>CONCATENATE(LEFT(ConsumoConcreto[[#This Row],[RecebimentoID]],4),"CNSC",TEXT(ConsumoConcreto[[#This Row],[Ordem]],"0000"),UPPER(LEFT(ConsumoConcreto[[#This Row],[Destino]],3)))</f>
        <v>0184CNSC0860PAR</v>
      </c>
      <c r="B85" s="1">
        <v>860</v>
      </c>
      <c r="C85" s="2" t="s">
        <v>2079</v>
      </c>
      <c r="D85" s="2" t="s">
        <v>2024</v>
      </c>
      <c r="E85" s="18">
        <v>2</v>
      </c>
      <c r="F85" s="2" t="s">
        <v>25</v>
      </c>
      <c r="G85" s="36">
        <v>0.7597222222222223</v>
      </c>
      <c r="H85" s="2" t="s">
        <v>1965</v>
      </c>
      <c r="I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5" s="22">
        <v>14.5</v>
      </c>
      <c r="K85" s="22">
        <v>14.5</v>
      </c>
      <c r="L85" s="37">
        <v>36892</v>
      </c>
      <c r="M85" s="2"/>
      <c r="N85" s="2" t="s">
        <v>1966</v>
      </c>
      <c r="O85" s="2" t="s">
        <v>27</v>
      </c>
      <c r="P85" s="2" t="s">
        <v>26</v>
      </c>
    </row>
    <row r="86" spans="1:16" ht="20.100000000000001" customHeight="1" x14ac:dyDescent="0.25">
      <c r="A86" s="26" t="str">
        <f>CONCATENATE(LEFT(ConsumoConcreto[[#This Row],[RecebimentoID]],4),"CNSC",TEXT(ConsumoConcreto[[#This Row],[Ordem]],"0000"),UPPER(LEFT(ConsumoConcreto[[#This Row],[Destino]],3)))</f>
        <v>0184CNSC0833RAD</v>
      </c>
      <c r="B86" s="1">
        <v>833</v>
      </c>
      <c r="C86" s="2" t="s">
        <v>2080</v>
      </c>
      <c r="D86" s="2" t="s">
        <v>2024</v>
      </c>
      <c r="E86" s="18">
        <v>2</v>
      </c>
      <c r="F86" s="2" t="s">
        <v>1801</v>
      </c>
      <c r="G86" s="36">
        <v>0.70833333333333337</v>
      </c>
      <c r="H86" s="2" t="s">
        <v>1968</v>
      </c>
      <c r="I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6" s="22">
        <v>5.5</v>
      </c>
      <c r="K86" s="22">
        <v>5.5</v>
      </c>
      <c r="L86" s="37">
        <v>36892</v>
      </c>
      <c r="M86" s="2"/>
      <c r="N86" s="2" t="s">
        <v>1963</v>
      </c>
      <c r="O86" s="2" t="s">
        <v>27</v>
      </c>
      <c r="P86" s="2" t="s">
        <v>26</v>
      </c>
    </row>
    <row r="87" spans="1:16" ht="20.100000000000001" customHeight="1" x14ac:dyDescent="0.25">
      <c r="A87" s="26" t="str">
        <f>CONCATENATE(LEFT(ConsumoConcreto[[#This Row],[RecebimentoID]],4),"CNSC",TEXT(ConsumoConcreto[[#This Row],[Ordem]],"0000"),UPPER(LEFT(ConsumoConcreto[[#This Row],[Destino]],3)))</f>
        <v>0184CNSC0911PAR</v>
      </c>
      <c r="B87" s="1">
        <v>911</v>
      </c>
      <c r="C87" s="2" t="s">
        <v>2081</v>
      </c>
      <c r="D87" s="2" t="s">
        <v>2030</v>
      </c>
      <c r="E87" s="18">
        <v>2</v>
      </c>
      <c r="F87" s="2" t="s">
        <v>25</v>
      </c>
      <c r="G87" s="36">
        <v>0.7680555555555556</v>
      </c>
      <c r="H87" s="2" t="s">
        <v>1965</v>
      </c>
      <c r="I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7" s="22">
        <v>15</v>
      </c>
      <c r="K87" s="22">
        <v>15</v>
      </c>
      <c r="L87" s="37">
        <v>36892</v>
      </c>
      <c r="M87" s="2" t="s">
        <v>2082</v>
      </c>
      <c r="N87" s="2" t="s">
        <v>1966</v>
      </c>
      <c r="O87" s="2" t="s">
        <v>27</v>
      </c>
      <c r="P87" s="2" t="s">
        <v>26</v>
      </c>
    </row>
    <row r="88" spans="1:16" ht="20.100000000000001" customHeight="1" x14ac:dyDescent="0.25">
      <c r="A88" s="26" t="str">
        <f>CONCATENATE(LEFT(ConsumoConcreto[[#This Row],[RecebimentoID]],4),"CNSC",TEXT(ConsumoConcreto[[#This Row],[Ordem]],"0000"),UPPER(LEFT(ConsumoConcreto[[#This Row],[Destino]],3)))</f>
        <v>0184CNSC0897RAD</v>
      </c>
      <c r="B88" s="1">
        <v>897</v>
      </c>
      <c r="C88" s="2" t="s">
        <v>2083</v>
      </c>
      <c r="D88" s="2" t="s">
        <v>2030</v>
      </c>
      <c r="E88" s="18">
        <v>2</v>
      </c>
      <c r="F88" s="2" t="s">
        <v>1801</v>
      </c>
      <c r="G88" s="36"/>
      <c r="H88" s="2" t="s">
        <v>1968</v>
      </c>
      <c r="I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8" s="22">
        <v>7.58</v>
      </c>
      <c r="K88" s="22">
        <v>5.4809999999999999</v>
      </c>
      <c r="L88" s="37">
        <v>36892</v>
      </c>
      <c r="M88" s="2" t="s">
        <v>1971</v>
      </c>
      <c r="N88" s="2"/>
      <c r="O88" s="2" t="s">
        <v>27</v>
      </c>
      <c r="P88" s="2" t="s">
        <v>26</v>
      </c>
    </row>
    <row r="89" spans="1:16" ht="20.100000000000001" customHeight="1" x14ac:dyDescent="0.25">
      <c r="A89" s="26" t="str">
        <f>CONCATENATE(LEFT(ConsumoConcreto[[#This Row],[RecebimentoID]],4),"CNSC",TEXT(ConsumoConcreto[[#This Row],[Ordem]],"0000"),UPPER(LEFT(ConsumoConcreto[[#This Row],[Destino]],3)))</f>
        <v>0184CNSC1007PAR</v>
      </c>
      <c r="B89" s="1">
        <v>1007</v>
      </c>
      <c r="C89" s="2" t="s">
        <v>2084</v>
      </c>
      <c r="D89" s="2" t="s">
        <v>2033</v>
      </c>
      <c r="E89" s="18">
        <v>2</v>
      </c>
      <c r="F89" s="2" t="s">
        <v>25</v>
      </c>
      <c r="G89" s="36"/>
      <c r="H89" s="2" t="s">
        <v>1965</v>
      </c>
      <c r="I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89" s="37">
        <v>36892</v>
      </c>
      <c r="M89" s="2"/>
      <c r="N89" s="2"/>
      <c r="O89" s="2" t="s">
        <v>27</v>
      </c>
      <c r="P89" s="2" t="s">
        <v>26</v>
      </c>
    </row>
    <row r="90" spans="1:16" ht="20.100000000000001" customHeight="1" x14ac:dyDescent="0.25">
      <c r="A90" s="26" t="str">
        <f>CONCATENATE(LEFT(ConsumoConcreto[[#This Row],[RecebimentoID]],4),"CNSC",TEXT(ConsumoConcreto[[#This Row],[Ordem]],"0000"),UPPER(LEFT(ConsumoConcreto[[#This Row],[Destino]],3)))</f>
        <v>0184CNSC1003RAD</v>
      </c>
      <c r="B90" s="1">
        <v>1003</v>
      </c>
      <c r="C90" s="2" t="s">
        <v>2085</v>
      </c>
      <c r="D90" s="2" t="s">
        <v>2033</v>
      </c>
      <c r="E90" s="18">
        <v>2</v>
      </c>
      <c r="F90" s="2" t="s">
        <v>1801</v>
      </c>
      <c r="G90" s="36"/>
      <c r="H90" s="2" t="s">
        <v>1968</v>
      </c>
      <c r="I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L90" s="37">
        <v>36892</v>
      </c>
      <c r="M90" s="2"/>
      <c r="N90" s="2"/>
      <c r="O90" s="2" t="s">
        <v>27</v>
      </c>
      <c r="P90" s="2" t="s">
        <v>26</v>
      </c>
    </row>
    <row r="91" spans="1:16" ht="20.100000000000001" customHeight="1" x14ac:dyDescent="0.25">
      <c r="A91" s="26" t="str">
        <f>CONCATENATE(LEFT(ConsumoConcreto[[#This Row],[RecebimentoID]],4),"CNSC",TEXT(ConsumoConcreto[[#This Row],[Ordem]],"0000"),UPPER(LEFT(ConsumoConcreto[[#This Row],[Destino]],3)))</f>
        <v>0184CNSC1051PAR</v>
      </c>
      <c r="B91" s="1">
        <v>1051</v>
      </c>
      <c r="C91" s="2" t="s">
        <v>2086</v>
      </c>
      <c r="D91" s="2" t="s">
        <v>2036</v>
      </c>
      <c r="E91" s="18">
        <v>2</v>
      </c>
      <c r="F91" s="2" t="s">
        <v>25</v>
      </c>
      <c r="G91" s="36">
        <v>0.73541666666666661</v>
      </c>
      <c r="H91" s="2" t="s">
        <v>1965</v>
      </c>
      <c r="I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1" s="22">
        <v>14.5</v>
      </c>
      <c r="K91" s="22">
        <v>14.5</v>
      </c>
      <c r="L91" s="37">
        <v>36892</v>
      </c>
      <c r="M91" s="2"/>
      <c r="N91" s="2" t="s">
        <v>1966</v>
      </c>
      <c r="O91" s="2" t="s">
        <v>27</v>
      </c>
      <c r="P91" s="2" t="s">
        <v>26</v>
      </c>
    </row>
    <row r="92" spans="1:16" ht="20.100000000000001" customHeight="1" x14ac:dyDescent="0.25">
      <c r="A92" s="26" t="str">
        <f>CONCATENATE(LEFT(ConsumoConcreto[[#This Row],[RecebimentoID]],4),"CNSC",TEXT(ConsumoConcreto[[#This Row],[Ordem]],"0000"),UPPER(LEFT(ConsumoConcreto[[#This Row],[Destino]],3)))</f>
        <v>0184CNSC1010RAD</v>
      </c>
      <c r="B92" s="1">
        <v>1010</v>
      </c>
      <c r="C92" s="2" t="s">
        <v>2087</v>
      </c>
      <c r="D92" s="2" t="s">
        <v>2036</v>
      </c>
      <c r="E92" s="18">
        <v>2</v>
      </c>
      <c r="F92" s="2" t="s">
        <v>1801</v>
      </c>
      <c r="G92" s="36">
        <v>0.41875000000000001</v>
      </c>
      <c r="H92" s="2" t="s">
        <v>1968</v>
      </c>
      <c r="I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2" s="22">
        <v>5.5</v>
      </c>
      <c r="K92" s="22">
        <v>5.5</v>
      </c>
      <c r="L92" s="37">
        <v>36892</v>
      </c>
      <c r="M92" s="2"/>
      <c r="N92" s="2" t="s">
        <v>1963</v>
      </c>
      <c r="O92" s="2" t="s">
        <v>27</v>
      </c>
      <c r="P92" s="2" t="s">
        <v>26</v>
      </c>
    </row>
    <row r="93" spans="1:16" ht="20.100000000000001" customHeight="1" x14ac:dyDescent="0.25">
      <c r="A93" s="26" t="str">
        <f>CONCATENATE(LEFT(ConsumoConcreto[[#This Row],[RecebimentoID]],4),"CNSC",TEXT(ConsumoConcreto[[#This Row],[Ordem]],"0000"),UPPER(LEFT(ConsumoConcreto[[#This Row],[Destino]],3)))</f>
        <v>0184CNSC0020PIL</v>
      </c>
      <c r="B93" s="1">
        <v>20</v>
      </c>
      <c r="C93" s="2" t="s">
        <v>2088</v>
      </c>
      <c r="D93" s="2" t="s">
        <v>1961</v>
      </c>
      <c r="E93" s="18">
        <v>3</v>
      </c>
      <c r="F93" s="2" t="s">
        <v>25</v>
      </c>
      <c r="G93" s="36"/>
      <c r="H93" s="2" t="s">
        <v>1962</v>
      </c>
      <c r="I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3" s="22">
        <v>0.17</v>
      </c>
      <c r="K93" s="22">
        <v>0.1</v>
      </c>
      <c r="L93" s="37">
        <v>36892</v>
      </c>
      <c r="M93" s="2"/>
      <c r="N93" s="2" t="s">
        <v>1963</v>
      </c>
      <c r="O93" s="2" t="s">
        <v>27</v>
      </c>
      <c r="P93" s="2" t="s">
        <v>26</v>
      </c>
    </row>
    <row r="94" spans="1:16" ht="20.100000000000001" customHeight="1" x14ac:dyDescent="0.25">
      <c r="A94" s="26" t="str">
        <f>CONCATENATE(LEFT(ConsumoConcreto[[#This Row],[RecebimentoID]],4),"CNSC",TEXT(ConsumoConcreto[[#This Row],[Ordem]],"0000"),UPPER(LEFT(ConsumoConcreto[[#This Row],[Destino]],3)))</f>
        <v>0184CNSC0011PAR</v>
      </c>
      <c r="B94" s="1">
        <v>11</v>
      </c>
      <c r="C94" s="2" t="s">
        <v>2089</v>
      </c>
      <c r="D94" s="2" t="s">
        <v>1961</v>
      </c>
      <c r="E94" s="18">
        <v>3</v>
      </c>
      <c r="F94" s="2" t="s">
        <v>1780</v>
      </c>
      <c r="G94" s="36"/>
      <c r="H94" s="2" t="s">
        <v>1965</v>
      </c>
      <c r="I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4" s="22">
        <v>14</v>
      </c>
      <c r="K94" s="22">
        <v>14</v>
      </c>
      <c r="L94" s="37">
        <v>36892</v>
      </c>
      <c r="M94" s="2"/>
      <c r="N94" s="2" t="s">
        <v>1966</v>
      </c>
      <c r="O94" s="2" t="s">
        <v>27</v>
      </c>
      <c r="P94" s="2" t="s">
        <v>26</v>
      </c>
    </row>
    <row r="95" spans="1:16" ht="20.100000000000001" customHeight="1" x14ac:dyDescent="0.25">
      <c r="A95" s="26" t="str">
        <f>CONCATENATE(LEFT(ConsumoConcreto[[#This Row],[RecebimentoID]],4),"CNSC",TEXT(ConsumoConcreto[[#This Row],[Ordem]],"0000"),UPPER(LEFT(ConsumoConcreto[[#This Row],[Destino]],3)))</f>
        <v>0184CNSC0003RAD</v>
      </c>
      <c r="B95" s="1">
        <v>3</v>
      </c>
      <c r="C95" s="2" t="s">
        <v>2090</v>
      </c>
      <c r="D95" s="2" t="s">
        <v>1961</v>
      </c>
      <c r="E95" s="18">
        <v>3</v>
      </c>
      <c r="F95" s="2" t="s">
        <v>1801</v>
      </c>
      <c r="G95" s="36"/>
      <c r="H95" s="2" t="s">
        <v>1968</v>
      </c>
      <c r="I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5" s="22">
        <v>5.5</v>
      </c>
      <c r="K95" s="22">
        <v>5.5</v>
      </c>
      <c r="L95" s="37">
        <v>36892</v>
      </c>
      <c r="M95" s="2"/>
      <c r="N95" s="2"/>
      <c r="O95" s="2" t="s">
        <v>27</v>
      </c>
      <c r="P95" s="2" t="s">
        <v>26</v>
      </c>
    </row>
    <row r="96" spans="1:16" ht="20.100000000000001" customHeight="1" x14ac:dyDescent="0.25">
      <c r="A96" s="26" t="str">
        <f>CONCATENATE(LEFT(ConsumoConcreto[[#This Row],[RecebimentoID]],4),"CNSC",TEXT(ConsumoConcreto[[#This Row],[Ordem]],"0000"),UPPER(LEFT(ConsumoConcreto[[#This Row],[Destino]],3)))</f>
        <v>0184CNSC0051PAR</v>
      </c>
      <c r="B96" s="1">
        <v>51</v>
      </c>
      <c r="C96" s="2" t="s">
        <v>2091</v>
      </c>
      <c r="D96" s="2" t="s">
        <v>1970</v>
      </c>
      <c r="E96" s="18">
        <v>3</v>
      </c>
      <c r="F96" s="2" t="s">
        <v>25</v>
      </c>
      <c r="G96" s="36"/>
      <c r="H96" s="2" t="s">
        <v>1965</v>
      </c>
      <c r="I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6" s="22">
        <v>14</v>
      </c>
      <c r="K96" s="22">
        <v>14</v>
      </c>
      <c r="L96" s="37">
        <v>36892</v>
      </c>
      <c r="M96" s="2"/>
      <c r="N96" s="2" t="s">
        <v>1966</v>
      </c>
      <c r="O96" s="2" t="s">
        <v>27</v>
      </c>
      <c r="P96" s="2" t="s">
        <v>26</v>
      </c>
    </row>
    <row r="97" spans="1:16" ht="20.100000000000001" customHeight="1" x14ac:dyDescent="0.25">
      <c r="A97" s="26" t="str">
        <f>CONCATENATE(LEFT(ConsumoConcreto[[#This Row],[RecebimentoID]],4),"CNSC",TEXT(ConsumoConcreto[[#This Row],[Ordem]],"0000"),UPPER(LEFT(ConsumoConcreto[[#This Row],[Destino]],3)))</f>
        <v>0184CNSC0086PIL</v>
      </c>
      <c r="B97" s="1">
        <v>86</v>
      </c>
      <c r="C97" s="2" t="s">
        <v>2092</v>
      </c>
      <c r="D97" s="2" t="s">
        <v>1970</v>
      </c>
      <c r="E97" s="18">
        <v>3</v>
      </c>
      <c r="F97" s="2" t="s">
        <v>25</v>
      </c>
      <c r="G97" s="36"/>
      <c r="H97" s="2" t="s">
        <v>1962</v>
      </c>
      <c r="I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7" s="22">
        <v>0.1</v>
      </c>
      <c r="K97" s="22">
        <v>0.1</v>
      </c>
      <c r="L97" s="37">
        <v>36892</v>
      </c>
      <c r="M97" s="2"/>
      <c r="N97" s="2" t="s">
        <v>1963</v>
      </c>
      <c r="O97" s="2" t="s">
        <v>27</v>
      </c>
      <c r="P97" s="2" t="s">
        <v>26</v>
      </c>
    </row>
    <row r="98" spans="1:16" ht="20.100000000000001" customHeight="1" x14ac:dyDescent="0.25">
      <c r="A98" s="26" t="str">
        <f>CONCATENATE(LEFT(ConsumoConcreto[[#This Row],[RecebimentoID]],4),"CNSC",TEXT(ConsumoConcreto[[#This Row],[Ordem]],"0000"),UPPER(LEFT(ConsumoConcreto[[#This Row],[Destino]],3)))</f>
        <v>0184CNSC0035RAD</v>
      </c>
      <c r="B98" s="1">
        <v>35</v>
      </c>
      <c r="C98" s="2" t="s">
        <v>2093</v>
      </c>
      <c r="D98" s="2" t="s">
        <v>1970</v>
      </c>
      <c r="E98" s="18">
        <v>3</v>
      </c>
      <c r="F98" s="2" t="s">
        <v>1801</v>
      </c>
      <c r="G98" s="36"/>
      <c r="H98" s="2" t="s">
        <v>1968</v>
      </c>
      <c r="I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8" s="22">
        <v>5.5</v>
      </c>
      <c r="K98" s="22">
        <v>5.5</v>
      </c>
      <c r="L98" s="37">
        <v>36892</v>
      </c>
      <c r="M98" s="2"/>
      <c r="N98" s="2"/>
      <c r="O98" s="2" t="s">
        <v>27</v>
      </c>
      <c r="P98" s="2" t="s">
        <v>26</v>
      </c>
    </row>
    <row r="99" spans="1:16" ht="20.100000000000001" customHeight="1" x14ac:dyDescent="0.25">
      <c r="A99" s="26" t="str">
        <f>CONCATENATE(LEFT(ConsumoConcreto[[#This Row],[RecebimentoID]],4),"CNSC",TEXT(ConsumoConcreto[[#This Row],[Ordem]],"0000"),UPPER(LEFT(ConsumoConcreto[[#This Row],[Destino]],3)))</f>
        <v>0184CNSC0130PAR</v>
      </c>
      <c r="B99" s="1">
        <v>130</v>
      </c>
      <c r="C99" s="2" t="s">
        <v>2094</v>
      </c>
      <c r="D99" s="2" t="s">
        <v>1975</v>
      </c>
      <c r="E99" s="18">
        <v>3</v>
      </c>
      <c r="F99" s="2" t="s">
        <v>25</v>
      </c>
      <c r="G99" s="36"/>
      <c r="H99" s="2" t="s">
        <v>1965</v>
      </c>
      <c r="I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9" s="22">
        <v>14.5</v>
      </c>
      <c r="K99" s="22">
        <v>14</v>
      </c>
      <c r="L99" s="37">
        <v>36892</v>
      </c>
      <c r="M99" s="2"/>
      <c r="N99" s="2" t="s">
        <v>1966</v>
      </c>
      <c r="O99" s="2" t="s">
        <v>27</v>
      </c>
      <c r="P99" s="2" t="s">
        <v>26</v>
      </c>
    </row>
    <row r="100" spans="1:16" ht="20.100000000000001" customHeight="1" x14ac:dyDescent="0.25">
      <c r="A100" s="26" t="str">
        <f>CONCATENATE(LEFT(ConsumoConcreto[[#This Row],[RecebimentoID]],4),"CNSC",TEXT(ConsumoConcreto[[#This Row],[Ordem]],"0000"),UPPER(LEFT(ConsumoConcreto[[#This Row],[Destino]],3)))</f>
        <v>0184CNSC0109RAD</v>
      </c>
      <c r="B100" s="1">
        <v>109</v>
      </c>
      <c r="C100" s="2" t="s">
        <v>2095</v>
      </c>
      <c r="D100" s="2" t="s">
        <v>1975</v>
      </c>
      <c r="E100" s="18">
        <v>3</v>
      </c>
      <c r="F100" s="2" t="s">
        <v>1801</v>
      </c>
      <c r="G100" s="36"/>
      <c r="H100" s="2" t="s">
        <v>1968</v>
      </c>
      <c r="I1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0" s="22">
        <v>5.5</v>
      </c>
      <c r="K100" s="22">
        <v>5.5</v>
      </c>
      <c r="L100" s="37">
        <v>36892</v>
      </c>
      <c r="M100" s="2"/>
      <c r="N100" s="2" t="s">
        <v>1966</v>
      </c>
      <c r="O100" s="2" t="s">
        <v>27</v>
      </c>
      <c r="P100" s="2" t="s">
        <v>26</v>
      </c>
    </row>
    <row r="101" spans="1:16" ht="20.100000000000001" customHeight="1" x14ac:dyDescent="0.25">
      <c r="A101" s="26" t="str">
        <f>CONCATENATE(LEFT(ConsumoConcreto[[#This Row],[RecebimentoID]],4),"CNSC",TEXT(ConsumoConcreto[[#This Row],[Ordem]],"0000"),UPPER(LEFT(ConsumoConcreto[[#This Row],[Destino]],3)))</f>
        <v>0184CNSC0235PAR</v>
      </c>
      <c r="B101" s="1">
        <v>235</v>
      </c>
      <c r="C101" s="2" t="s">
        <v>2096</v>
      </c>
      <c r="D101" s="2" t="s">
        <v>1979</v>
      </c>
      <c r="E101" s="18">
        <v>3</v>
      </c>
      <c r="F101" s="2" t="s">
        <v>25</v>
      </c>
      <c r="G101" s="36">
        <v>0.76388888888888884</v>
      </c>
      <c r="H101" s="2" t="s">
        <v>1965</v>
      </c>
      <c r="I1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1" s="22">
        <v>15</v>
      </c>
      <c r="K101" s="22">
        <v>15</v>
      </c>
      <c r="L101" s="37">
        <v>36892</v>
      </c>
      <c r="M101" s="2"/>
      <c r="N101" s="2" t="s">
        <v>1966</v>
      </c>
      <c r="O101" s="2" t="s">
        <v>27</v>
      </c>
      <c r="P101" s="2" t="s">
        <v>26</v>
      </c>
    </row>
    <row r="102" spans="1:16" ht="20.100000000000001" customHeight="1" x14ac:dyDescent="0.25">
      <c r="A102" s="26" t="str">
        <f>CONCATENATE(LEFT(ConsumoConcreto[[#This Row],[RecebimentoID]],4),"CNSC",TEXT(ConsumoConcreto[[#This Row],[Ordem]],"0000"),UPPER(LEFT(ConsumoConcreto[[#This Row],[Destino]],3)))</f>
        <v>0184CNSC0181RAD</v>
      </c>
      <c r="B102" s="1">
        <v>181</v>
      </c>
      <c r="C102" s="2" t="s">
        <v>2097</v>
      </c>
      <c r="D102" s="2" t="s">
        <v>1979</v>
      </c>
      <c r="E102" s="18">
        <v>3</v>
      </c>
      <c r="F102" s="2" t="s">
        <v>1801</v>
      </c>
      <c r="G102" s="36"/>
      <c r="H102" s="2" t="s">
        <v>1968</v>
      </c>
      <c r="I1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2" s="22">
        <v>7</v>
      </c>
      <c r="K102" s="22">
        <v>6.5</v>
      </c>
      <c r="L102" s="37">
        <v>36892</v>
      </c>
      <c r="M102" s="2" t="s">
        <v>1982</v>
      </c>
      <c r="N102" s="2" t="s">
        <v>1966</v>
      </c>
      <c r="O102" s="2" t="s">
        <v>27</v>
      </c>
      <c r="P102" s="2" t="s">
        <v>26</v>
      </c>
    </row>
    <row r="103" spans="1:16" ht="20.100000000000001" customHeight="1" x14ac:dyDescent="0.25">
      <c r="A103" s="26" t="str">
        <f>CONCATENATE(LEFT(ConsumoConcreto[[#This Row],[RecebimentoID]],4),"CNSC",TEXT(ConsumoConcreto[[#This Row],[Ordem]],"0000"),UPPER(LEFT(ConsumoConcreto[[#This Row],[Destino]],3)))</f>
        <v>0184CNSC0245PIL</v>
      </c>
      <c r="B103" s="1">
        <v>245</v>
      </c>
      <c r="C103" s="2" t="s">
        <v>2098</v>
      </c>
      <c r="D103" s="2" t="s">
        <v>1979</v>
      </c>
      <c r="E103" s="18">
        <v>3</v>
      </c>
      <c r="F103" s="2" t="s">
        <v>1801</v>
      </c>
      <c r="G103" s="36"/>
      <c r="H103" s="2" t="s">
        <v>1962</v>
      </c>
      <c r="I1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03" s="22">
        <v>0.1</v>
      </c>
      <c r="K103" s="22">
        <v>0.1</v>
      </c>
      <c r="L103" s="37">
        <v>36892</v>
      </c>
      <c r="M103" s="2"/>
      <c r="N103" s="2" t="s">
        <v>1963</v>
      </c>
      <c r="O103" s="2" t="s">
        <v>27</v>
      </c>
      <c r="P103" s="2" t="s">
        <v>26</v>
      </c>
    </row>
    <row r="104" spans="1:16" ht="20.100000000000001" customHeight="1" x14ac:dyDescent="0.25">
      <c r="A104" s="26" t="str">
        <f>CONCATENATE(LEFT(ConsumoConcreto[[#This Row],[RecebimentoID]],4),"CNSC",TEXT(ConsumoConcreto[[#This Row],[Ordem]],"0000"),UPPER(LEFT(ConsumoConcreto[[#This Row],[Destino]],3)))</f>
        <v>0184CNSC0275PAR</v>
      </c>
      <c r="B104" s="1">
        <v>275</v>
      </c>
      <c r="C104" s="2" t="s">
        <v>2099</v>
      </c>
      <c r="D104" s="2" t="s">
        <v>1985</v>
      </c>
      <c r="E104" s="18">
        <v>3</v>
      </c>
      <c r="F104" s="2" t="s">
        <v>25</v>
      </c>
      <c r="G104" s="36">
        <v>0.87222222222222223</v>
      </c>
      <c r="H104" s="2" t="s">
        <v>1965</v>
      </c>
      <c r="I1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4" s="22">
        <v>14.5</v>
      </c>
      <c r="K104" s="22">
        <v>14.5</v>
      </c>
      <c r="L104" s="37">
        <v>36892</v>
      </c>
      <c r="M104" s="2"/>
      <c r="N104" s="2" t="s">
        <v>1966</v>
      </c>
      <c r="O104" s="2" t="s">
        <v>27</v>
      </c>
      <c r="P104" s="2" t="s">
        <v>26</v>
      </c>
    </row>
    <row r="105" spans="1:16" ht="20.100000000000001" customHeight="1" x14ac:dyDescent="0.25">
      <c r="A105" s="26" t="str">
        <f>CONCATENATE(LEFT(ConsumoConcreto[[#This Row],[RecebimentoID]],4),"CNSC",TEXT(ConsumoConcreto[[#This Row],[Ordem]],"0000"),UPPER(LEFT(ConsumoConcreto[[#This Row],[Destino]],3)))</f>
        <v>0184CNSC0270RAD</v>
      </c>
      <c r="B105" s="1">
        <v>270</v>
      </c>
      <c r="C105" s="2" t="s">
        <v>2100</v>
      </c>
      <c r="D105" s="2" t="s">
        <v>1985</v>
      </c>
      <c r="E105" s="18">
        <v>3</v>
      </c>
      <c r="F105" s="2" t="s">
        <v>1801</v>
      </c>
      <c r="G105" s="36">
        <v>0.65</v>
      </c>
      <c r="H105" s="2" t="s">
        <v>1968</v>
      </c>
      <c r="I1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5" s="22">
        <v>5.5</v>
      </c>
      <c r="K105" s="22">
        <v>5.5</v>
      </c>
      <c r="L105" s="37">
        <v>36892</v>
      </c>
      <c r="M105" s="2"/>
      <c r="N105" s="2" t="s">
        <v>1963</v>
      </c>
      <c r="O105" s="2" t="s">
        <v>27</v>
      </c>
      <c r="P105" s="2" t="s">
        <v>26</v>
      </c>
    </row>
    <row r="106" spans="1:16" ht="20.100000000000001" customHeight="1" x14ac:dyDescent="0.25">
      <c r="A106" s="26" t="str">
        <f>CONCATENATE(LEFT(ConsumoConcreto[[#This Row],[RecebimentoID]],4),"CNSC",TEXT(ConsumoConcreto[[#This Row],[Ordem]],"0000"),UPPER(LEFT(ConsumoConcreto[[#This Row],[Destino]],3)))</f>
        <v>0184CNSC0291PIL</v>
      </c>
      <c r="B106" s="1">
        <v>291</v>
      </c>
      <c r="C106" s="2" t="s">
        <v>2101</v>
      </c>
      <c r="D106" s="2" t="s">
        <v>1985</v>
      </c>
      <c r="E106" s="18">
        <v>3</v>
      </c>
      <c r="F106" s="2" t="s">
        <v>1801</v>
      </c>
      <c r="G106" s="36">
        <v>0.70833333333333337</v>
      </c>
      <c r="H106" s="2" t="s">
        <v>1962</v>
      </c>
      <c r="I1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06" s="22">
        <v>0.1</v>
      </c>
      <c r="K106" s="22">
        <v>0.1</v>
      </c>
      <c r="L106" s="37">
        <v>36892</v>
      </c>
      <c r="M106" s="2"/>
      <c r="N106" s="2" t="s">
        <v>1963</v>
      </c>
      <c r="O106" s="2" t="s">
        <v>27</v>
      </c>
      <c r="P106" s="2" t="s">
        <v>26</v>
      </c>
    </row>
    <row r="107" spans="1:16" ht="20.100000000000001" customHeight="1" x14ac:dyDescent="0.25">
      <c r="A107" s="26" t="str">
        <f>CONCATENATE(LEFT(ConsumoConcreto[[#This Row],[RecebimentoID]],4),"CNSC",TEXT(ConsumoConcreto[[#This Row],[Ordem]],"0000"),UPPER(LEFT(ConsumoConcreto[[#This Row],[Destino]],3)))</f>
        <v>0184CNSC0331PAR</v>
      </c>
      <c r="B107" s="1">
        <v>331</v>
      </c>
      <c r="C107" s="2" t="s">
        <v>2102</v>
      </c>
      <c r="D107" s="2" t="s">
        <v>1989</v>
      </c>
      <c r="E107" s="18">
        <v>3</v>
      </c>
      <c r="F107" s="2" t="s">
        <v>25</v>
      </c>
      <c r="G107" s="36">
        <v>0.88888888888888884</v>
      </c>
      <c r="H107" s="2" t="s">
        <v>1965</v>
      </c>
      <c r="I1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7" s="22">
        <v>19</v>
      </c>
      <c r="K107" s="22">
        <v>19</v>
      </c>
      <c r="L107" s="37">
        <v>36892</v>
      </c>
      <c r="M107" s="2" t="s">
        <v>2103</v>
      </c>
      <c r="N107" s="2" t="s">
        <v>1966</v>
      </c>
      <c r="O107" s="2" t="s">
        <v>27</v>
      </c>
      <c r="P107" s="2" t="s">
        <v>26</v>
      </c>
    </row>
    <row r="108" spans="1:16" ht="20.100000000000001" customHeight="1" x14ac:dyDescent="0.25">
      <c r="A108" s="26" t="str">
        <f>CONCATENATE(LEFT(ConsumoConcreto[[#This Row],[RecebimentoID]],4),"CNSC",TEXT(ConsumoConcreto[[#This Row],[Ordem]],"0000"),UPPER(LEFT(ConsumoConcreto[[#This Row],[Destino]],3)))</f>
        <v>0184CNSC0313RAD</v>
      </c>
      <c r="B108" s="1">
        <v>313</v>
      </c>
      <c r="C108" s="2" t="s">
        <v>2104</v>
      </c>
      <c r="D108" s="2" t="s">
        <v>1989</v>
      </c>
      <c r="E108" s="18">
        <v>3</v>
      </c>
      <c r="F108" s="2" t="s">
        <v>1801</v>
      </c>
      <c r="G108" s="36">
        <v>0.50972222222222219</v>
      </c>
      <c r="H108" s="2" t="s">
        <v>1968</v>
      </c>
      <c r="I1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8" s="22">
        <v>7</v>
      </c>
      <c r="K108" s="22">
        <v>7</v>
      </c>
      <c r="L108" s="37">
        <v>36892</v>
      </c>
      <c r="M108" s="2"/>
      <c r="N108" s="2" t="s">
        <v>1963</v>
      </c>
      <c r="O108" s="2" t="s">
        <v>27</v>
      </c>
      <c r="P108" s="2" t="s">
        <v>26</v>
      </c>
    </row>
    <row r="109" spans="1:16" ht="20.100000000000001" customHeight="1" x14ac:dyDescent="0.25">
      <c r="A109" s="26" t="str">
        <f>CONCATENATE(LEFT(ConsumoConcreto[[#This Row],[RecebimentoID]],4),"CNSC",TEXT(ConsumoConcreto[[#This Row],[Ordem]],"0000"),UPPER(LEFT(ConsumoConcreto[[#This Row],[Destino]],3)))</f>
        <v>0184CNSC0355PAR</v>
      </c>
      <c r="B109" s="1">
        <v>355</v>
      </c>
      <c r="C109" s="2" t="s">
        <v>2105</v>
      </c>
      <c r="D109" s="2" t="s">
        <v>1992</v>
      </c>
      <c r="E109" s="18">
        <v>3</v>
      </c>
      <c r="F109" s="2" t="s">
        <v>25</v>
      </c>
      <c r="G109" s="36">
        <v>0.49861111111111112</v>
      </c>
      <c r="H109" s="2" t="s">
        <v>1965</v>
      </c>
      <c r="I1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9" s="22">
        <v>18.5</v>
      </c>
      <c r="K109" s="22">
        <v>18.5</v>
      </c>
      <c r="L109" s="37">
        <v>36892</v>
      </c>
      <c r="M109" s="2"/>
      <c r="N109" s="2" t="s">
        <v>1966</v>
      </c>
      <c r="O109" s="2" t="s">
        <v>27</v>
      </c>
      <c r="P109" s="2" t="s">
        <v>26</v>
      </c>
    </row>
    <row r="110" spans="1:16" ht="20.100000000000001" customHeight="1" x14ac:dyDescent="0.25">
      <c r="A110" s="26" t="str">
        <f>CONCATENATE(LEFT(ConsumoConcreto[[#This Row],[RecebimentoID]],4),"CNSC",TEXT(ConsumoConcreto[[#This Row],[Ordem]],"0000"),UPPER(LEFT(ConsumoConcreto[[#This Row],[Destino]],3)))</f>
        <v>0184CNSC0346RAD</v>
      </c>
      <c r="B110" s="1">
        <v>346</v>
      </c>
      <c r="C110" s="2" t="s">
        <v>2106</v>
      </c>
      <c r="D110" s="2" t="s">
        <v>1992</v>
      </c>
      <c r="E110" s="18">
        <v>3</v>
      </c>
      <c r="F110" s="2" t="s">
        <v>1801</v>
      </c>
      <c r="G110" s="36">
        <v>0.4513888888888889</v>
      </c>
      <c r="H110" s="2" t="s">
        <v>1968</v>
      </c>
      <c r="I1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10" s="22">
        <v>7</v>
      </c>
      <c r="K110" s="22">
        <v>6.5</v>
      </c>
      <c r="L110" s="37">
        <v>36892</v>
      </c>
      <c r="M110" s="2" t="s">
        <v>2107</v>
      </c>
      <c r="N110" s="2" t="s">
        <v>1963</v>
      </c>
      <c r="O110" s="2" t="s">
        <v>27</v>
      </c>
      <c r="P110" s="2" t="s">
        <v>26</v>
      </c>
    </row>
    <row r="111" spans="1:16" ht="20.100000000000001" customHeight="1" x14ac:dyDescent="0.25">
      <c r="A111" s="26" t="str">
        <f>CONCATENATE(LEFT(ConsumoConcreto[[#This Row],[RecebimentoID]],4),"CNSC",TEXT(ConsumoConcreto[[#This Row],[Ordem]],"0000"),UPPER(LEFT(ConsumoConcreto[[#This Row],[Destino]],3)))</f>
        <v>0184CNSC0398PIL</v>
      </c>
      <c r="B111" s="1">
        <v>398</v>
      </c>
      <c r="C111" s="2" t="s">
        <v>2108</v>
      </c>
      <c r="D111" s="2" t="s">
        <v>1995</v>
      </c>
      <c r="E111" s="18">
        <v>3</v>
      </c>
      <c r="F111" s="2" t="s">
        <v>25</v>
      </c>
      <c r="G111" s="36"/>
      <c r="H111" s="2" t="s">
        <v>1962</v>
      </c>
      <c r="I1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11" s="22">
        <v>0.1</v>
      </c>
      <c r="K111" s="22">
        <v>0.1</v>
      </c>
      <c r="L111" s="37">
        <v>36892</v>
      </c>
      <c r="M111" s="2"/>
      <c r="N111" s="2" t="s">
        <v>1963</v>
      </c>
      <c r="O111" s="2" t="s">
        <v>27</v>
      </c>
      <c r="P111" s="2" t="s">
        <v>26</v>
      </c>
    </row>
    <row r="112" spans="1:16" ht="20.100000000000001" customHeight="1" x14ac:dyDescent="0.25">
      <c r="A112" s="26" t="str">
        <f>CONCATENATE(LEFT(ConsumoConcreto[[#This Row],[RecebimentoID]],4),"CNSC",TEXT(ConsumoConcreto[[#This Row],[Ordem]],"0000"),UPPER(LEFT(ConsumoConcreto[[#This Row],[Destino]],3)))</f>
        <v>0184CNSC0382PAR</v>
      </c>
      <c r="B112" s="1">
        <v>382</v>
      </c>
      <c r="C112" s="2" t="s">
        <v>2109</v>
      </c>
      <c r="D112" s="2" t="s">
        <v>1995</v>
      </c>
      <c r="E112" s="18">
        <v>3</v>
      </c>
      <c r="F112" s="2" t="s">
        <v>25</v>
      </c>
      <c r="G112" s="36">
        <v>0.33263888888888887</v>
      </c>
      <c r="H112" s="2" t="s">
        <v>1965</v>
      </c>
      <c r="I1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12" s="22">
        <v>14.5</v>
      </c>
      <c r="K112" s="22">
        <v>14.5</v>
      </c>
      <c r="L112" s="37">
        <v>36892</v>
      </c>
      <c r="M112" s="2"/>
      <c r="N112" s="2" t="s">
        <v>1966</v>
      </c>
      <c r="O112" s="2" t="s">
        <v>27</v>
      </c>
      <c r="P112" s="2" t="s">
        <v>26</v>
      </c>
    </row>
    <row r="113" spans="1:16" ht="20.100000000000001" customHeight="1" x14ac:dyDescent="0.25">
      <c r="A113" s="26" t="str">
        <f>CONCATENATE(LEFT(ConsumoConcreto[[#This Row],[RecebimentoID]],4),"CNSC",TEXT(ConsumoConcreto[[#This Row],[Ordem]],"0000"),UPPER(LEFT(ConsumoConcreto[[#This Row],[Destino]],3)))</f>
        <v>0184CNSC0375RAD</v>
      </c>
      <c r="B113" s="1">
        <v>375</v>
      </c>
      <c r="C113" s="2" t="s">
        <v>2110</v>
      </c>
      <c r="D113" s="2" t="s">
        <v>1995</v>
      </c>
      <c r="E113" s="18">
        <v>3</v>
      </c>
      <c r="F113" s="2" t="s">
        <v>1801</v>
      </c>
      <c r="G113" s="36">
        <v>0.66666666666666663</v>
      </c>
      <c r="H113" s="2" t="s">
        <v>1968</v>
      </c>
      <c r="I1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13" s="22">
        <v>5.5</v>
      </c>
      <c r="K113" s="22">
        <v>5.5</v>
      </c>
      <c r="L113" s="37">
        <v>36892</v>
      </c>
      <c r="M113" s="2"/>
      <c r="N113" s="2" t="s">
        <v>1963</v>
      </c>
      <c r="O113" s="2" t="s">
        <v>27</v>
      </c>
      <c r="P113" s="2" t="s">
        <v>26</v>
      </c>
    </row>
    <row r="114" spans="1:16" ht="20.100000000000001" customHeight="1" x14ac:dyDescent="0.25">
      <c r="A114" s="26" t="str">
        <f>CONCATENATE(LEFT(ConsumoConcreto[[#This Row],[RecebimentoID]],4),"CNSC",TEXT(ConsumoConcreto[[#This Row],[Ordem]],"0000"),UPPER(LEFT(ConsumoConcreto[[#This Row],[Destino]],3)))</f>
        <v>0184CNSC0439PAR</v>
      </c>
      <c r="B114" s="1">
        <v>439</v>
      </c>
      <c r="C114" s="2" t="s">
        <v>2111</v>
      </c>
      <c r="D114" s="2" t="s">
        <v>1999</v>
      </c>
      <c r="E114" s="18">
        <v>3</v>
      </c>
      <c r="F114" s="2" t="s">
        <v>25</v>
      </c>
      <c r="G114" s="36">
        <v>0.61736111111111114</v>
      </c>
      <c r="H114" s="2" t="s">
        <v>1965</v>
      </c>
      <c r="I1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14" s="22">
        <v>18.399999999999999</v>
      </c>
      <c r="K114" s="22">
        <v>18.399999999999999</v>
      </c>
      <c r="L114" s="37">
        <v>36892</v>
      </c>
      <c r="M114" s="2"/>
      <c r="N114" s="2" t="s">
        <v>1966</v>
      </c>
      <c r="O114" s="2" t="s">
        <v>27</v>
      </c>
      <c r="P114" s="2" t="s">
        <v>26</v>
      </c>
    </row>
    <row r="115" spans="1:16" ht="20.100000000000001" customHeight="1" x14ac:dyDescent="0.25">
      <c r="A115" s="26" t="str">
        <f>CONCATENATE(LEFT(ConsumoConcreto[[#This Row],[RecebimentoID]],4),"CNSC",TEXT(ConsumoConcreto[[#This Row],[Ordem]],"0000"),UPPER(LEFT(ConsumoConcreto[[#This Row],[Destino]],3)))</f>
        <v>0184CNSC0414RAD</v>
      </c>
      <c r="B115" s="1">
        <v>414</v>
      </c>
      <c r="C115" s="2" t="s">
        <v>2112</v>
      </c>
      <c r="D115" s="2" t="s">
        <v>1999</v>
      </c>
      <c r="E115" s="18">
        <v>3</v>
      </c>
      <c r="F115" s="2" t="s">
        <v>1801</v>
      </c>
      <c r="G115" s="36">
        <v>0.4236111111111111</v>
      </c>
      <c r="H115" s="2" t="s">
        <v>1968</v>
      </c>
      <c r="I1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15" s="22">
        <v>7</v>
      </c>
      <c r="K115" s="22">
        <v>7</v>
      </c>
      <c r="L115" s="37">
        <v>36892</v>
      </c>
      <c r="M115" s="2"/>
      <c r="N115" s="2" t="s">
        <v>1963</v>
      </c>
      <c r="O115" s="2" t="s">
        <v>27</v>
      </c>
      <c r="P115" s="2" t="s">
        <v>26</v>
      </c>
    </row>
    <row r="116" spans="1:16" ht="20.100000000000001" customHeight="1" x14ac:dyDescent="0.25">
      <c r="A116" s="26" t="str">
        <f>CONCATENATE(LEFT(ConsumoConcreto[[#This Row],[RecebimentoID]],4),"CNSC",TEXT(ConsumoConcreto[[#This Row],[Ordem]],"0000"),UPPER(LEFT(ConsumoConcreto[[#This Row],[Destino]],3)))</f>
        <v>0184CNSC0456PAR</v>
      </c>
      <c r="B116" s="1">
        <v>456</v>
      </c>
      <c r="C116" s="2" t="s">
        <v>2113</v>
      </c>
      <c r="D116" s="2" t="s">
        <v>2002</v>
      </c>
      <c r="E116" s="18">
        <v>3</v>
      </c>
      <c r="F116" s="2" t="s">
        <v>25</v>
      </c>
      <c r="G116" s="36">
        <v>0.67083333333333339</v>
      </c>
      <c r="H116" s="2" t="s">
        <v>1965</v>
      </c>
      <c r="I1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16" s="22">
        <v>18.5</v>
      </c>
      <c r="K116" s="22">
        <v>18.5</v>
      </c>
      <c r="L116" s="37">
        <v>36892</v>
      </c>
      <c r="M116" s="2"/>
      <c r="N116" s="2" t="s">
        <v>1966</v>
      </c>
      <c r="O116" s="2" t="s">
        <v>27</v>
      </c>
      <c r="P116" s="2" t="s">
        <v>26</v>
      </c>
    </row>
    <row r="117" spans="1:16" ht="20.100000000000001" customHeight="1" x14ac:dyDescent="0.25">
      <c r="A117" s="26" t="str">
        <f>CONCATENATE(LEFT(ConsumoConcreto[[#This Row],[RecebimentoID]],4),"CNSC",TEXT(ConsumoConcreto[[#This Row],[Ordem]],"0000"),UPPER(LEFT(ConsumoConcreto[[#This Row],[Destino]],3)))</f>
        <v>0184CNSC0452RAD</v>
      </c>
      <c r="B117" s="1">
        <v>452</v>
      </c>
      <c r="C117" s="2" t="s">
        <v>2114</v>
      </c>
      <c r="D117" s="2" t="s">
        <v>2002</v>
      </c>
      <c r="E117" s="18">
        <v>3</v>
      </c>
      <c r="F117" s="2" t="s">
        <v>1801</v>
      </c>
      <c r="G117" s="36">
        <v>0.70138888888888884</v>
      </c>
      <c r="H117" s="2" t="s">
        <v>1968</v>
      </c>
      <c r="I1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17" s="22">
        <v>7</v>
      </c>
      <c r="K117" s="22">
        <v>7</v>
      </c>
      <c r="L117" s="37">
        <v>36892</v>
      </c>
      <c r="M117" s="2"/>
      <c r="N117" s="2" t="s">
        <v>1963</v>
      </c>
      <c r="O117" s="2" t="s">
        <v>27</v>
      </c>
      <c r="P117" s="2" t="s">
        <v>26</v>
      </c>
    </row>
    <row r="118" spans="1:16" ht="20.100000000000001" customHeight="1" x14ac:dyDescent="0.25">
      <c r="A118" s="26" t="str">
        <f>CONCATENATE(LEFT(ConsumoConcreto[[#This Row],[RecebimentoID]],4),"CNSC",TEXT(ConsumoConcreto[[#This Row],[Ordem]],"0000"),UPPER(LEFT(ConsumoConcreto[[#This Row],[Destino]],3)))</f>
        <v>0184CNSC0512PAR</v>
      </c>
      <c r="B118" s="1">
        <v>512</v>
      </c>
      <c r="C118" s="2" t="s">
        <v>2115</v>
      </c>
      <c r="D118" s="2" t="s">
        <v>2005</v>
      </c>
      <c r="E118" s="18">
        <v>3</v>
      </c>
      <c r="F118" s="2" t="s">
        <v>25</v>
      </c>
      <c r="G118" s="36">
        <v>0.85486111111111107</v>
      </c>
      <c r="H118" s="2" t="s">
        <v>1965</v>
      </c>
      <c r="I1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18" s="22">
        <v>18</v>
      </c>
      <c r="K118" s="22">
        <v>18</v>
      </c>
      <c r="L118" s="37">
        <v>36892</v>
      </c>
      <c r="M118" s="2"/>
      <c r="N118" s="2" t="s">
        <v>1966</v>
      </c>
      <c r="O118" s="2" t="s">
        <v>27</v>
      </c>
      <c r="P118" s="2" t="s">
        <v>26</v>
      </c>
    </row>
    <row r="119" spans="1:16" ht="20.100000000000001" customHeight="1" x14ac:dyDescent="0.25">
      <c r="A119" s="26" t="str">
        <f>CONCATENATE(LEFT(ConsumoConcreto[[#This Row],[RecebimentoID]],4),"CNSC",TEXT(ConsumoConcreto[[#This Row],[Ordem]],"0000"),UPPER(LEFT(ConsumoConcreto[[#This Row],[Destino]],3)))</f>
        <v>0184CNSC0538RAD</v>
      </c>
      <c r="B119" s="1">
        <v>538</v>
      </c>
      <c r="C119" s="2" t="s">
        <v>2116</v>
      </c>
      <c r="D119" s="2" t="s">
        <v>2005</v>
      </c>
      <c r="E119" s="18">
        <v>3</v>
      </c>
      <c r="F119" s="2" t="s">
        <v>1801</v>
      </c>
      <c r="G119" s="36">
        <v>0.71527777777777779</v>
      </c>
      <c r="H119" s="2" t="s">
        <v>1968</v>
      </c>
      <c r="I1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19" s="22">
        <v>7</v>
      </c>
      <c r="K119" s="22">
        <v>7</v>
      </c>
      <c r="L119" s="37">
        <v>36892</v>
      </c>
      <c r="M119" s="2"/>
      <c r="N119" s="2" t="s">
        <v>1963</v>
      </c>
      <c r="O119" s="2" t="s">
        <v>27</v>
      </c>
      <c r="P119" s="2" t="s">
        <v>26</v>
      </c>
    </row>
    <row r="120" spans="1:16" ht="20.100000000000001" customHeight="1" x14ac:dyDescent="0.25">
      <c r="A120" s="26" t="str">
        <f>CONCATENATE(LEFT(ConsumoConcreto[[#This Row],[RecebimentoID]],4),"CNSC",TEXT(ConsumoConcreto[[#This Row],[Ordem]],"0000"),UPPER(LEFT(ConsumoConcreto[[#This Row],[Destino]],3)))</f>
        <v>0184CNSC0569PAR</v>
      </c>
      <c r="B120" s="1">
        <v>569</v>
      </c>
      <c r="C120" s="2" t="s">
        <v>2117</v>
      </c>
      <c r="D120" s="2" t="s">
        <v>2007</v>
      </c>
      <c r="E120" s="18">
        <v>3</v>
      </c>
      <c r="F120" s="2" t="s">
        <v>25</v>
      </c>
      <c r="G120" s="36"/>
      <c r="H120" s="2" t="s">
        <v>1965</v>
      </c>
      <c r="I1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20" s="22">
        <v>18.5</v>
      </c>
      <c r="K120" s="22">
        <v>18</v>
      </c>
      <c r="L120" s="37">
        <v>36892</v>
      </c>
      <c r="M120" s="2" t="s">
        <v>1971</v>
      </c>
      <c r="N120" s="2" t="s">
        <v>1966</v>
      </c>
      <c r="O120" s="2" t="s">
        <v>27</v>
      </c>
      <c r="P120" s="2" t="s">
        <v>26</v>
      </c>
    </row>
    <row r="121" spans="1:16" ht="20.100000000000001" customHeight="1" x14ac:dyDescent="0.25">
      <c r="A121" s="26" t="str">
        <f>CONCATENATE(LEFT(ConsumoConcreto[[#This Row],[RecebimentoID]],4),"CNSC",TEXT(ConsumoConcreto[[#This Row],[Ordem]],"0000"),UPPER(LEFT(ConsumoConcreto[[#This Row],[Destino]],3)))</f>
        <v>0184CNSC0542RAD</v>
      </c>
      <c r="B121" s="1">
        <v>542</v>
      </c>
      <c r="C121" s="2" t="s">
        <v>2118</v>
      </c>
      <c r="D121" s="2" t="s">
        <v>2007</v>
      </c>
      <c r="E121" s="18">
        <v>3</v>
      </c>
      <c r="F121" s="2" t="s">
        <v>1801</v>
      </c>
      <c r="G121" s="36"/>
      <c r="H121" s="2" t="s">
        <v>1968</v>
      </c>
      <c r="I1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21" s="22">
        <v>7</v>
      </c>
      <c r="K121" s="22">
        <v>6.6989999999999998</v>
      </c>
      <c r="L121" s="37">
        <v>36892</v>
      </c>
      <c r="M121" s="2"/>
      <c r="N121" s="2"/>
      <c r="O121" s="2" t="s">
        <v>27</v>
      </c>
      <c r="P121" s="2" t="s">
        <v>26</v>
      </c>
    </row>
    <row r="122" spans="1:16" ht="20.100000000000001" customHeight="1" x14ac:dyDescent="0.25">
      <c r="A122" s="26" t="str">
        <f>CONCATENATE(LEFT(ConsumoConcreto[[#This Row],[RecebimentoID]],4),"CNSC",TEXT(ConsumoConcreto[[#This Row],[Ordem]],"0000"),UPPER(LEFT(ConsumoConcreto[[#This Row],[Destino]],3)))</f>
        <v>0184CNSC0612PAR</v>
      </c>
      <c r="B122" s="1">
        <v>612</v>
      </c>
      <c r="C122" s="2" t="s">
        <v>2119</v>
      </c>
      <c r="D122" s="2" t="s">
        <v>2010</v>
      </c>
      <c r="E122" s="18">
        <v>3</v>
      </c>
      <c r="F122" s="2" t="s">
        <v>25</v>
      </c>
      <c r="G122" s="36">
        <v>0.85555555555555562</v>
      </c>
      <c r="H122" s="2" t="s">
        <v>1965</v>
      </c>
      <c r="I1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22" s="22">
        <v>18</v>
      </c>
      <c r="K122" s="22">
        <v>18</v>
      </c>
      <c r="L122" s="37">
        <v>36892</v>
      </c>
      <c r="M122" s="2"/>
      <c r="N122" s="2" t="s">
        <v>1966</v>
      </c>
      <c r="O122" s="2" t="s">
        <v>27</v>
      </c>
      <c r="P122" s="2" t="s">
        <v>26</v>
      </c>
    </row>
    <row r="123" spans="1:16" ht="20.100000000000001" customHeight="1" x14ac:dyDescent="0.25">
      <c r="A123" s="26" t="str">
        <f>CONCATENATE(LEFT(ConsumoConcreto[[#This Row],[RecebimentoID]],4),"CNSC",TEXT(ConsumoConcreto[[#This Row],[Ordem]],"0000"),UPPER(LEFT(ConsumoConcreto[[#This Row],[Destino]],3)))</f>
        <v>0184CNSC0596RAD</v>
      </c>
      <c r="B123" s="1">
        <v>596</v>
      </c>
      <c r="C123" s="2" t="s">
        <v>2120</v>
      </c>
      <c r="D123" s="2" t="s">
        <v>2010</v>
      </c>
      <c r="E123" s="18">
        <v>3</v>
      </c>
      <c r="F123" s="2" t="s">
        <v>1801</v>
      </c>
      <c r="G123" s="36">
        <v>0.57986111111111105</v>
      </c>
      <c r="H123" s="2" t="s">
        <v>1968</v>
      </c>
      <c r="I1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23" s="22">
        <v>7.5</v>
      </c>
      <c r="K123" s="22">
        <v>7.5</v>
      </c>
      <c r="L123" s="37">
        <v>36892</v>
      </c>
      <c r="M123" s="2" t="s">
        <v>2121</v>
      </c>
      <c r="N123" s="2" t="s">
        <v>1966</v>
      </c>
      <c r="O123" s="2" t="s">
        <v>27</v>
      </c>
      <c r="P123" s="2" t="s">
        <v>26</v>
      </c>
    </row>
    <row r="124" spans="1:16" ht="20.100000000000001" customHeight="1" x14ac:dyDescent="0.25">
      <c r="A124" s="26" t="str">
        <f>CONCATENATE(LEFT(ConsumoConcreto[[#This Row],[RecebimentoID]],4),"CNSC",TEXT(ConsumoConcreto[[#This Row],[Ordem]],"0000"),UPPER(LEFT(ConsumoConcreto[[#This Row],[Destino]],3)))</f>
        <v>0184CNSC0685PAR</v>
      </c>
      <c r="B124" s="1">
        <v>685</v>
      </c>
      <c r="C124" s="2" t="s">
        <v>2122</v>
      </c>
      <c r="D124" s="2" t="s">
        <v>2013</v>
      </c>
      <c r="E124" s="18">
        <v>3</v>
      </c>
      <c r="F124" s="2" t="s">
        <v>25</v>
      </c>
      <c r="G124" s="36">
        <v>0.88194444444444453</v>
      </c>
      <c r="H124" s="2" t="s">
        <v>1965</v>
      </c>
      <c r="I1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24" s="22">
        <v>14.5</v>
      </c>
      <c r="K124" s="22">
        <v>14.5</v>
      </c>
      <c r="L124" s="37">
        <v>36892</v>
      </c>
      <c r="M124" s="2"/>
      <c r="N124" s="2" t="s">
        <v>1966</v>
      </c>
      <c r="O124" s="2" t="s">
        <v>27</v>
      </c>
      <c r="P124" s="2" t="s">
        <v>26</v>
      </c>
    </row>
    <row r="125" spans="1:16" ht="20.100000000000001" customHeight="1" x14ac:dyDescent="0.25">
      <c r="A125" s="26" t="str">
        <f>CONCATENATE(LEFT(ConsumoConcreto[[#This Row],[RecebimentoID]],4),"CNSC",TEXT(ConsumoConcreto[[#This Row],[Ordem]],"0000"),UPPER(LEFT(ConsumoConcreto[[#This Row],[Destino]],3)))</f>
        <v>0184CNSC0669RAD</v>
      </c>
      <c r="B125" s="1">
        <v>669</v>
      </c>
      <c r="C125" s="2" t="s">
        <v>2123</v>
      </c>
      <c r="D125" s="2" t="s">
        <v>2013</v>
      </c>
      <c r="E125" s="18">
        <v>3</v>
      </c>
      <c r="F125" s="2" t="s">
        <v>1801</v>
      </c>
      <c r="G125" s="36"/>
      <c r="H125" s="2" t="s">
        <v>1968</v>
      </c>
      <c r="I1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25" s="22">
        <v>6</v>
      </c>
      <c r="K125" s="22">
        <v>5.4809999999999999</v>
      </c>
      <c r="L125" s="37">
        <v>36892</v>
      </c>
      <c r="M125" s="2"/>
      <c r="N125" s="2"/>
      <c r="O125" s="2" t="s">
        <v>27</v>
      </c>
      <c r="P125" s="2" t="s">
        <v>26</v>
      </c>
    </row>
    <row r="126" spans="1:16" ht="20.100000000000001" customHeight="1" x14ac:dyDescent="0.25">
      <c r="A126" s="26" t="str">
        <f>CONCATENATE(LEFT(ConsumoConcreto[[#This Row],[RecebimentoID]],4),"CNSC",TEXT(ConsumoConcreto[[#This Row],[Ordem]],"0000"),UPPER(LEFT(ConsumoConcreto[[#This Row],[Destino]],3)))</f>
        <v>0184CNSC0764PAR</v>
      </c>
      <c r="B126" s="1">
        <v>764</v>
      </c>
      <c r="C126" s="2" t="s">
        <v>2124</v>
      </c>
      <c r="D126" s="2" t="s">
        <v>2016</v>
      </c>
      <c r="E126" s="18">
        <v>3</v>
      </c>
      <c r="F126" s="2" t="s">
        <v>25</v>
      </c>
      <c r="G126" s="36">
        <v>0.81041666666666667</v>
      </c>
      <c r="H126" s="2" t="s">
        <v>1965</v>
      </c>
      <c r="I1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26" s="22">
        <v>14.5</v>
      </c>
      <c r="K126" s="22">
        <v>14.5</v>
      </c>
      <c r="L126" s="37">
        <v>36892</v>
      </c>
      <c r="M126" s="2" t="s">
        <v>2125</v>
      </c>
      <c r="N126" s="2" t="s">
        <v>2017</v>
      </c>
      <c r="O126" s="2" t="s">
        <v>27</v>
      </c>
      <c r="P126" s="2" t="s">
        <v>26</v>
      </c>
    </row>
    <row r="127" spans="1:16" ht="20.100000000000001" customHeight="1" x14ac:dyDescent="0.25">
      <c r="A127" s="26" t="str">
        <f>CONCATENATE(LEFT(ConsumoConcreto[[#This Row],[RecebimentoID]],4),"CNSC",TEXT(ConsumoConcreto[[#This Row],[Ordem]],"0000"),UPPER(LEFT(ConsumoConcreto[[#This Row],[Destino]],3)))</f>
        <v>0184CNSC0744RAD</v>
      </c>
      <c r="B127" s="1">
        <v>744</v>
      </c>
      <c r="C127" s="2" t="s">
        <v>2126</v>
      </c>
      <c r="D127" s="2" t="s">
        <v>2016</v>
      </c>
      <c r="E127" s="18">
        <v>3</v>
      </c>
      <c r="F127" s="2" t="s">
        <v>1801</v>
      </c>
      <c r="G127" s="36">
        <v>0.51180555555555551</v>
      </c>
      <c r="H127" s="2" t="s">
        <v>1968</v>
      </c>
      <c r="I1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27" s="22">
        <v>5.5</v>
      </c>
      <c r="K127" s="22">
        <v>5.5</v>
      </c>
      <c r="L127" s="37">
        <v>36892</v>
      </c>
      <c r="M127" s="2" t="s">
        <v>2127</v>
      </c>
      <c r="N127" s="2" t="s">
        <v>2017</v>
      </c>
      <c r="O127" s="2" t="s">
        <v>27</v>
      </c>
      <c r="P127" s="2" t="s">
        <v>26</v>
      </c>
    </row>
    <row r="128" spans="1:16" ht="20.100000000000001" customHeight="1" x14ac:dyDescent="0.25">
      <c r="A128" s="26" t="str">
        <f>CONCATENATE(LEFT(ConsumoConcreto[[#This Row],[RecebimentoID]],4),"CNSC",TEXT(ConsumoConcreto[[#This Row],[Ordem]],"0000"),UPPER(LEFT(ConsumoConcreto[[#This Row],[Destino]],3)))</f>
        <v>0184CNSC0799PAR</v>
      </c>
      <c r="B128" s="1">
        <v>799</v>
      </c>
      <c r="C128" s="2" t="s">
        <v>2128</v>
      </c>
      <c r="D128" s="2" t="s">
        <v>2021</v>
      </c>
      <c r="E128" s="18">
        <v>3</v>
      </c>
      <c r="F128" s="2" t="s">
        <v>25</v>
      </c>
      <c r="G128" s="36"/>
      <c r="H128" s="2" t="s">
        <v>1965</v>
      </c>
      <c r="I1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L128" s="37">
        <v>36892</v>
      </c>
      <c r="M128" s="2"/>
      <c r="N128" s="2" t="s">
        <v>1966</v>
      </c>
      <c r="O128" s="2" t="s">
        <v>27</v>
      </c>
      <c r="P128" s="2" t="s">
        <v>26</v>
      </c>
    </row>
    <row r="129" spans="1:16" ht="20.100000000000001" customHeight="1" x14ac:dyDescent="0.25">
      <c r="A129" s="26" t="str">
        <f>CONCATENATE(LEFT(ConsumoConcreto[[#This Row],[RecebimentoID]],4),"CNSC",TEXT(ConsumoConcreto[[#This Row],[Ordem]],"0000"),UPPER(LEFT(ConsumoConcreto[[#This Row],[Destino]],3)))</f>
        <v>0184CNSC0777RAD</v>
      </c>
      <c r="B129" s="1">
        <v>777</v>
      </c>
      <c r="C129" s="2" t="s">
        <v>2129</v>
      </c>
      <c r="D129" s="2" t="s">
        <v>2021</v>
      </c>
      <c r="E129" s="18">
        <v>3</v>
      </c>
      <c r="F129" s="2" t="s">
        <v>1801</v>
      </c>
      <c r="G129" s="36">
        <v>0.66666666666666663</v>
      </c>
      <c r="H129" s="2" t="s">
        <v>1968</v>
      </c>
      <c r="I1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29" s="22">
        <v>7</v>
      </c>
      <c r="K129" s="22">
        <v>7</v>
      </c>
      <c r="L129" s="37">
        <v>36892</v>
      </c>
      <c r="M129" s="2"/>
      <c r="N129" s="2" t="s">
        <v>1963</v>
      </c>
      <c r="O129" s="2" t="s">
        <v>27</v>
      </c>
      <c r="P129" s="2" t="s">
        <v>26</v>
      </c>
    </row>
    <row r="130" spans="1:16" ht="20.100000000000001" customHeight="1" x14ac:dyDescent="0.25">
      <c r="A130" s="26" t="str">
        <f>CONCATENATE(LEFT(ConsumoConcreto[[#This Row],[RecebimentoID]],4),"CNSC",TEXT(ConsumoConcreto[[#This Row],[Ordem]],"0000"),UPPER(LEFT(ConsumoConcreto[[#This Row],[Destino]],3)))</f>
        <v>0184CNSC0857PAR</v>
      </c>
      <c r="B130" s="1">
        <v>857</v>
      </c>
      <c r="C130" s="2" t="s">
        <v>2130</v>
      </c>
      <c r="D130" s="2" t="s">
        <v>2024</v>
      </c>
      <c r="E130" s="18">
        <v>3</v>
      </c>
      <c r="F130" s="2" t="s">
        <v>25</v>
      </c>
      <c r="G130" s="36">
        <v>0.73611111111111116</v>
      </c>
      <c r="H130" s="2" t="s">
        <v>1965</v>
      </c>
      <c r="I1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30" s="22">
        <v>14.5</v>
      </c>
      <c r="K130" s="22">
        <v>14.5</v>
      </c>
      <c r="L130" s="37">
        <v>36892</v>
      </c>
      <c r="M130" s="2"/>
      <c r="N130" s="2" t="s">
        <v>1966</v>
      </c>
      <c r="O130" s="2" t="s">
        <v>27</v>
      </c>
      <c r="P130" s="2" t="s">
        <v>26</v>
      </c>
    </row>
    <row r="131" spans="1:16" ht="20.100000000000001" customHeight="1" x14ac:dyDescent="0.25">
      <c r="A131" s="26" t="str">
        <f>CONCATENATE(LEFT(ConsumoConcreto[[#This Row],[RecebimentoID]],4),"CNSC",TEXT(ConsumoConcreto[[#This Row],[Ordem]],"0000"),UPPER(LEFT(ConsumoConcreto[[#This Row],[Destino]],3)))</f>
        <v>0184CNSC0834RAD</v>
      </c>
      <c r="B131" s="1">
        <v>834</v>
      </c>
      <c r="C131" s="2" t="s">
        <v>2131</v>
      </c>
      <c r="D131" s="2" t="s">
        <v>2024</v>
      </c>
      <c r="E131" s="18">
        <v>3</v>
      </c>
      <c r="F131" s="2" t="s">
        <v>1801</v>
      </c>
      <c r="G131" s="36">
        <v>0.66666666666666663</v>
      </c>
      <c r="H131" s="2" t="s">
        <v>1968</v>
      </c>
      <c r="I1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31" s="22">
        <v>5.5</v>
      </c>
      <c r="K131" s="22">
        <v>5.5</v>
      </c>
      <c r="L131" s="37">
        <v>36892</v>
      </c>
      <c r="M131" s="2"/>
      <c r="N131" s="2" t="s">
        <v>1963</v>
      </c>
      <c r="O131" s="2" t="s">
        <v>27</v>
      </c>
      <c r="P131" s="2" t="s">
        <v>26</v>
      </c>
    </row>
    <row r="132" spans="1:16" ht="20.100000000000001" customHeight="1" x14ac:dyDescent="0.25">
      <c r="A132" s="26" t="str">
        <f>CONCATENATE(LEFT(ConsumoConcreto[[#This Row],[RecebimentoID]],4),"CNSC",TEXT(ConsumoConcreto[[#This Row],[Ordem]],"0000"),UPPER(LEFT(ConsumoConcreto[[#This Row],[Destino]],3)))</f>
        <v>0184CNSC0885PAR</v>
      </c>
      <c r="B132" s="1">
        <v>885</v>
      </c>
      <c r="C132" s="2" t="s">
        <v>2132</v>
      </c>
      <c r="D132" s="2" t="s">
        <v>2027</v>
      </c>
      <c r="E132" s="18">
        <v>3</v>
      </c>
      <c r="F132" s="2" t="s">
        <v>25</v>
      </c>
      <c r="G132" s="36">
        <v>0.7055555555555556</v>
      </c>
      <c r="H132" s="2" t="s">
        <v>1965</v>
      </c>
      <c r="I1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32" s="22">
        <v>14.5</v>
      </c>
      <c r="K132" s="22">
        <v>14.5</v>
      </c>
      <c r="L132" s="37">
        <v>36892</v>
      </c>
      <c r="M132" s="2"/>
      <c r="N132" s="2" t="s">
        <v>1966</v>
      </c>
      <c r="O132" s="2" t="s">
        <v>27</v>
      </c>
      <c r="P132" s="2" t="s">
        <v>26</v>
      </c>
    </row>
    <row r="133" spans="1:16" ht="20.100000000000001" customHeight="1" x14ac:dyDescent="0.25">
      <c r="A133" s="26" t="str">
        <f>CONCATENATE(LEFT(ConsumoConcreto[[#This Row],[RecebimentoID]],4),"CNSC",TEXT(ConsumoConcreto[[#This Row],[Ordem]],"0000"),UPPER(LEFT(ConsumoConcreto[[#This Row],[Destino]],3)))</f>
        <v>0184CNSC0871RAD</v>
      </c>
      <c r="B133" s="1">
        <v>871</v>
      </c>
      <c r="C133" s="2" t="s">
        <v>2133</v>
      </c>
      <c r="D133" s="2" t="s">
        <v>2027</v>
      </c>
      <c r="E133" s="18">
        <v>3</v>
      </c>
      <c r="F133" s="2" t="s">
        <v>1801</v>
      </c>
      <c r="G133" s="36">
        <v>0.60416666666666663</v>
      </c>
      <c r="H133" s="2" t="s">
        <v>1968</v>
      </c>
      <c r="I1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33" s="22">
        <v>5.5</v>
      </c>
      <c r="K133" s="22">
        <v>5.5</v>
      </c>
      <c r="L133" s="37">
        <v>36892</v>
      </c>
      <c r="M133" s="2"/>
      <c r="N133" s="2" t="s">
        <v>1963</v>
      </c>
      <c r="O133" s="2" t="s">
        <v>27</v>
      </c>
      <c r="P133" s="2" t="s">
        <v>26</v>
      </c>
    </row>
    <row r="134" spans="1:16" ht="20.100000000000001" customHeight="1" x14ac:dyDescent="0.25">
      <c r="A134" s="26" t="str">
        <f>CONCATENATE(LEFT(ConsumoConcreto[[#This Row],[RecebimentoID]],4),"CNSC",TEXT(ConsumoConcreto[[#This Row],[Ordem]],"0000"),UPPER(LEFT(ConsumoConcreto[[#This Row],[Destino]],3)))</f>
        <v>0184CNSC0913PAR</v>
      </c>
      <c r="B134" s="1">
        <v>913</v>
      </c>
      <c r="C134" s="2" t="s">
        <v>2134</v>
      </c>
      <c r="D134" s="2" t="s">
        <v>2030</v>
      </c>
      <c r="E134" s="18">
        <v>3</v>
      </c>
      <c r="F134" s="2" t="s">
        <v>25</v>
      </c>
      <c r="G134" s="36">
        <v>0.78749999999999998</v>
      </c>
      <c r="H134" s="2" t="s">
        <v>1965</v>
      </c>
      <c r="I1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34" s="22">
        <v>15</v>
      </c>
      <c r="K134" s="22">
        <v>15</v>
      </c>
      <c r="L134" s="37">
        <v>36892</v>
      </c>
      <c r="M134" s="2" t="s">
        <v>2082</v>
      </c>
      <c r="N134" s="2" t="s">
        <v>1966</v>
      </c>
      <c r="O134" s="2" t="s">
        <v>27</v>
      </c>
      <c r="P134" s="2" t="s">
        <v>26</v>
      </c>
    </row>
    <row r="135" spans="1:16" ht="20.100000000000001" customHeight="1" x14ac:dyDescent="0.25">
      <c r="A135" s="26" t="str">
        <f>CONCATENATE(LEFT(ConsumoConcreto[[#This Row],[RecebimentoID]],4),"CNSC",TEXT(ConsumoConcreto[[#This Row],[Ordem]],"0000"),UPPER(LEFT(ConsumoConcreto[[#This Row],[Destino]],3)))</f>
        <v>0184CNSC0898RAD</v>
      </c>
      <c r="B135" s="1">
        <v>898</v>
      </c>
      <c r="C135" s="2" t="s">
        <v>2135</v>
      </c>
      <c r="D135" s="2" t="s">
        <v>2030</v>
      </c>
      <c r="E135" s="18">
        <v>3</v>
      </c>
      <c r="F135" s="2" t="s">
        <v>1801</v>
      </c>
      <c r="G135" s="36"/>
      <c r="H135" s="2" t="s">
        <v>1968</v>
      </c>
      <c r="I1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35" s="22">
        <v>7.58</v>
      </c>
      <c r="K135" s="22">
        <v>5.4809999999999999</v>
      </c>
      <c r="L135" s="37">
        <v>36892</v>
      </c>
      <c r="M135" s="2" t="s">
        <v>1971</v>
      </c>
      <c r="N135" s="2"/>
      <c r="O135" s="2" t="s">
        <v>27</v>
      </c>
      <c r="P135" s="2" t="s">
        <v>26</v>
      </c>
    </row>
    <row r="136" spans="1:16" ht="20.100000000000001" customHeight="1" x14ac:dyDescent="0.25">
      <c r="A136" s="26" t="str">
        <f>CONCATENATE(LEFT(ConsumoConcreto[[#This Row],[RecebimentoID]],4),"CNSC",TEXT(ConsumoConcreto[[#This Row],[Ordem]],"0000"),UPPER(LEFT(ConsumoConcreto[[#This Row],[Destino]],3)))</f>
        <v>0184CNSC1008PAR</v>
      </c>
      <c r="B136" s="1">
        <v>1008</v>
      </c>
      <c r="C136" s="2" t="s">
        <v>2136</v>
      </c>
      <c r="D136" s="2" t="s">
        <v>2033</v>
      </c>
      <c r="E136" s="18">
        <v>3</v>
      </c>
      <c r="F136" s="2" t="s">
        <v>25</v>
      </c>
      <c r="G136" s="36"/>
      <c r="H136" s="2" t="s">
        <v>1965</v>
      </c>
      <c r="I1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136" s="37">
        <v>36892</v>
      </c>
      <c r="M136" s="2"/>
      <c r="N136" s="2"/>
      <c r="O136" s="2" t="s">
        <v>27</v>
      </c>
      <c r="P136" s="2" t="s">
        <v>26</v>
      </c>
    </row>
    <row r="137" spans="1:16" ht="20.100000000000001" customHeight="1" x14ac:dyDescent="0.25">
      <c r="A137" s="26" t="str">
        <f>CONCATENATE(LEFT(ConsumoConcreto[[#This Row],[RecebimentoID]],4),"CNSC",TEXT(ConsumoConcreto[[#This Row],[Ordem]],"0000"),UPPER(LEFT(ConsumoConcreto[[#This Row],[Destino]],3)))</f>
        <v>0184CNSC1004RAD</v>
      </c>
      <c r="B137" s="1">
        <v>1004</v>
      </c>
      <c r="C137" s="2" t="s">
        <v>2137</v>
      </c>
      <c r="D137" s="2" t="s">
        <v>2033</v>
      </c>
      <c r="E137" s="18">
        <v>3</v>
      </c>
      <c r="F137" s="2" t="s">
        <v>1801</v>
      </c>
      <c r="G137" s="36"/>
      <c r="H137" s="2" t="s">
        <v>1968</v>
      </c>
      <c r="I1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L137" s="37">
        <v>36892</v>
      </c>
      <c r="M137" s="2" t="s">
        <v>2138</v>
      </c>
      <c r="N137" s="2"/>
      <c r="O137" s="2" t="s">
        <v>27</v>
      </c>
      <c r="P137" s="2" t="s">
        <v>26</v>
      </c>
    </row>
    <row r="138" spans="1:16" ht="20.100000000000001" customHeight="1" x14ac:dyDescent="0.25">
      <c r="A138" s="26" t="str">
        <f>CONCATENATE(LEFT(ConsumoConcreto[[#This Row],[RecebimentoID]],4),"CNSC",TEXT(ConsumoConcreto[[#This Row],[Ordem]],"0000"),UPPER(LEFT(ConsumoConcreto[[#This Row],[Destino]],3)))</f>
        <v>0184CNSC1052PAR</v>
      </c>
      <c r="B138" s="1">
        <v>1052</v>
      </c>
      <c r="C138" s="2" t="s">
        <v>2139</v>
      </c>
      <c r="D138" s="2" t="s">
        <v>2036</v>
      </c>
      <c r="E138" s="18">
        <v>3</v>
      </c>
      <c r="F138" s="2" t="s">
        <v>25</v>
      </c>
      <c r="G138" s="36">
        <v>0.78541666666666676</v>
      </c>
      <c r="H138" s="2" t="s">
        <v>1965</v>
      </c>
      <c r="I1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38" s="22">
        <v>14.5</v>
      </c>
      <c r="K138" s="22">
        <v>14.5</v>
      </c>
      <c r="L138" s="37">
        <v>36892</v>
      </c>
      <c r="M138" s="2"/>
      <c r="N138" s="2" t="s">
        <v>1966</v>
      </c>
      <c r="O138" s="2" t="s">
        <v>27</v>
      </c>
      <c r="P138" s="2" t="s">
        <v>26</v>
      </c>
    </row>
    <row r="139" spans="1:16" ht="20.100000000000001" customHeight="1" x14ac:dyDescent="0.25">
      <c r="A139" s="26" t="str">
        <f>CONCATENATE(LEFT(ConsumoConcreto[[#This Row],[RecebimentoID]],4),"CNSC",TEXT(ConsumoConcreto[[#This Row],[Ordem]],"0000"),UPPER(LEFT(ConsumoConcreto[[#This Row],[Destino]],3)))</f>
        <v>0184CNSC1036RAD</v>
      </c>
      <c r="B139" s="1">
        <v>1036</v>
      </c>
      <c r="C139" s="2" t="s">
        <v>2140</v>
      </c>
      <c r="D139" s="2" t="s">
        <v>2036</v>
      </c>
      <c r="E139" s="18">
        <v>3</v>
      </c>
      <c r="F139" s="2" t="s">
        <v>1801</v>
      </c>
      <c r="G139" s="36">
        <v>0.64583333333333337</v>
      </c>
      <c r="H139" s="2" t="s">
        <v>1968</v>
      </c>
      <c r="I1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39" s="22">
        <v>5.5</v>
      </c>
      <c r="K139" s="22">
        <v>5.5</v>
      </c>
      <c r="L139" s="37">
        <v>36892</v>
      </c>
      <c r="M139" s="2"/>
      <c r="N139" s="2" t="s">
        <v>1963</v>
      </c>
      <c r="O139" s="2" t="s">
        <v>27</v>
      </c>
      <c r="P139" s="2" t="s">
        <v>26</v>
      </c>
    </row>
    <row r="140" spans="1:16" ht="20.100000000000001" customHeight="1" x14ac:dyDescent="0.25">
      <c r="A140" s="26" t="str">
        <f>CONCATENATE(LEFT(ConsumoConcreto[[#This Row],[RecebimentoID]],4),"CNSC",TEXT(ConsumoConcreto[[#This Row],[Ordem]],"0000"),UPPER(LEFT(ConsumoConcreto[[#This Row],[Destino]],3)))</f>
        <v>0184CNSC0021PIL</v>
      </c>
      <c r="B140" s="1">
        <v>21</v>
      </c>
      <c r="C140" s="2" t="s">
        <v>2141</v>
      </c>
      <c r="D140" s="2" t="s">
        <v>1961</v>
      </c>
      <c r="E140" s="18">
        <v>4</v>
      </c>
      <c r="F140" s="2" t="s">
        <v>25</v>
      </c>
      <c r="G140" s="36"/>
      <c r="H140" s="2" t="s">
        <v>1962</v>
      </c>
      <c r="I1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40" s="22">
        <v>0.17</v>
      </c>
      <c r="K140" s="22">
        <v>0.1</v>
      </c>
      <c r="L140" s="37">
        <v>36892</v>
      </c>
      <c r="M140" s="2"/>
      <c r="N140" s="2" t="s">
        <v>1963</v>
      </c>
      <c r="O140" s="2" t="s">
        <v>27</v>
      </c>
      <c r="P140" s="2" t="s">
        <v>26</v>
      </c>
    </row>
    <row r="141" spans="1:16" ht="20.100000000000001" customHeight="1" x14ac:dyDescent="0.25">
      <c r="A141" s="26" t="str">
        <f>CONCATENATE(LEFT(ConsumoConcreto[[#This Row],[RecebimentoID]],4),"CNSC",TEXT(ConsumoConcreto[[#This Row],[Ordem]],"0000"),UPPER(LEFT(ConsumoConcreto[[#This Row],[Destino]],3)))</f>
        <v>0184CNSC0012PAR</v>
      </c>
      <c r="B141" s="1">
        <v>12</v>
      </c>
      <c r="C141" s="2" t="s">
        <v>2142</v>
      </c>
      <c r="D141" s="2" t="s">
        <v>1961</v>
      </c>
      <c r="E141" s="18">
        <v>4</v>
      </c>
      <c r="F141" s="2" t="s">
        <v>1780</v>
      </c>
      <c r="G141" s="36"/>
      <c r="H141" s="2" t="s">
        <v>1965</v>
      </c>
      <c r="I1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41" s="22">
        <v>14</v>
      </c>
      <c r="K141" s="22">
        <v>14</v>
      </c>
      <c r="L141" s="37">
        <v>36892</v>
      </c>
      <c r="M141" s="2"/>
      <c r="N141" s="2" t="s">
        <v>1966</v>
      </c>
      <c r="O141" s="2" t="s">
        <v>27</v>
      </c>
      <c r="P141" s="2" t="s">
        <v>26</v>
      </c>
    </row>
    <row r="142" spans="1:16" ht="20.100000000000001" customHeight="1" x14ac:dyDescent="0.25">
      <c r="A142" s="26" t="str">
        <f>CONCATENATE(LEFT(ConsumoConcreto[[#This Row],[RecebimentoID]],4),"CNSC",TEXT(ConsumoConcreto[[#This Row],[Ordem]],"0000"),UPPER(LEFT(ConsumoConcreto[[#This Row],[Destino]],3)))</f>
        <v>0184CNSC0004RAD</v>
      </c>
      <c r="B142" s="1">
        <v>4</v>
      </c>
      <c r="C142" s="2" t="s">
        <v>2143</v>
      </c>
      <c r="D142" s="2" t="s">
        <v>1961</v>
      </c>
      <c r="E142" s="18">
        <v>4</v>
      </c>
      <c r="F142" s="2" t="s">
        <v>1801</v>
      </c>
      <c r="G142" s="36"/>
      <c r="H142" s="2" t="s">
        <v>1968</v>
      </c>
      <c r="I1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42" s="22">
        <v>5.5</v>
      </c>
      <c r="K142" s="22">
        <v>5.5</v>
      </c>
      <c r="L142" s="37">
        <v>36892</v>
      </c>
      <c r="M142" s="2"/>
      <c r="N142" s="2"/>
      <c r="O142" s="2" t="s">
        <v>27</v>
      </c>
      <c r="P142" s="2" t="s">
        <v>26</v>
      </c>
    </row>
    <row r="143" spans="1:16" ht="20.100000000000001" customHeight="1" x14ac:dyDescent="0.25">
      <c r="A143" s="26" t="str">
        <f>CONCATENATE(LEFT(ConsumoConcreto[[#This Row],[RecebimentoID]],4),"CNSC",TEXT(ConsumoConcreto[[#This Row],[Ordem]],"0000"),UPPER(LEFT(ConsumoConcreto[[#This Row],[Destino]],3)))</f>
        <v>0184CNSC0052PAR</v>
      </c>
      <c r="B143" s="1">
        <v>52</v>
      </c>
      <c r="C143" s="2" t="s">
        <v>2144</v>
      </c>
      <c r="D143" s="2" t="s">
        <v>1970</v>
      </c>
      <c r="E143" s="18">
        <v>4</v>
      </c>
      <c r="F143" s="2" t="s">
        <v>25</v>
      </c>
      <c r="G143" s="36"/>
      <c r="H143" s="2" t="s">
        <v>1965</v>
      </c>
      <c r="I1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43" s="22">
        <v>14</v>
      </c>
      <c r="K143" s="22">
        <v>14</v>
      </c>
      <c r="L143" s="37">
        <v>36892</v>
      </c>
      <c r="M143" s="2"/>
      <c r="N143" s="2" t="s">
        <v>1966</v>
      </c>
      <c r="O143" s="2" t="s">
        <v>27</v>
      </c>
      <c r="P143" s="2" t="s">
        <v>26</v>
      </c>
    </row>
    <row r="144" spans="1:16" ht="20.100000000000001" customHeight="1" x14ac:dyDescent="0.25">
      <c r="A144" s="26" t="str">
        <f>CONCATENATE(LEFT(ConsumoConcreto[[#This Row],[RecebimentoID]],4),"CNSC",TEXT(ConsumoConcreto[[#This Row],[Ordem]],"0000"),UPPER(LEFT(ConsumoConcreto[[#This Row],[Destino]],3)))</f>
        <v>0184CNSC0087PIL</v>
      </c>
      <c r="B144" s="1">
        <v>87</v>
      </c>
      <c r="C144" s="2" t="s">
        <v>2145</v>
      </c>
      <c r="D144" s="2" t="s">
        <v>1970</v>
      </c>
      <c r="E144" s="18">
        <v>4</v>
      </c>
      <c r="F144" s="2" t="s">
        <v>25</v>
      </c>
      <c r="G144" s="36"/>
      <c r="H144" s="2" t="s">
        <v>1962</v>
      </c>
      <c r="I1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44" s="22">
        <v>0.1</v>
      </c>
      <c r="K144" s="22">
        <v>0.1</v>
      </c>
      <c r="L144" s="37">
        <v>36892</v>
      </c>
      <c r="M144" s="2"/>
      <c r="N144" s="2" t="s">
        <v>1963</v>
      </c>
      <c r="O144" s="2" t="s">
        <v>27</v>
      </c>
      <c r="P144" s="2" t="s">
        <v>26</v>
      </c>
    </row>
    <row r="145" spans="1:16" ht="20.100000000000001" customHeight="1" x14ac:dyDescent="0.25">
      <c r="A145" s="26" t="str">
        <f>CONCATENATE(LEFT(ConsumoConcreto[[#This Row],[RecebimentoID]],4),"CNSC",TEXT(ConsumoConcreto[[#This Row],[Ordem]],"0000"),UPPER(LEFT(ConsumoConcreto[[#This Row],[Destino]],3)))</f>
        <v>0184CNSC0036RAD</v>
      </c>
      <c r="B145" s="1">
        <v>36</v>
      </c>
      <c r="C145" s="2" t="s">
        <v>2146</v>
      </c>
      <c r="D145" s="2" t="s">
        <v>1970</v>
      </c>
      <c r="E145" s="18">
        <v>4</v>
      </c>
      <c r="F145" s="2" t="s">
        <v>1801</v>
      </c>
      <c r="G145" s="36"/>
      <c r="H145" s="2" t="s">
        <v>1968</v>
      </c>
      <c r="I1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45" s="22">
        <v>5.5</v>
      </c>
      <c r="K145" s="22">
        <v>5.5</v>
      </c>
      <c r="L145" s="37">
        <v>36892</v>
      </c>
      <c r="M145" s="2"/>
      <c r="N145" s="2"/>
      <c r="O145" s="2" t="s">
        <v>27</v>
      </c>
      <c r="P145" s="2" t="s">
        <v>26</v>
      </c>
    </row>
    <row r="146" spans="1:16" ht="20.100000000000001" customHeight="1" x14ac:dyDescent="0.25">
      <c r="A146" s="26" t="str">
        <f>CONCATENATE(LEFT(ConsumoConcreto[[#This Row],[RecebimentoID]],4),"CNSC",TEXT(ConsumoConcreto[[#This Row],[Ordem]],"0000"),UPPER(LEFT(ConsumoConcreto[[#This Row],[Destino]],3)))</f>
        <v>0184CNSC0156PAR</v>
      </c>
      <c r="B146" s="1">
        <v>156</v>
      </c>
      <c r="C146" s="2" t="s">
        <v>2147</v>
      </c>
      <c r="D146" s="2" t="s">
        <v>1975</v>
      </c>
      <c r="E146" s="18">
        <v>4</v>
      </c>
      <c r="F146" s="2" t="s">
        <v>25</v>
      </c>
      <c r="G146" s="36">
        <v>0.63680555555555551</v>
      </c>
      <c r="H146" s="2" t="s">
        <v>1965</v>
      </c>
      <c r="I1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46" s="22">
        <v>15</v>
      </c>
      <c r="K146" s="22">
        <v>15</v>
      </c>
      <c r="L146" s="37">
        <v>36892</v>
      </c>
      <c r="M146" s="2"/>
      <c r="N146" s="2" t="s">
        <v>1966</v>
      </c>
      <c r="O146" s="2" t="s">
        <v>27</v>
      </c>
      <c r="P146" s="2" t="s">
        <v>26</v>
      </c>
    </row>
    <row r="147" spans="1:16" ht="20.100000000000001" customHeight="1" x14ac:dyDescent="0.25">
      <c r="A147" s="26" t="str">
        <f>CONCATENATE(LEFT(ConsumoConcreto[[#This Row],[RecebimentoID]],4),"CNSC",TEXT(ConsumoConcreto[[#This Row],[Ordem]],"0000"),UPPER(LEFT(ConsumoConcreto[[#This Row],[Destino]],3)))</f>
        <v>0184CNSC0110RAD</v>
      </c>
      <c r="B147" s="1">
        <v>110</v>
      </c>
      <c r="C147" s="2" t="s">
        <v>2148</v>
      </c>
      <c r="D147" s="2" t="s">
        <v>1975</v>
      </c>
      <c r="E147" s="18">
        <v>4</v>
      </c>
      <c r="F147" s="2" t="s">
        <v>1801</v>
      </c>
      <c r="G147" s="36"/>
      <c r="H147" s="2" t="s">
        <v>1968</v>
      </c>
      <c r="I1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47" s="22">
        <v>5.5</v>
      </c>
      <c r="K147" s="22">
        <v>5.5</v>
      </c>
      <c r="L147" s="37">
        <v>36892</v>
      </c>
      <c r="M147" s="2"/>
      <c r="N147" s="2" t="s">
        <v>1966</v>
      </c>
      <c r="O147" s="2" t="s">
        <v>27</v>
      </c>
      <c r="P147" s="2" t="s">
        <v>26</v>
      </c>
    </row>
    <row r="148" spans="1:16" ht="20.100000000000001" customHeight="1" x14ac:dyDescent="0.25">
      <c r="A148" s="26" t="str">
        <f>CONCATENATE(LEFT(ConsumoConcreto[[#This Row],[RecebimentoID]],4),"CNSC",TEXT(ConsumoConcreto[[#This Row],[Ordem]],"0000"),UPPER(LEFT(ConsumoConcreto[[#This Row],[Destino]],3)))</f>
        <v>0184CNSC0238PAR</v>
      </c>
      <c r="B148" s="1">
        <v>238</v>
      </c>
      <c r="C148" s="2" t="s">
        <v>2149</v>
      </c>
      <c r="D148" s="2" t="s">
        <v>1979</v>
      </c>
      <c r="E148" s="18">
        <v>4</v>
      </c>
      <c r="F148" s="2" t="s">
        <v>25</v>
      </c>
      <c r="G148" s="36">
        <v>0.78333333333333333</v>
      </c>
      <c r="H148" s="2" t="s">
        <v>1965</v>
      </c>
      <c r="I1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48" s="22">
        <v>22</v>
      </c>
      <c r="K148" s="22">
        <v>22</v>
      </c>
      <c r="L148" s="37">
        <v>36892</v>
      </c>
      <c r="M148" s="2" t="s">
        <v>2150</v>
      </c>
      <c r="N148" s="2" t="s">
        <v>1966</v>
      </c>
      <c r="O148" s="2" t="s">
        <v>27</v>
      </c>
      <c r="P148" s="2" t="s">
        <v>26</v>
      </c>
    </row>
    <row r="149" spans="1:16" ht="20.100000000000001" customHeight="1" x14ac:dyDescent="0.25">
      <c r="A149" s="26" t="str">
        <f>CONCATENATE(LEFT(ConsumoConcreto[[#This Row],[RecebimentoID]],4),"CNSC",TEXT(ConsumoConcreto[[#This Row],[Ordem]],"0000"),UPPER(LEFT(ConsumoConcreto[[#This Row],[Destino]],3)))</f>
        <v>0184CNSC0182RAD</v>
      </c>
      <c r="B149" s="1">
        <v>182</v>
      </c>
      <c r="C149" s="2" t="s">
        <v>2151</v>
      </c>
      <c r="D149" s="2" t="s">
        <v>1979</v>
      </c>
      <c r="E149" s="18">
        <v>4</v>
      </c>
      <c r="F149" s="2" t="s">
        <v>1801</v>
      </c>
      <c r="G149" s="36"/>
      <c r="H149" s="2" t="s">
        <v>1968</v>
      </c>
      <c r="I1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49" s="22">
        <v>7</v>
      </c>
      <c r="K149" s="22">
        <v>6.5</v>
      </c>
      <c r="L149" s="37">
        <v>36892</v>
      </c>
      <c r="M149" s="2" t="s">
        <v>1982</v>
      </c>
      <c r="N149" s="2" t="s">
        <v>1966</v>
      </c>
      <c r="O149" s="2" t="s">
        <v>27</v>
      </c>
      <c r="P149" s="2" t="s">
        <v>26</v>
      </c>
    </row>
    <row r="150" spans="1:16" ht="20.100000000000001" customHeight="1" x14ac:dyDescent="0.25">
      <c r="A150" s="26" t="str">
        <f>CONCATENATE(LEFT(ConsumoConcreto[[#This Row],[RecebimentoID]],4),"CNSC",TEXT(ConsumoConcreto[[#This Row],[Ordem]],"0000"),UPPER(LEFT(ConsumoConcreto[[#This Row],[Destino]],3)))</f>
        <v>0184CNSC0246PIL</v>
      </c>
      <c r="B150" s="1">
        <v>246</v>
      </c>
      <c r="C150" s="2" t="s">
        <v>2152</v>
      </c>
      <c r="D150" s="2" t="s">
        <v>1979</v>
      </c>
      <c r="E150" s="18">
        <v>4</v>
      </c>
      <c r="F150" s="2" t="s">
        <v>1801</v>
      </c>
      <c r="G150" s="36"/>
      <c r="H150" s="2" t="s">
        <v>1962</v>
      </c>
      <c r="I1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50" s="22">
        <v>0.1</v>
      </c>
      <c r="K150" s="22">
        <v>0.1</v>
      </c>
      <c r="L150" s="37">
        <v>36892</v>
      </c>
      <c r="M150" s="2"/>
      <c r="N150" s="2" t="s">
        <v>1963</v>
      </c>
      <c r="O150" s="2" t="s">
        <v>27</v>
      </c>
      <c r="P150" s="2" t="s">
        <v>26</v>
      </c>
    </row>
    <row r="151" spans="1:16" ht="20.100000000000001" customHeight="1" x14ac:dyDescent="0.25">
      <c r="A151" s="26" t="str">
        <f>CONCATENATE(LEFT(ConsumoConcreto[[#This Row],[RecebimentoID]],4),"CNSC",TEXT(ConsumoConcreto[[#This Row],[Ordem]],"0000"),UPPER(LEFT(ConsumoConcreto[[#This Row],[Destino]],3)))</f>
        <v>0184CNSC0274PAR</v>
      </c>
      <c r="B151" s="1">
        <v>274</v>
      </c>
      <c r="C151" s="2" t="s">
        <v>2153</v>
      </c>
      <c r="D151" s="2" t="s">
        <v>1985</v>
      </c>
      <c r="E151" s="18">
        <v>4</v>
      </c>
      <c r="F151" s="2" t="s">
        <v>25</v>
      </c>
      <c r="G151" s="36">
        <v>0.8979166666666667</v>
      </c>
      <c r="H151" s="2" t="s">
        <v>1965</v>
      </c>
      <c r="I1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51" s="22">
        <v>18</v>
      </c>
      <c r="K151" s="22">
        <v>18</v>
      </c>
      <c r="L151" s="37">
        <v>36892</v>
      </c>
      <c r="M151" s="2"/>
      <c r="N151" s="2" t="s">
        <v>1966</v>
      </c>
      <c r="O151" s="2" t="s">
        <v>27</v>
      </c>
      <c r="P151" s="2" t="s">
        <v>26</v>
      </c>
    </row>
    <row r="152" spans="1:16" ht="20.100000000000001" customHeight="1" x14ac:dyDescent="0.25">
      <c r="A152" s="26" t="str">
        <f>CONCATENATE(LEFT(ConsumoConcreto[[#This Row],[RecebimentoID]],4),"CNSC",TEXT(ConsumoConcreto[[#This Row],[Ordem]],"0000"),UPPER(LEFT(ConsumoConcreto[[#This Row],[Destino]],3)))</f>
        <v>0184CNSC0256RAD</v>
      </c>
      <c r="B152" s="1">
        <v>256</v>
      </c>
      <c r="C152" s="2" t="s">
        <v>2154</v>
      </c>
      <c r="D152" s="2" t="s">
        <v>1985</v>
      </c>
      <c r="E152" s="18">
        <v>4</v>
      </c>
      <c r="F152" s="2" t="s">
        <v>1801</v>
      </c>
      <c r="G152" s="36">
        <v>0.56944444444444442</v>
      </c>
      <c r="H152" s="2" t="s">
        <v>1968</v>
      </c>
      <c r="I1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52" s="22">
        <v>7</v>
      </c>
      <c r="K152" s="22">
        <v>7</v>
      </c>
      <c r="L152" s="37">
        <v>36892</v>
      </c>
      <c r="M152" s="2"/>
      <c r="N152" s="2" t="s">
        <v>1963</v>
      </c>
      <c r="O152" s="2" t="s">
        <v>27</v>
      </c>
      <c r="P152" s="2" t="s">
        <v>26</v>
      </c>
    </row>
    <row r="153" spans="1:16" ht="20.100000000000001" customHeight="1" x14ac:dyDescent="0.25">
      <c r="A153" s="26" t="str">
        <f>CONCATENATE(LEFT(ConsumoConcreto[[#This Row],[RecebimentoID]],4),"CNSC",TEXT(ConsumoConcreto[[#This Row],[Ordem]],"0000"),UPPER(LEFT(ConsumoConcreto[[#This Row],[Destino]],3)))</f>
        <v>0184CNSC0294PIL</v>
      </c>
      <c r="B153" s="1">
        <v>294</v>
      </c>
      <c r="C153" s="2" t="s">
        <v>2155</v>
      </c>
      <c r="D153" s="2" t="s">
        <v>1985</v>
      </c>
      <c r="E153" s="18">
        <v>4</v>
      </c>
      <c r="F153" s="2" t="s">
        <v>1801</v>
      </c>
      <c r="G153" s="36">
        <v>0.5</v>
      </c>
      <c r="H153" s="2" t="s">
        <v>1962</v>
      </c>
      <c r="I1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53" s="22">
        <v>0.1</v>
      </c>
      <c r="K153" s="22">
        <v>0.1</v>
      </c>
      <c r="L153" s="37">
        <v>36892</v>
      </c>
      <c r="M153" s="2"/>
      <c r="N153" s="2" t="s">
        <v>1963</v>
      </c>
      <c r="O153" s="2" t="s">
        <v>27</v>
      </c>
      <c r="P153" s="2" t="s">
        <v>26</v>
      </c>
    </row>
    <row r="154" spans="1:16" ht="20.100000000000001" customHeight="1" x14ac:dyDescent="0.25">
      <c r="A154" s="26" t="str">
        <f>CONCATENATE(LEFT(ConsumoConcreto[[#This Row],[RecebimentoID]],4),"CNSC",TEXT(ConsumoConcreto[[#This Row],[Ordem]],"0000"),UPPER(LEFT(ConsumoConcreto[[#This Row],[Destino]],3)))</f>
        <v>0184CNSC0326PAR</v>
      </c>
      <c r="B154" s="1">
        <v>326</v>
      </c>
      <c r="C154" s="2" t="s">
        <v>2156</v>
      </c>
      <c r="D154" s="2" t="s">
        <v>1989</v>
      </c>
      <c r="E154" s="18">
        <v>4</v>
      </c>
      <c r="F154" s="2" t="s">
        <v>25</v>
      </c>
      <c r="G154" s="36">
        <v>0.72916666666666663</v>
      </c>
      <c r="H154" s="2" t="s">
        <v>1965</v>
      </c>
      <c r="I1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54" s="22">
        <v>14.5</v>
      </c>
      <c r="K154" s="22">
        <v>14.5</v>
      </c>
      <c r="L154" s="37">
        <v>36892</v>
      </c>
      <c r="M154" s="2"/>
      <c r="N154" s="2" t="s">
        <v>1966</v>
      </c>
      <c r="O154" s="2" t="s">
        <v>27</v>
      </c>
      <c r="P154" s="2" t="s">
        <v>26</v>
      </c>
    </row>
    <row r="155" spans="1:16" ht="20.100000000000001" customHeight="1" x14ac:dyDescent="0.25">
      <c r="A155" s="26" t="str">
        <f>CONCATENATE(LEFT(ConsumoConcreto[[#This Row],[RecebimentoID]],4),"CNSC",TEXT(ConsumoConcreto[[#This Row],[Ordem]],"0000"),UPPER(LEFT(ConsumoConcreto[[#This Row],[Destino]],3)))</f>
        <v>0184CNSC0306RAD</v>
      </c>
      <c r="B155" s="1">
        <v>306</v>
      </c>
      <c r="C155" s="2" t="s">
        <v>2157</v>
      </c>
      <c r="D155" s="2" t="s">
        <v>1989</v>
      </c>
      <c r="E155" s="18">
        <v>4</v>
      </c>
      <c r="F155" s="2" t="s">
        <v>1801</v>
      </c>
      <c r="G155" s="36">
        <v>0.65277777777777779</v>
      </c>
      <c r="H155" s="2" t="s">
        <v>1968</v>
      </c>
      <c r="I1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55" s="22">
        <v>5.5</v>
      </c>
      <c r="K155" s="22">
        <v>5.5</v>
      </c>
      <c r="L155" s="37">
        <v>36892</v>
      </c>
      <c r="M155" s="2"/>
      <c r="N155" s="2" t="s">
        <v>1963</v>
      </c>
      <c r="O155" s="2" t="s">
        <v>27</v>
      </c>
      <c r="P155" s="2" t="s">
        <v>26</v>
      </c>
    </row>
    <row r="156" spans="1:16" ht="20.100000000000001" customHeight="1" x14ac:dyDescent="0.25">
      <c r="A156" s="26" t="str">
        <f>CONCATENATE(LEFT(ConsumoConcreto[[#This Row],[RecebimentoID]],4),"CNSC",TEXT(ConsumoConcreto[[#This Row],[Ordem]],"0000"),UPPER(LEFT(ConsumoConcreto[[#This Row],[Destino]],3)))</f>
        <v>0184CNSC0361PAR</v>
      </c>
      <c r="B156" s="1">
        <v>361</v>
      </c>
      <c r="C156" s="2" t="s">
        <v>2158</v>
      </c>
      <c r="D156" s="2" t="s">
        <v>1992</v>
      </c>
      <c r="E156" s="18">
        <v>4</v>
      </c>
      <c r="F156" s="2" t="s">
        <v>25</v>
      </c>
      <c r="G156" s="36">
        <v>0.73263888888888884</v>
      </c>
      <c r="H156" s="2" t="s">
        <v>1965</v>
      </c>
      <c r="I1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56" s="22">
        <v>14</v>
      </c>
      <c r="K156" s="22">
        <v>14</v>
      </c>
      <c r="L156" s="37">
        <v>36892</v>
      </c>
      <c r="M156" s="2"/>
      <c r="N156" s="2" t="s">
        <v>1966</v>
      </c>
      <c r="O156" s="2" t="s">
        <v>27</v>
      </c>
      <c r="P156" s="2" t="s">
        <v>26</v>
      </c>
    </row>
    <row r="157" spans="1:16" ht="20.100000000000001" customHeight="1" x14ac:dyDescent="0.25">
      <c r="A157" s="26" t="str">
        <f>CONCATENATE(LEFT(ConsumoConcreto[[#This Row],[RecebimentoID]],4),"CNSC",TEXT(ConsumoConcreto[[#This Row],[Ordem]],"0000"),UPPER(LEFT(ConsumoConcreto[[#This Row],[Destino]],3)))</f>
        <v>0184CNSC0333RAD</v>
      </c>
      <c r="B157" s="1">
        <v>333</v>
      </c>
      <c r="C157" s="2" t="s">
        <v>2159</v>
      </c>
      <c r="D157" s="2" t="s">
        <v>1992</v>
      </c>
      <c r="E157" s="18">
        <v>4</v>
      </c>
      <c r="F157" s="2" t="s">
        <v>1801</v>
      </c>
      <c r="G157" s="36">
        <v>0.66666666666666663</v>
      </c>
      <c r="H157" s="2" t="s">
        <v>1968</v>
      </c>
      <c r="I1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57" s="22">
        <v>5.5</v>
      </c>
      <c r="K157" s="22">
        <v>5.5</v>
      </c>
      <c r="L157" s="37">
        <v>36892</v>
      </c>
      <c r="M157" s="2"/>
      <c r="N157" s="2" t="s">
        <v>1963</v>
      </c>
      <c r="O157" s="2" t="s">
        <v>27</v>
      </c>
      <c r="P157" s="2" t="s">
        <v>26</v>
      </c>
    </row>
    <row r="158" spans="1:16" ht="20.100000000000001" customHeight="1" x14ac:dyDescent="0.25">
      <c r="A158" s="26" t="str">
        <f>CONCATENATE(LEFT(ConsumoConcreto[[#This Row],[RecebimentoID]],4),"CNSC",TEXT(ConsumoConcreto[[#This Row],[Ordem]],"0000"),UPPER(LEFT(ConsumoConcreto[[#This Row],[Destino]],3)))</f>
        <v>0184CNSC0383PAR</v>
      </c>
      <c r="B158" s="1">
        <v>383</v>
      </c>
      <c r="C158" s="2" t="s">
        <v>2160</v>
      </c>
      <c r="D158" s="2" t="s">
        <v>1995</v>
      </c>
      <c r="E158" s="18">
        <v>4</v>
      </c>
      <c r="F158" s="2" t="s">
        <v>25</v>
      </c>
      <c r="G158" s="36">
        <v>0.87430555555555556</v>
      </c>
      <c r="H158" s="2" t="s">
        <v>1965</v>
      </c>
      <c r="I1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58" s="22">
        <v>18.5</v>
      </c>
      <c r="K158" s="22">
        <v>18.5</v>
      </c>
      <c r="L158" s="37">
        <v>36892</v>
      </c>
      <c r="M158" s="2"/>
      <c r="N158" s="2" t="s">
        <v>1966</v>
      </c>
      <c r="O158" s="2" t="s">
        <v>27</v>
      </c>
      <c r="P158" s="2" t="s">
        <v>26</v>
      </c>
    </row>
    <row r="159" spans="1:16" ht="20.100000000000001" customHeight="1" x14ac:dyDescent="0.25">
      <c r="A159" s="26" t="str">
        <f>CONCATENATE(LEFT(ConsumoConcreto[[#This Row],[RecebimentoID]],4),"CNSC",TEXT(ConsumoConcreto[[#This Row],[Ordem]],"0000"),UPPER(LEFT(ConsumoConcreto[[#This Row],[Destino]],3)))</f>
        <v>0184CNSC0366RAD</v>
      </c>
      <c r="B159" s="1">
        <v>366</v>
      </c>
      <c r="C159" s="2" t="s">
        <v>2161</v>
      </c>
      <c r="D159" s="2" t="s">
        <v>1995</v>
      </c>
      <c r="E159" s="18">
        <v>4</v>
      </c>
      <c r="F159" s="2" t="s">
        <v>1801</v>
      </c>
      <c r="G159" s="36">
        <v>0.63888888888888895</v>
      </c>
      <c r="H159" s="2" t="s">
        <v>1968</v>
      </c>
      <c r="I1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59" s="22">
        <v>8</v>
      </c>
      <c r="K159" s="22">
        <v>8</v>
      </c>
      <c r="L159" s="37">
        <v>36892</v>
      </c>
      <c r="M159" s="2" t="s">
        <v>2162</v>
      </c>
      <c r="N159" s="2" t="s">
        <v>1963</v>
      </c>
      <c r="O159" s="2" t="s">
        <v>27</v>
      </c>
      <c r="P159" s="2" t="s">
        <v>26</v>
      </c>
    </row>
    <row r="160" spans="1:16" ht="20.100000000000001" customHeight="1" x14ac:dyDescent="0.25">
      <c r="A160" s="26" t="str">
        <f>CONCATENATE(LEFT(ConsumoConcreto[[#This Row],[RecebimentoID]],4),"CNSC",TEXT(ConsumoConcreto[[#This Row],[Ordem]],"0000"),UPPER(LEFT(ConsumoConcreto[[#This Row],[Destino]],3)))</f>
        <v>0184CNSC0411PIL</v>
      </c>
      <c r="B160" s="1">
        <v>411</v>
      </c>
      <c r="C160" s="2" t="s">
        <v>2163</v>
      </c>
      <c r="D160" s="2" t="s">
        <v>1995</v>
      </c>
      <c r="E160" s="18">
        <v>4</v>
      </c>
      <c r="F160" s="2" t="s">
        <v>1801</v>
      </c>
      <c r="G160" s="36"/>
      <c r="H160" s="2" t="s">
        <v>1962</v>
      </c>
      <c r="I1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60" s="22">
        <v>0.1</v>
      </c>
      <c r="K160" s="22">
        <v>0.1</v>
      </c>
      <c r="L160" s="37">
        <v>36892</v>
      </c>
      <c r="M160" s="2"/>
      <c r="N160" s="2" t="s">
        <v>1963</v>
      </c>
      <c r="O160" s="2" t="s">
        <v>27</v>
      </c>
      <c r="P160" s="2" t="s">
        <v>26</v>
      </c>
    </row>
    <row r="161" spans="1:16" ht="20.100000000000001" customHeight="1" x14ac:dyDescent="0.25">
      <c r="A161" s="26" t="str">
        <f>CONCATENATE(LEFT(ConsumoConcreto[[#This Row],[RecebimentoID]],4),"CNSC",TEXT(ConsumoConcreto[[#This Row],[Ordem]],"0000"),UPPER(LEFT(ConsumoConcreto[[#This Row],[Destino]],3)))</f>
        <v>0184CNSC0435PAR</v>
      </c>
      <c r="B161" s="1">
        <v>435</v>
      </c>
      <c r="C161" s="2" t="s">
        <v>2164</v>
      </c>
      <c r="D161" s="2" t="s">
        <v>1999</v>
      </c>
      <c r="E161" s="18">
        <v>4</v>
      </c>
      <c r="F161" s="2" t="s">
        <v>25</v>
      </c>
      <c r="G161" s="36">
        <v>0.8881944444444444</v>
      </c>
      <c r="H161" s="2" t="s">
        <v>1965</v>
      </c>
      <c r="I1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61" s="22">
        <v>14.5</v>
      </c>
      <c r="K161" s="22">
        <v>14.5</v>
      </c>
      <c r="L161" s="37">
        <v>36892</v>
      </c>
      <c r="M161" s="2"/>
      <c r="N161" s="2" t="s">
        <v>1966</v>
      </c>
      <c r="O161" s="2" t="s">
        <v>27</v>
      </c>
      <c r="P161" s="2" t="s">
        <v>26</v>
      </c>
    </row>
    <row r="162" spans="1:16" ht="20.100000000000001" customHeight="1" x14ac:dyDescent="0.25">
      <c r="A162" s="26" t="str">
        <f>CONCATENATE(LEFT(ConsumoConcreto[[#This Row],[RecebimentoID]],4),"CNSC",TEXT(ConsumoConcreto[[#This Row],[Ordem]],"0000"),UPPER(LEFT(ConsumoConcreto[[#This Row],[Destino]],3)))</f>
        <v>0184CNSC0421RAD</v>
      </c>
      <c r="B162" s="1">
        <v>421</v>
      </c>
      <c r="C162" s="2" t="s">
        <v>2165</v>
      </c>
      <c r="D162" s="2" t="s">
        <v>1999</v>
      </c>
      <c r="E162" s="18">
        <v>4</v>
      </c>
      <c r="F162" s="2" t="s">
        <v>1801</v>
      </c>
      <c r="G162" s="36">
        <v>0.70833333333333337</v>
      </c>
      <c r="H162" s="2" t="s">
        <v>1968</v>
      </c>
      <c r="I1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62" s="22">
        <v>6</v>
      </c>
      <c r="K162" s="22">
        <v>6</v>
      </c>
      <c r="L162" s="37">
        <v>36892</v>
      </c>
      <c r="M162" s="2"/>
      <c r="N162" s="2" t="s">
        <v>1963</v>
      </c>
      <c r="O162" s="2" t="s">
        <v>27</v>
      </c>
      <c r="P162" s="2" t="s">
        <v>26</v>
      </c>
    </row>
    <row r="163" spans="1:16" ht="20.100000000000001" customHeight="1" x14ac:dyDescent="0.25">
      <c r="A163" s="26" t="str">
        <f>CONCATENATE(LEFT(ConsumoConcreto[[#This Row],[RecebimentoID]],4),"CNSC",TEXT(ConsumoConcreto[[#This Row],[Ordem]],"0000"),UPPER(LEFT(ConsumoConcreto[[#This Row],[Destino]],3)))</f>
        <v>0184CNSC0468PAR</v>
      </c>
      <c r="B163" s="1">
        <v>468</v>
      </c>
      <c r="C163" s="2" t="s">
        <v>2166</v>
      </c>
      <c r="D163" s="2" t="s">
        <v>2002</v>
      </c>
      <c r="E163" s="18">
        <v>4</v>
      </c>
      <c r="F163" s="2" t="s">
        <v>25</v>
      </c>
      <c r="G163" s="36">
        <v>0.74791666666666667</v>
      </c>
      <c r="H163" s="2" t="s">
        <v>1965</v>
      </c>
      <c r="I1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63" s="22">
        <v>18</v>
      </c>
      <c r="K163" s="22">
        <v>18</v>
      </c>
      <c r="L163" s="37">
        <v>36892</v>
      </c>
      <c r="M163" s="2"/>
      <c r="N163" s="2" t="s">
        <v>1966</v>
      </c>
      <c r="O163" s="2" t="s">
        <v>27</v>
      </c>
      <c r="P163" s="2" t="s">
        <v>26</v>
      </c>
    </row>
    <row r="164" spans="1:16" ht="20.100000000000001" customHeight="1" x14ac:dyDescent="0.25">
      <c r="A164" s="26" t="str">
        <f>CONCATENATE(LEFT(ConsumoConcreto[[#This Row],[RecebimentoID]],4),"CNSC",TEXT(ConsumoConcreto[[#This Row],[Ordem]],"0000"),UPPER(LEFT(ConsumoConcreto[[#This Row],[Destino]],3)))</f>
        <v>0184CNSC0442RAD</v>
      </c>
      <c r="B164" s="1">
        <v>442</v>
      </c>
      <c r="C164" s="2" t="s">
        <v>2167</v>
      </c>
      <c r="D164" s="2" t="s">
        <v>2002</v>
      </c>
      <c r="E164" s="18">
        <v>4</v>
      </c>
      <c r="F164" s="2" t="s">
        <v>1801</v>
      </c>
      <c r="G164" s="36">
        <v>0.4513888888888889</v>
      </c>
      <c r="H164" s="2" t="s">
        <v>1968</v>
      </c>
      <c r="I1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64" s="22">
        <v>7</v>
      </c>
      <c r="K164" s="22">
        <v>7</v>
      </c>
      <c r="L164" s="37">
        <v>36892</v>
      </c>
      <c r="M164" s="2"/>
      <c r="N164" s="2" t="s">
        <v>1963</v>
      </c>
      <c r="O164" s="2" t="s">
        <v>27</v>
      </c>
      <c r="P164" s="2" t="s">
        <v>26</v>
      </c>
    </row>
    <row r="165" spans="1:16" ht="20.100000000000001" customHeight="1" x14ac:dyDescent="0.25">
      <c r="A165" s="26" t="str">
        <f>CONCATENATE(LEFT(ConsumoConcreto[[#This Row],[RecebimentoID]],4),"CNSC",TEXT(ConsumoConcreto[[#This Row],[Ordem]],"0000"),UPPER(LEFT(ConsumoConcreto[[#This Row],[Destino]],3)))</f>
        <v>0184CNSC0501PAR</v>
      </c>
      <c r="B165" s="1">
        <v>501</v>
      </c>
      <c r="C165" s="2" t="s">
        <v>2168</v>
      </c>
      <c r="D165" s="2" t="s">
        <v>2005</v>
      </c>
      <c r="E165" s="18">
        <v>4</v>
      </c>
      <c r="F165" s="2" t="s">
        <v>25</v>
      </c>
      <c r="G165" s="36">
        <v>0.73611111111111116</v>
      </c>
      <c r="H165" s="2" t="s">
        <v>1965</v>
      </c>
      <c r="I1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65" s="22">
        <v>14.5</v>
      </c>
      <c r="K165" s="22">
        <v>14.5</v>
      </c>
      <c r="L165" s="37">
        <v>36892</v>
      </c>
      <c r="M165" s="2"/>
      <c r="N165" s="2" t="s">
        <v>1966</v>
      </c>
      <c r="O165" s="2" t="s">
        <v>27</v>
      </c>
      <c r="P165" s="2" t="s">
        <v>26</v>
      </c>
    </row>
    <row r="166" spans="1:16" ht="20.100000000000001" customHeight="1" x14ac:dyDescent="0.25">
      <c r="A166" s="26" t="str">
        <f>CONCATENATE(LEFT(ConsumoConcreto[[#This Row],[RecebimentoID]],4),"CNSC",TEXT(ConsumoConcreto[[#This Row],[Ordem]],"0000"),UPPER(LEFT(ConsumoConcreto[[#This Row],[Destino]],3)))</f>
        <v>0184CNSC0470RAD</v>
      </c>
      <c r="B166" s="1">
        <v>470</v>
      </c>
      <c r="C166" s="2" t="s">
        <v>2169</v>
      </c>
      <c r="D166" s="2" t="s">
        <v>2005</v>
      </c>
      <c r="E166" s="18">
        <v>4</v>
      </c>
      <c r="F166" s="2" t="s">
        <v>1801</v>
      </c>
      <c r="G166" s="36">
        <v>0.63194444444444442</v>
      </c>
      <c r="H166" s="2" t="s">
        <v>1968</v>
      </c>
      <c r="I1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66" s="22">
        <v>5.5</v>
      </c>
      <c r="K166" s="22">
        <v>5.5</v>
      </c>
      <c r="L166" s="37">
        <v>36892</v>
      </c>
      <c r="M166" s="2"/>
      <c r="N166" s="2" t="s">
        <v>1963</v>
      </c>
      <c r="O166" s="2" t="s">
        <v>27</v>
      </c>
      <c r="P166" s="2" t="s">
        <v>26</v>
      </c>
    </row>
    <row r="167" spans="1:16" ht="20.100000000000001" customHeight="1" x14ac:dyDescent="0.25">
      <c r="A167" s="26" t="str">
        <f>CONCATENATE(LEFT(ConsumoConcreto[[#This Row],[RecebimentoID]],4),"CNSC",TEXT(ConsumoConcreto[[#This Row],[Ordem]],"0000"),UPPER(LEFT(ConsumoConcreto[[#This Row],[Destino]],3)))</f>
        <v>0184CNSC0579PAR</v>
      </c>
      <c r="B167" s="1">
        <v>579</v>
      </c>
      <c r="C167" s="2" t="s">
        <v>2170</v>
      </c>
      <c r="D167" s="2" t="s">
        <v>2007</v>
      </c>
      <c r="E167" s="18">
        <v>4</v>
      </c>
      <c r="F167" s="2" t="s">
        <v>25</v>
      </c>
      <c r="G167" s="36">
        <v>0.87847222222222221</v>
      </c>
      <c r="H167" s="2" t="s">
        <v>1965</v>
      </c>
      <c r="I1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67" s="22">
        <v>18</v>
      </c>
      <c r="K167" s="22">
        <v>18</v>
      </c>
      <c r="L167" s="37">
        <v>36892</v>
      </c>
      <c r="M167" s="2"/>
      <c r="N167" s="2" t="s">
        <v>1966</v>
      </c>
      <c r="O167" s="2" t="s">
        <v>27</v>
      </c>
      <c r="P167" s="2" t="s">
        <v>26</v>
      </c>
    </row>
    <row r="168" spans="1:16" ht="20.100000000000001" customHeight="1" x14ac:dyDescent="0.25">
      <c r="A168" s="26" t="str">
        <f>CONCATENATE(LEFT(ConsumoConcreto[[#This Row],[RecebimentoID]],4),"CNSC",TEXT(ConsumoConcreto[[#This Row],[Ordem]],"0000"),UPPER(LEFT(ConsumoConcreto[[#This Row],[Destino]],3)))</f>
        <v>0184CNSC0565RAD</v>
      </c>
      <c r="B168" s="1">
        <v>565</v>
      </c>
      <c r="C168" s="2" t="s">
        <v>2171</v>
      </c>
      <c r="D168" s="2" t="s">
        <v>2007</v>
      </c>
      <c r="E168" s="18">
        <v>4</v>
      </c>
      <c r="F168" s="2" t="s">
        <v>1801</v>
      </c>
      <c r="G168" s="36"/>
      <c r="H168" s="2" t="s">
        <v>1968</v>
      </c>
      <c r="I1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68" s="22">
        <v>7</v>
      </c>
      <c r="K168" s="22">
        <v>7</v>
      </c>
      <c r="L168" s="37">
        <v>36892</v>
      </c>
      <c r="M168" s="2"/>
      <c r="N168" s="2" t="s">
        <v>1963</v>
      </c>
      <c r="O168" s="2" t="s">
        <v>27</v>
      </c>
      <c r="P168" s="2" t="s">
        <v>26</v>
      </c>
    </row>
    <row r="169" spans="1:16" ht="20.100000000000001" customHeight="1" x14ac:dyDescent="0.25">
      <c r="A169" s="26" t="str">
        <f>CONCATENATE(LEFT(ConsumoConcreto[[#This Row],[RecebimentoID]],4),"CNSC",TEXT(ConsumoConcreto[[#This Row],[Ordem]],"0000"),UPPER(LEFT(ConsumoConcreto[[#This Row],[Destino]],3)))</f>
        <v>0184CNSC0635PAR</v>
      </c>
      <c r="B169" s="1">
        <v>635</v>
      </c>
      <c r="C169" s="2" t="s">
        <v>2172</v>
      </c>
      <c r="D169" s="2" t="s">
        <v>2010</v>
      </c>
      <c r="E169" s="18">
        <v>4</v>
      </c>
      <c r="F169" s="2" t="s">
        <v>25</v>
      </c>
      <c r="G169" s="36">
        <v>0.39374999999999999</v>
      </c>
      <c r="H169" s="2" t="s">
        <v>1965</v>
      </c>
      <c r="I1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69" s="22">
        <v>14</v>
      </c>
      <c r="K169" s="22">
        <v>14</v>
      </c>
      <c r="L169" s="37">
        <v>36892</v>
      </c>
      <c r="M169" s="2" t="s">
        <v>2173</v>
      </c>
      <c r="N169" s="2" t="s">
        <v>1966</v>
      </c>
      <c r="O169" s="2" t="s">
        <v>27</v>
      </c>
      <c r="P169" s="2" t="s">
        <v>26</v>
      </c>
    </row>
    <row r="170" spans="1:16" ht="20.100000000000001" customHeight="1" x14ac:dyDescent="0.25">
      <c r="A170" s="26" t="str">
        <f>CONCATENATE(LEFT(ConsumoConcreto[[#This Row],[RecebimentoID]],4),"CNSC",TEXT(ConsumoConcreto[[#This Row],[Ordem]],"0000"),UPPER(LEFT(ConsumoConcreto[[#This Row],[Destino]],3)))</f>
        <v>0184CNSC0601RAD</v>
      </c>
      <c r="B170" s="1">
        <v>601</v>
      </c>
      <c r="C170" s="2" t="s">
        <v>2174</v>
      </c>
      <c r="D170" s="2" t="s">
        <v>2010</v>
      </c>
      <c r="E170" s="18">
        <v>4</v>
      </c>
      <c r="F170" s="2" t="s">
        <v>1801</v>
      </c>
      <c r="G170" s="36">
        <v>0.48958333333333331</v>
      </c>
      <c r="H170" s="2" t="s">
        <v>1968</v>
      </c>
      <c r="I1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70" s="22">
        <v>5.5</v>
      </c>
      <c r="K170" s="22">
        <v>5.5</v>
      </c>
      <c r="L170" s="37">
        <v>36892</v>
      </c>
      <c r="M170" s="2"/>
      <c r="N170" s="2" t="s">
        <v>1966</v>
      </c>
      <c r="O170" s="2" t="s">
        <v>27</v>
      </c>
      <c r="P170" s="2" t="s">
        <v>26</v>
      </c>
    </row>
    <row r="171" spans="1:16" ht="20.100000000000001" customHeight="1" x14ac:dyDescent="0.25">
      <c r="A171" s="26" t="str">
        <f>CONCATENATE(LEFT(ConsumoConcreto[[#This Row],[RecebimentoID]],4),"CNSC",TEXT(ConsumoConcreto[[#This Row],[Ordem]],"0000"),UPPER(LEFT(ConsumoConcreto[[#This Row],[Destino]],3)))</f>
        <v>0184CNSC0732PAR</v>
      </c>
      <c r="B171" s="1">
        <v>732</v>
      </c>
      <c r="C171" s="2" t="s">
        <v>2175</v>
      </c>
      <c r="D171" s="2" t="s">
        <v>2013</v>
      </c>
      <c r="E171" s="18">
        <v>4</v>
      </c>
      <c r="F171" s="2" t="s">
        <v>25</v>
      </c>
      <c r="G171" s="36">
        <v>0.79166666666666663</v>
      </c>
      <c r="H171" s="2" t="s">
        <v>1965</v>
      </c>
      <c r="I1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71" s="22">
        <v>14</v>
      </c>
      <c r="K171" s="22">
        <v>14</v>
      </c>
      <c r="L171" s="37">
        <v>36892</v>
      </c>
      <c r="M171" s="2"/>
      <c r="N171" s="2" t="s">
        <v>1966</v>
      </c>
      <c r="O171" s="2" t="s">
        <v>27</v>
      </c>
      <c r="P171" s="2" t="s">
        <v>26</v>
      </c>
    </row>
    <row r="172" spans="1:16" ht="20.100000000000001" customHeight="1" x14ac:dyDescent="0.25">
      <c r="A172" s="26" t="str">
        <f>CONCATENATE(LEFT(ConsumoConcreto[[#This Row],[RecebimentoID]],4),"CNSC",TEXT(ConsumoConcreto[[#This Row],[Ordem]],"0000"),UPPER(LEFT(ConsumoConcreto[[#This Row],[Destino]],3)))</f>
        <v>0184CNSC0711RAD</v>
      </c>
      <c r="B172" s="1">
        <v>711</v>
      </c>
      <c r="C172" s="2" t="s">
        <v>2176</v>
      </c>
      <c r="D172" s="2" t="s">
        <v>2013</v>
      </c>
      <c r="E172" s="18">
        <v>4</v>
      </c>
      <c r="F172" s="2" t="s">
        <v>1801</v>
      </c>
      <c r="G172" s="36">
        <v>0.55902777777777779</v>
      </c>
      <c r="H172" s="2" t="s">
        <v>1968</v>
      </c>
      <c r="I1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72" s="22">
        <v>5.2</v>
      </c>
      <c r="K172" s="22">
        <v>5.4809999999999999</v>
      </c>
      <c r="L172" s="37">
        <v>36892</v>
      </c>
      <c r="M172" s="2"/>
      <c r="N172" s="2" t="s">
        <v>1963</v>
      </c>
      <c r="O172" s="2" t="s">
        <v>27</v>
      </c>
      <c r="P172" s="2" t="s">
        <v>26</v>
      </c>
    </row>
    <row r="173" spans="1:16" ht="20.100000000000001" customHeight="1" x14ac:dyDescent="0.25">
      <c r="A173" s="26" t="str">
        <f>CONCATENATE(LEFT(ConsumoConcreto[[#This Row],[RecebimentoID]],4),"CNSC",TEXT(ConsumoConcreto[[#This Row],[Ordem]],"0000"),UPPER(LEFT(ConsumoConcreto[[#This Row],[Destino]],3)))</f>
        <v>0184CNSC0761PAR</v>
      </c>
      <c r="B173" s="1">
        <v>761</v>
      </c>
      <c r="C173" s="2" t="s">
        <v>2177</v>
      </c>
      <c r="D173" s="2" t="s">
        <v>2016</v>
      </c>
      <c r="E173" s="18">
        <v>4</v>
      </c>
      <c r="F173" s="2" t="s">
        <v>25</v>
      </c>
      <c r="G173" s="36">
        <v>0.80763888888888891</v>
      </c>
      <c r="H173" s="2" t="s">
        <v>1965</v>
      </c>
      <c r="I1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73" s="22">
        <v>18.5</v>
      </c>
      <c r="K173" s="22">
        <v>18.5</v>
      </c>
      <c r="L173" s="37">
        <v>36892</v>
      </c>
      <c r="M173" s="2"/>
      <c r="N173" s="2" t="s">
        <v>2017</v>
      </c>
      <c r="O173" s="2" t="s">
        <v>27</v>
      </c>
      <c r="P173" s="2" t="s">
        <v>26</v>
      </c>
    </row>
    <row r="174" spans="1:16" ht="20.100000000000001" customHeight="1" x14ac:dyDescent="0.25">
      <c r="A174" s="26" t="str">
        <f>CONCATENATE(LEFT(ConsumoConcreto[[#This Row],[RecebimentoID]],4),"CNSC",TEXT(ConsumoConcreto[[#This Row],[Ordem]],"0000"),UPPER(LEFT(ConsumoConcreto[[#This Row],[Destino]],3)))</f>
        <v>0184CNSC0743RAD</v>
      </c>
      <c r="B174" s="1">
        <v>743</v>
      </c>
      <c r="C174" s="2" t="s">
        <v>2178</v>
      </c>
      <c r="D174" s="2" t="s">
        <v>2016</v>
      </c>
      <c r="E174" s="18">
        <v>4</v>
      </c>
      <c r="F174" s="2" t="s">
        <v>1801</v>
      </c>
      <c r="G174" s="36">
        <v>0.70833333333333337</v>
      </c>
      <c r="H174" s="2" t="s">
        <v>1968</v>
      </c>
      <c r="I1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74" s="22">
        <v>7</v>
      </c>
      <c r="K174" s="22">
        <v>7</v>
      </c>
      <c r="L174" s="37">
        <v>36892</v>
      </c>
      <c r="M174" s="2"/>
      <c r="N174" s="2" t="s">
        <v>1963</v>
      </c>
      <c r="O174" s="2" t="s">
        <v>27</v>
      </c>
      <c r="P174" s="2" t="s">
        <v>26</v>
      </c>
    </row>
    <row r="175" spans="1:16" ht="20.100000000000001" customHeight="1" x14ac:dyDescent="0.25">
      <c r="A175" s="26" t="str">
        <f>CONCATENATE(LEFT(ConsumoConcreto[[#This Row],[RecebimentoID]],4),"CNSC",TEXT(ConsumoConcreto[[#This Row],[Ordem]],"0000"),UPPER(LEFT(ConsumoConcreto[[#This Row],[Destino]],3)))</f>
        <v>0184CNSC0793PAR</v>
      </c>
      <c r="B175" s="1">
        <v>793</v>
      </c>
      <c r="C175" s="2" t="s">
        <v>2179</v>
      </c>
      <c r="D175" s="2" t="s">
        <v>2021</v>
      </c>
      <c r="E175" s="18">
        <v>4</v>
      </c>
      <c r="F175" s="2" t="s">
        <v>25</v>
      </c>
      <c r="G175" s="36">
        <v>0.77777777777777779</v>
      </c>
      <c r="H175" s="2" t="s">
        <v>1965</v>
      </c>
      <c r="I1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75" s="22">
        <v>14.5</v>
      </c>
      <c r="K175" s="22">
        <v>14.5</v>
      </c>
      <c r="L175" s="37">
        <v>36892</v>
      </c>
      <c r="M175" s="2"/>
      <c r="N175" s="2" t="s">
        <v>1966</v>
      </c>
      <c r="O175" s="2" t="s">
        <v>27</v>
      </c>
      <c r="P175" s="2" t="s">
        <v>26</v>
      </c>
    </row>
    <row r="176" spans="1:16" ht="20.100000000000001" customHeight="1" x14ac:dyDescent="0.25">
      <c r="A176" s="26" t="str">
        <f>CONCATENATE(LEFT(ConsumoConcreto[[#This Row],[RecebimentoID]],4),"CNSC",TEXT(ConsumoConcreto[[#This Row],[Ordem]],"0000"),UPPER(LEFT(ConsumoConcreto[[#This Row],[Destino]],3)))</f>
        <v>0184CNSC0786RAD</v>
      </c>
      <c r="B176" s="1">
        <v>786</v>
      </c>
      <c r="C176" s="2" t="s">
        <v>2180</v>
      </c>
      <c r="D176" s="2" t="s">
        <v>2021</v>
      </c>
      <c r="E176" s="18">
        <v>4</v>
      </c>
      <c r="F176" s="2" t="s">
        <v>1801</v>
      </c>
      <c r="G176" s="36">
        <v>0.38055555555555554</v>
      </c>
      <c r="H176" s="2" t="s">
        <v>1968</v>
      </c>
      <c r="I1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76" s="22">
        <v>5.5</v>
      </c>
      <c r="K176" s="22">
        <v>5.5</v>
      </c>
      <c r="L176" s="37">
        <v>36892</v>
      </c>
      <c r="M176" s="2"/>
      <c r="N176" s="2" t="s">
        <v>1963</v>
      </c>
      <c r="O176" s="2" t="s">
        <v>27</v>
      </c>
      <c r="P176" s="2" t="s">
        <v>26</v>
      </c>
    </row>
    <row r="177" spans="1:16" ht="20.100000000000001" customHeight="1" x14ac:dyDescent="0.25">
      <c r="A177" s="26" t="str">
        <f>CONCATENATE(LEFT(ConsumoConcreto[[#This Row],[RecebimentoID]],4),"CNSC",TEXT(ConsumoConcreto[[#This Row],[Ordem]],"0000"),UPPER(LEFT(ConsumoConcreto[[#This Row],[Destino]],3)))</f>
        <v>0184CNSC0856PAR</v>
      </c>
      <c r="B177" s="1">
        <v>856</v>
      </c>
      <c r="C177" s="2" t="s">
        <v>2181</v>
      </c>
      <c r="D177" s="2" t="s">
        <v>2024</v>
      </c>
      <c r="E177" s="18">
        <v>4</v>
      </c>
      <c r="F177" s="2" t="s">
        <v>25</v>
      </c>
      <c r="G177" s="36">
        <v>0.68055555555555547</v>
      </c>
      <c r="H177" s="2" t="s">
        <v>1965</v>
      </c>
      <c r="I1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77" s="22">
        <v>14.5</v>
      </c>
      <c r="K177" s="22">
        <v>14.5</v>
      </c>
      <c r="L177" s="37">
        <v>36892</v>
      </c>
      <c r="M177" s="2"/>
      <c r="N177" s="2" t="s">
        <v>1966</v>
      </c>
      <c r="O177" s="2" t="s">
        <v>27</v>
      </c>
      <c r="P177" s="2" t="s">
        <v>26</v>
      </c>
    </row>
    <row r="178" spans="1:16" ht="20.100000000000001" customHeight="1" x14ac:dyDescent="0.25">
      <c r="A178" s="26" t="str">
        <f>CONCATENATE(LEFT(ConsumoConcreto[[#This Row],[RecebimentoID]],4),"CNSC",TEXT(ConsumoConcreto[[#This Row],[Ordem]],"0000"),UPPER(LEFT(ConsumoConcreto[[#This Row],[Destino]],3)))</f>
        <v>0184CNSC0835RAD</v>
      </c>
      <c r="B178" s="1">
        <v>835</v>
      </c>
      <c r="C178" s="2" t="s">
        <v>2182</v>
      </c>
      <c r="D178" s="2" t="s">
        <v>2024</v>
      </c>
      <c r="E178" s="18">
        <v>4</v>
      </c>
      <c r="F178" s="2" t="s">
        <v>1801</v>
      </c>
      <c r="G178" s="36">
        <v>0.59375</v>
      </c>
      <c r="H178" s="2" t="s">
        <v>1968</v>
      </c>
      <c r="I1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78" s="22">
        <v>5.5</v>
      </c>
      <c r="K178" s="22">
        <v>5.5</v>
      </c>
      <c r="L178" s="37">
        <v>36892</v>
      </c>
      <c r="M178" s="2"/>
      <c r="N178" s="2" t="s">
        <v>1963</v>
      </c>
      <c r="O178" s="2" t="s">
        <v>27</v>
      </c>
      <c r="P178" s="2" t="s">
        <v>26</v>
      </c>
    </row>
    <row r="179" spans="1:16" ht="20.100000000000001" customHeight="1" x14ac:dyDescent="0.25">
      <c r="A179" s="26" t="str">
        <f>CONCATENATE(LEFT(ConsumoConcreto[[#This Row],[RecebimentoID]],4),"CNSC",TEXT(ConsumoConcreto[[#This Row],[Ordem]],"0000"),UPPER(LEFT(ConsumoConcreto[[#This Row],[Destino]],3)))</f>
        <v>0184CNSC0915PAR</v>
      </c>
      <c r="B179" s="1">
        <v>915</v>
      </c>
      <c r="C179" s="2" t="s">
        <v>2183</v>
      </c>
      <c r="D179" s="2" t="s">
        <v>2030</v>
      </c>
      <c r="E179" s="18">
        <v>4</v>
      </c>
      <c r="F179" s="2" t="s">
        <v>25</v>
      </c>
      <c r="G179" s="36">
        <v>0.4284722222222222</v>
      </c>
      <c r="H179" s="2" t="s">
        <v>1965</v>
      </c>
      <c r="I1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79" s="22">
        <v>14.5</v>
      </c>
      <c r="K179" s="22">
        <v>14.5</v>
      </c>
      <c r="L179" s="37">
        <v>36892</v>
      </c>
      <c r="M179" s="2"/>
      <c r="N179" s="2" t="s">
        <v>1966</v>
      </c>
      <c r="O179" s="2" t="s">
        <v>27</v>
      </c>
      <c r="P179" s="2" t="s">
        <v>26</v>
      </c>
    </row>
    <row r="180" spans="1:16" ht="20.100000000000001" customHeight="1" x14ac:dyDescent="0.25">
      <c r="A180" s="26" t="str">
        <f>CONCATENATE(LEFT(ConsumoConcreto[[#This Row],[RecebimentoID]],4),"CNSC",TEXT(ConsumoConcreto[[#This Row],[Ordem]],"0000"),UPPER(LEFT(ConsumoConcreto[[#This Row],[Destino]],3)))</f>
        <v>0184CNSC0899RAD</v>
      </c>
      <c r="B180" s="1">
        <v>899</v>
      </c>
      <c r="C180" s="2" t="s">
        <v>2184</v>
      </c>
      <c r="D180" s="2" t="s">
        <v>2030</v>
      </c>
      <c r="E180" s="18">
        <v>4</v>
      </c>
      <c r="F180" s="2" t="s">
        <v>1801</v>
      </c>
      <c r="G180" s="36"/>
      <c r="H180" s="2" t="s">
        <v>1968</v>
      </c>
      <c r="I1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80" s="22">
        <v>7.58</v>
      </c>
      <c r="K180" s="22">
        <v>5.4809999999999999</v>
      </c>
      <c r="L180" s="37">
        <v>36892</v>
      </c>
      <c r="M180" s="2" t="s">
        <v>1971</v>
      </c>
      <c r="N180" s="2"/>
      <c r="O180" s="2" t="s">
        <v>27</v>
      </c>
      <c r="P180" s="2" t="s">
        <v>26</v>
      </c>
    </row>
    <row r="181" spans="1:16" ht="20.100000000000001" customHeight="1" x14ac:dyDescent="0.25">
      <c r="A181" s="26" t="str">
        <f>CONCATENATE(LEFT(ConsumoConcreto[[#This Row],[RecebimentoID]],4),"CNSC",TEXT(ConsumoConcreto[[#This Row],[Ordem]],"0000"),UPPER(LEFT(ConsumoConcreto[[#This Row],[Destino]],3)))</f>
        <v>0184CNSC1009PAR</v>
      </c>
      <c r="B181" s="1">
        <v>1009</v>
      </c>
      <c r="C181" s="2" t="s">
        <v>2185</v>
      </c>
      <c r="D181" s="2" t="s">
        <v>2033</v>
      </c>
      <c r="E181" s="18">
        <v>4</v>
      </c>
      <c r="F181" s="2" t="s">
        <v>25</v>
      </c>
      <c r="G181" s="36"/>
      <c r="H181" s="2" t="s">
        <v>1965</v>
      </c>
      <c r="I1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181" s="37">
        <v>36892</v>
      </c>
      <c r="M181" s="2"/>
      <c r="N181" s="2"/>
      <c r="O181" s="2" t="s">
        <v>27</v>
      </c>
      <c r="P181" s="2" t="s">
        <v>26</v>
      </c>
    </row>
    <row r="182" spans="1:16" ht="20.100000000000001" customHeight="1" x14ac:dyDescent="0.25">
      <c r="A182" s="26" t="str">
        <f>CONCATENATE(LEFT(ConsumoConcreto[[#This Row],[RecebimentoID]],4),"CNSC",TEXT(ConsumoConcreto[[#This Row],[Ordem]],"0000"),UPPER(LEFT(ConsumoConcreto[[#This Row],[Destino]],3)))</f>
        <v>0184CNSC1005RAD</v>
      </c>
      <c r="B182" s="1">
        <v>1005</v>
      </c>
      <c r="C182" s="2" t="s">
        <v>2186</v>
      </c>
      <c r="D182" s="2" t="s">
        <v>2033</v>
      </c>
      <c r="E182" s="18">
        <v>4</v>
      </c>
      <c r="F182" s="2" t="s">
        <v>1801</v>
      </c>
      <c r="G182" s="36"/>
      <c r="H182" s="2" t="s">
        <v>1968</v>
      </c>
      <c r="I1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L182" s="37">
        <v>36892</v>
      </c>
      <c r="M182" s="2"/>
      <c r="N182" s="2"/>
      <c r="O182" s="2" t="s">
        <v>27</v>
      </c>
      <c r="P182" s="2" t="s">
        <v>26</v>
      </c>
    </row>
    <row r="183" spans="1:16" ht="20.100000000000001" customHeight="1" x14ac:dyDescent="0.25">
      <c r="A183" s="26" t="str">
        <f>CONCATENATE(LEFT(ConsumoConcreto[[#This Row],[RecebimentoID]],4),"CNSC",TEXT(ConsumoConcreto[[#This Row],[Ordem]],"0000"),UPPER(LEFT(ConsumoConcreto[[#This Row],[Destino]],3)))</f>
        <v>0184CNSC1054PAR</v>
      </c>
      <c r="B183" s="1">
        <v>1054</v>
      </c>
      <c r="C183" s="2" t="s">
        <v>2187</v>
      </c>
      <c r="D183" s="2" t="s">
        <v>2036</v>
      </c>
      <c r="E183" s="18">
        <v>4</v>
      </c>
      <c r="F183" s="2" t="s">
        <v>25</v>
      </c>
      <c r="G183" s="36">
        <v>0.7631944444444444</v>
      </c>
      <c r="H183" s="2" t="s">
        <v>1965</v>
      </c>
      <c r="I1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83" s="22">
        <v>14.5</v>
      </c>
      <c r="K183" s="22">
        <v>14.5</v>
      </c>
      <c r="L183" s="37">
        <v>36892</v>
      </c>
      <c r="M183" s="2"/>
      <c r="N183" s="2" t="s">
        <v>1966</v>
      </c>
      <c r="O183" s="2" t="s">
        <v>27</v>
      </c>
      <c r="P183" s="2" t="s">
        <v>26</v>
      </c>
    </row>
    <row r="184" spans="1:16" ht="20.100000000000001" customHeight="1" x14ac:dyDescent="0.25">
      <c r="A184" s="26" t="str">
        <f>CONCATENATE(LEFT(ConsumoConcreto[[#This Row],[RecebimentoID]],4),"CNSC",TEXT(ConsumoConcreto[[#This Row],[Ordem]],"0000"),UPPER(LEFT(ConsumoConcreto[[#This Row],[Destino]],3)))</f>
        <v>0184CNSC1011RAD</v>
      </c>
      <c r="B184" s="1">
        <v>1011</v>
      </c>
      <c r="C184" s="2" t="s">
        <v>2188</v>
      </c>
      <c r="D184" s="2" t="s">
        <v>2036</v>
      </c>
      <c r="E184" s="18">
        <v>4</v>
      </c>
      <c r="F184" s="2" t="s">
        <v>1801</v>
      </c>
      <c r="G184" s="36">
        <v>0.4375</v>
      </c>
      <c r="H184" s="2" t="s">
        <v>1968</v>
      </c>
      <c r="I1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84" s="22">
        <v>5.5</v>
      </c>
      <c r="K184" s="22">
        <v>5.5</v>
      </c>
      <c r="L184" s="37">
        <v>36892</v>
      </c>
      <c r="M184" s="2"/>
      <c r="N184" s="2" t="s">
        <v>1963</v>
      </c>
      <c r="O184" s="2" t="s">
        <v>27</v>
      </c>
      <c r="P184" s="2" t="s">
        <v>26</v>
      </c>
    </row>
    <row r="185" spans="1:16" ht="20.100000000000001" customHeight="1" x14ac:dyDescent="0.25">
      <c r="A185" s="26" t="str">
        <f>CONCATENATE(LEFT(ConsumoConcreto[[#This Row],[RecebimentoID]],4),"CNSC",TEXT(ConsumoConcreto[[#This Row],[Ordem]],"0000"),UPPER(LEFT(ConsumoConcreto[[#This Row],[Destino]],3)))</f>
        <v>0184CNSC0022PIL</v>
      </c>
      <c r="B185" s="1">
        <v>22</v>
      </c>
      <c r="C185" s="2" t="s">
        <v>2189</v>
      </c>
      <c r="D185" s="2" t="s">
        <v>1961</v>
      </c>
      <c r="E185" s="18">
        <v>5</v>
      </c>
      <c r="F185" s="2" t="s">
        <v>25</v>
      </c>
      <c r="G185" s="36"/>
      <c r="H185" s="2" t="s">
        <v>1962</v>
      </c>
      <c r="I1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85" s="22">
        <v>0.17</v>
      </c>
      <c r="K185" s="22">
        <v>0.1</v>
      </c>
      <c r="L185" s="37">
        <v>36892</v>
      </c>
      <c r="M185" s="2"/>
      <c r="N185" s="2" t="s">
        <v>1963</v>
      </c>
      <c r="O185" s="2" t="s">
        <v>27</v>
      </c>
      <c r="P185" s="2" t="s">
        <v>26</v>
      </c>
    </row>
    <row r="186" spans="1:16" ht="20.100000000000001" customHeight="1" x14ac:dyDescent="0.25">
      <c r="A186" s="26" t="str">
        <f>CONCATENATE(LEFT(ConsumoConcreto[[#This Row],[RecebimentoID]],4),"CNSC",TEXT(ConsumoConcreto[[#This Row],[Ordem]],"0000"),UPPER(LEFT(ConsumoConcreto[[#This Row],[Destino]],3)))</f>
        <v>0184CNSC0013PAR</v>
      </c>
      <c r="B186" s="1">
        <v>13</v>
      </c>
      <c r="C186" s="2" t="s">
        <v>2190</v>
      </c>
      <c r="D186" s="2" t="s">
        <v>1961</v>
      </c>
      <c r="E186" s="18">
        <v>5</v>
      </c>
      <c r="F186" s="2" t="s">
        <v>1780</v>
      </c>
      <c r="G186" s="36"/>
      <c r="H186" s="2" t="s">
        <v>1965</v>
      </c>
      <c r="I1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86" s="22">
        <v>14</v>
      </c>
      <c r="K186" s="22">
        <v>14</v>
      </c>
      <c r="L186" s="37">
        <v>36892</v>
      </c>
      <c r="M186" s="2"/>
      <c r="N186" s="2" t="s">
        <v>1966</v>
      </c>
      <c r="O186" s="2" t="s">
        <v>27</v>
      </c>
      <c r="P186" s="2" t="s">
        <v>26</v>
      </c>
    </row>
    <row r="187" spans="1:16" ht="20.100000000000001" customHeight="1" x14ac:dyDescent="0.25">
      <c r="A187" s="26" t="str">
        <f>CONCATENATE(LEFT(ConsumoConcreto[[#This Row],[RecebimentoID]],4),"CNSC",TEXT(ConsumoConcreto[[#This Row],[Ordem]],"0000"),UPPER(LEFT(ConsumoConcreto[[#This Row],[Destino]],3)))</f>
        <v>0184CNSC0005RAD</v>
      </c>
      <c r="B187" s="1">
        <v>5</v>
      </c>
      <c r="C187" s="2" t="s">
        <v>2191</v>
      </c>
      <c r="D187" s="2" t="s">
        <v>1961</v>
      </c>
      <c r="E187" s="18">
        <v>5</v>
      </c>
      <c r="F187" s="2" t="s">
        <v>1801</v>
      </c>
      <c r="G187" s="36"/>
      <c r="H187" s="2" t="s">
        <v>1968</v>
      </c>
      <c r="I1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87" s="22">
        <v>5.5</v>
      </c>
      <c r="K187" s="22">
        <v>5.5</v>
      </c>
      <c r="L187" s="37">
        <v>36892</v>
      </c>
      <c r="M187" s="2"/>
      <c r="N187" s="2"/>
      <c r="O187" s="2" t="s">
        <v>27</v>
      </c>
      <c r="P187" s="2" t="s">
        <v>26</v>
      </c>
    </row>
    <row r="188" spans="1:16" ht="20.100000000000001" customHeight="1" x14ac:dyDescent="0.25">
      <c r="A188" s="26" t="str">
        <f>CONCATENATE(LEFT(ConsumoConcreto[[#This Row],[RecebimentoID]],4),"CNSC",TEXT(ConsumoConcreto[[#This Row],[Ordem]],"0000"),UPPER(LEFT(ConsumoConcreto[[#This Row],[Destino]],3)))</f>
        <v>0184CNSC0054PAR</v>
      </c>
      <c r="B188" s="1">
        <v>54</v>
      </c>
      <c r="C188" s="2" t="s">
        <v>2192</v>
      </c>
      <c r="D188" s="2" t="s">
        <v>1970</v>
      </c>
      <c r="E188" s="18">
        <v>5</v>
      </c>
      <c r="F188" s="2" t="s">
        <v>25</v>
      </c>
      <c r="G188" s="36"/>
      <c r="H188" s="2" t="s">
        <v>1965</v>
      </c>
      <c r="I1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88" s="22">
        <v>14.5</v>
      </c>
      <c r="K188" s="22">
        <v>14.5</v>
      </c>
      <c r="L188" s="37">
        <v>36892</v>
      </c>
      <c r="M188" s="2"/>
      <c r="N188" s="2" t="s">
        <v>1966</v>
      </c>
      <c r="O188" s="2" t="s">
        <v>27</v>
      </c>
      <c r="P188" s="2" t="s">
        <v>26</v>
      </c>
    </row>
    <row r="189" spans="1:16" ht="20.100000000000001" customHeight="1" x14ac:dyDescent="0.25">
      <c r="A189" s="26" t="str">
        <f>CONCATENATE(LEFT(ConsumoConcreto[[#This Row],[RecebimentoID]],4),"CNSC",TEXT(ConsumoConcreto[[#This Row],[Ordem]],"0000"),UPPER(LEFT(ConsumoConcreto[[#This Row],[Destino]],3)))</f>
        <v>0184CNSC0037RAD</v>
      </c>
      <c r="B189" s="1">
        <v>37</v>
      </c>
      <c r="C189" s="2" t="s">
        <v>2193</v>
      </c>
      <c r="D189" s="2" t="s">
        <v>1970</v>
      </c>
      <c r="E189" s="18">
        <v>5</v>
      </c>
      <c r="F189" s="2" t="s">
        <v>1801</v>
      </c>
      <c r="G189" s="36"/>
      <c r="H189" s="2" t="s">
        <v>1968</v>
      </c>
      <c r="I1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89" s="22">
        <v>5.5</v>
      </c>
      <c r="K189" s="22">
        <v>5.5</v>
      </c>
      <c r="L189" s="37">
        <v>36892</v>
      </c>
      <c r="M189" s="2"/>
      <c r="N189" s="2"/>
      <c r="O189" s="2" t="s">
        <v>27</v>
      </c>
      <c r="P189" s="2" t="s">
        <v>26</v>
      </c>
    </row>
    <row r="190" spans="1:16" ht="20.100000000000001" customHeight="1" x14ac:dyDescent="0.25">
      <c r="A190" s="26" t="str">
        <f>CONCATENATE(LEFT(ConsumoConcreto[[#This Row],[RecebimentoID]],4),"CNSC",TEXT(ConsumoConcreto[[#This Row],[Ordem]],"0000"),UPPER(LEFT(ConsumoConcreto[[#This Row],[Destino]],3)))</f>
        <v>0184CNSC0080PIL</v>
      </c>
      <c r="B190" s="1">
        <v>80</v>
      </c>
      <c r="C190" s="2" t="s">
        <v>2194</v>
      </c>
      <c r="D190" s="2" t="s">
        <v>1970</v>
      </c>
      <c r="E190" s="18">
        <v>5</v>
      </c>
      <c r="F190" s="2" t="s">
        <v>1801</v>
      </c>
      <c r="G190" s="36"/>
      <c r="H190" s="2" t="s">
        <v>1962</v>
      </c>
      <c r="I1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90" s="22">
        <v>0.25</v>
      </c>
      <c r="K190" s="22">
        <v>0.1</v>
      </c>
      <c r="L190" s="37">
        <v>36892</v>
      </c>
      <c r="M190" s="2"/>
      <c r="N190" s="2" t="s">
        <v>1963</v>
      </c>
      <c r="O190" s="2" t="s">
        <v>27</v>
      </c>
      <c r="P190" s="2" t="s">
        <v>26</v>
      </c>
    </row>
    <row r="191" spans="1:16" ht="20.100000000000001" customHeight="1" x14ac:dyDescent="0.25">
      <c r="A191" s="26" t="str">
        <f>CONCATENATE(LEFT(ConsumoConcreto[[#This Row],[RecebimentoID]],4),"CNSC",TEXT(ConsumoConcreto[[#This Row],[Ordem]],"0000"),UPPER(LEFT(ConsumoConcreto[[#This Row],[Destino]],3)))</f>
        <v>0184CNSC0155PAR</v>
      </c>
      <c r="B191" s="1">
        <v>155</v>
      </c>
      <c r="C191" s="2" t="s">
        <v>2195</v>
      </c>
      <c r="D191" s="2" t="s">
        <v>1975</v>
      </c>
      <c r="E191" s="18">
        <v>5</v>
      </c>
      <c r="F191" s="2" t="s">
        <v>25</v>
      </c>
      <c r="G191" s="36">
        <v>0.84027777777777779</v>
      </c>
      <c r="H191" s="2" t="s">
        <v>1965</v>
      </c>
      <c r="I1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91" s="22">
        <v>15</v>
      </c>
      <c r="K191" s="22">
        <v>15</v>
      </c>
      <c r="L191" s="37">
        <v>36892</v>
      </c>
      <c r="M191" s="2"/>
      <c r="N191" s="2" t="s">
        <v>1966</v>
      </c>
      <c r="O191" s="2" t="s">
        <v>27</v>
      </c>
      <c r="P191" s="2" t="s">
        <v>26</v>
      </c>
    </row>
    <row r="192" spans="1:16" ht="20.100000000000001" customHeight="1" x14ac:dyDescent="0.25">
      <c r="A192" s="26" t="str">
        <f>CONCATENATE(LEFT(ConsumoConcreto[[#This Row],[RecebimentoID]],4),"CNSC",TEXT(ConsumoConcreto[[#This Row],[Ordem]],"0000"),UPPER(LEFT(ConsumoConcreto[[#This Row],[Destino]],3)))</f>
        <v>0184CNSC0177PIL</v>
      </c>
      <c r="B192" s="1">
        <v>177</v>
      </c>
      <c r="C192" s="2" t="s">
        <v>2196</v>
      </c>
      <c r="D192" s="2" t="s">
        <v>1975</v>
      </c>
      <c r="E192" s="18">
        <v>5</v>
      </c>
      <c r="F192" s="2" t="s">
        <v>25</v>
      </c>
      <c r="G192" s="36"/>
      <c r="H192" s="2" t="s">
        <v>1962</v>
      </c>
      <c r="I1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92" s="22">
        <v>0.1</v>
      </c>
      <c r="K192" s="22">
        <v>0.1</v>
      </c>
      <c r="L192" s="37">
        <v>36892</v>
      </c>
      <c r="M192" s="2"/>
      <c r="N192" s="2" t="s">
        <v>1963</v>
      </c>
      <c r="O192" s="2" t="s">
        <v>27</v>
      </c>
      <c r="P192" s="2" t="s">
        <v>26</v>
      </c>
    </row>
    <row r="193" spans="1:16" ht="20.100000000000001" customHeight="1" x14ac:dyDescent="0.25">
      <c r="A193" s="26" t="str">
        <f>CONCATENATE(LEFT(ConsumoConcreto[[#This Row],[RecebimentoID]],4),"CNSC",TEXT(ConsumoConcreto[[#This Row],[Ordem]],"0000"),UPPER(LEFT(ConsumoConcreto[[#This Row],[Destino]],3)))</f>
        <v>0184CNSC0111RAD</v>
      </c>
      <c r="B193" s="1">
        <v>111</v>
      </c>
      <c r="C193" s="2" t="s">
        <v>2197</v>
      </c>
      <c r="D193" s="2" t="s">
        <v>1975</v>
      </c>
      <c r="E193" s="18">
        <v>5</v>
      </c>
      <c r="F193" s="2" t="s">
        <v>1801</v>
      </c>
      <c r="G193" s="36"/>
      <c r="H193" s="2" t="s">
        <v>1968</v>
      </c>
      <c r="I1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93" s="22">
        <v>5.5</v>
      </c>
      <c r="K193" s="22">
        <v>5.5</v>
      </c>
      <c r="L193" s="37">
        <v>36892</v>
      </c>
      <c r="M193" s="2"/>
      <c r="N193" s="2" t="s">
        <v>1966</v>
      </c>
      <c r="O193" s="2" t="s">
        <v>27</v>
      </c>
      <c r="P193" s="2" t="s">
        <v>26</v>
      </c>
    </row>
    <row r="194" spans="1:16" ht="20.100000000000001" customHeight="1" x14ac:dyDescent="0.25">
      <c r="A194" s="26" t="str">
        <f>CONCATENATE(LEFT(ConsumoConcreto[[#This Row],[RecebimentoID]],4),"CNSC",TEXT(ConsumoConcreto[[#This Row],[Ordem]],"0000"),UPPER(LEFT(ConsumoConcreto[[#This Row],[Destino]],3)))</f>
        <v>0184CNSC0240PAR</v>
      </c>
      <c r="B194" s="1">
        <v>240</v>
      </c>
      <c r="C194" s="2" t="s">
        <v>2198</v>
      </c>
      <c r="D194" s="2" t="s">
        <v>1979</v>
      </c>
      <c r="E194" s="18">
        <v>5</v>
      </c>
      <c r="F194" s="2" t="s">
        <v>25</v>
      </c>
      <c r="G194" s="36">
        <v>0.77777777777777779</v>
      </c>
      <c r="H194" s="2" t="s">
        <v>1965</v>
      </c>
      <c r="I1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94" s="22">
        <v>15</v>
      </c>
      <c r="K194" s="22">
        <v>15</v>
      </c>
      <c r="L194" s="37">
        <v>36892</v>
      </c>
      <c r="M194" s="2"/>
      <c r="N194" s="2" t="s">
        <v>1966</v>
      </c>
      <c r="O194" s="2" t="s">
        <v>27</v>
      </c>
      <c r="P194" s="2" t="s">
        <v>26</v>
      </c>
    </row>
    <row r="195" spans="1:16" ht="20.100000000000001" customHeight="1" x14ac:dyDescent="0.25">
      <c r="A195" s="26" t="str">
        <f>CONCATENATE(LEFT(ConsumoConcreto[[#This Row],[RecebimentoID]],4),"CNSC",TEXT(ConsumoConcreto[[#This Row],[Ordem]],"0000"),UPPER(LEFT(ConsumoConcreto[[#This Row],[Destino]],3)))</f>
        <v>0184CNSC0183RAD</v>
      </c>
      <c r="B195" s="1">
        <v>183</v>
      </c>
      <c r="C195" s="2" t="s">
        <v>2199</v>
      </c>
      <c r="D195" s="2" t="s">
        <v>1979</v>
      </c>
      <c r="E195" s="18">
        <v>5</v>
      </c>
      <c r="F195" s="2" t="s">
        <v>1801</v>
      </c>
      <c r="G195" s="36"/>
      <c r="H195" s="2" t="s">
        <v>1968</v>
      </c>
      <c r="I1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95" s="22">
        <v>7</v>
      </c>
      <c r="K195" s="22">
        <v>6.5</v>
      </c>
      <c r="L195" s="37">
        <v>36892</v>
      </c>
      <c r="M195" s="2" t="s">
        <v>1982</v>
      </c>
      <c r="N195" s="2" t="s">
        <v>1966</v>
      </c>
      <c r="O195" s="2" t="s">
        <v>27</v>
      </c>
      <c r="P195" s="2" t="s">
        <v>26</v>
      </c>
    </row>
    <row r="196" spans="1:16" ht="20.100000000000001" customHeight="1" x14ac:dyDescent="0.25">
      <c r="A196" s="26" t="str">
        <f>CONCATENATE(LEFT(ConsumoConcreto[[#This Row],[RecebimentoID]],4),"CNSC",TEXT(ConsumoConcreto[[#This Row],[Ordem]],"0000"),UPPER(LEFT(ConsumoConcreto[[#This Row],[Destino]],3)))</f>
        <v>0184CNSC0253PIL</v>
      </c>
      <c r="B196" s="1">
        <v>253</v>
      </c>
      <c r="C196" s="2" t="s">
        <v>2200</v>
      </c>
      <c r="D196" s="2" t="s">
        <v>1979</v>
      </c>
      <c r="E196" s="18">
        <v>5</v>
      </c>
      <c r="F196" s="2" t="s">
        <v>1801</v>
      </c>
      <c r="G196" s="36">
        <v>0.66666666666666663</v>
      </c>
      <c r="H196" s="2" t="s">
        <v>1962</v>
      </c>
      <c r="I1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96" s="22">
        <v>0.1</v>
      </c>
      <c r="K196" s="22">
        <v>0.1</v>
      </c>
      <c r="L196" s="37">
        <v>36892</v>
      </c>
      <c r="M196" s="2"/>
      <c r="N196" s="2" t="s">
        <v>1963</v>
      </c>
      <c r="O196" s="2" t="s">
        <v>27</v>
      </c>
      <c r="P196" s="2" t="s">
        <v>26</v>
      </c>
    </row>
    <row r="197" spans="1:16" ht="20.100000000000001" customHeight="1" x14ac:dyDescent="0.25">
      <c r="A197" s="26" t="str">
        <f>CONCATENATE(LEFT(ConsumoConcreto[[#This Row],[RecebimentoID]],4),"CNSC",TEXT(ConsumoConcreto[[#This Row],[Ordem]],"0000"),UPPER(LEFT(ConsumoConcreto[[#This Row],[Destino]],3)))</f>
        <v>0184CNSC0277PAR</v>
      </c>
      <c r="B197" s="1">
        <v>277</v>
      </c>
      <c r="C197" s="2" t="s">
        <v>2201</v>
      </c>
      <c r="D197" s="2" t="s">
        <v>1985</v>
      </c>
      <c r="E197" s="18">
        <v>5</v>
      </c>
      <c r="F197" s="2" t="s">
        <v>25</v>
      </c>
      <c r="G197" s="36">
        <v>0.78680555555555554</v>
      </c>
      <c r="H197" s="2" t="s">
        <v>1965</v>
      </c>
      <c r="I1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97" s="22">
        <v>14.5</v>
      </c>
      <c r="K197" s="22">
        <v>14.5</v>
      </c>
      <c r="L197" s="37">
        <v>36892</v>
      </c>
      <c r="M197" s="2"/>
      <c r="N197" s="2" t="s">
        <v>2017</v>
      </c>
      <c r="O197" s="2" t="s">
        <v>27</v>
      </c>
      <c r="P197" s="2" t="s">
        <v>26</v>
      </c>
    </row>
    <row r="198" spans="1:16" ht="20.100000000000001" customHeight="1" x14ac:dyDescent="0.25">
      <c r="A198" s="26" t="str">
        <f>CONCATENATE(LEFT(ConsumoConcreto[[#This Row],[RecebimentoID]],4),"CNSC",TEXT(ConsumoConcreto[[#This Row],[Ordem]],"0000"),UPPER(LEFT(ConsumoConcreto[[#This Row],[Destino]],3)))</f>
        <v>0184CNSC0271RAD</v>
      </c>
      <c r="B198" s="1">
        <v>271</v>
      </c>
      <c r="C198" s="2" t="s">
        <v>2202</v>
      </c>
      <c r="D198" s="2" t="s">
        <v>1985</v>
      </c>
      <c r="E198" s="18">
        <v>5</v>
      </c>
      <c r="F198" s="2" t="s">
        <v>1801</v>
      </c>
      <c r="G198" s="36">
        <v>0.50347222222222221</v>
      </c>
      <c r="H198" s="2" t="s">
        <v>1968</v>
      </c>
      <c r="I1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98" s="22">
        <v>5.5</v>
      </c>
      <c r="K198" s="22">
        <v>5.5</v>
      </c>
      <c r="L198" s="37">
        <v>36892</v>
      </c>
      <c r="M198" s="2"/>
      <c r="N198" s="2" t="s">
        <v>1963</v>
      </c>
      <c r="O198" s="2" t="s">
        <v>27</v>
      </c>
      <c r="P198" s="2" t="s">
        <v>26</v>
      </c>
    </row>
    <row r="199" spans="1:16" ht="20.100000000000001" customHeight="1" x14ac:dyDescent="0.25">
      <c r="A199" s="26" t="str">
        <f>CONCATENATE(LEFT(ConsumoConcreto[[#This Row],[RecebimentoID]],4),"CNSC",TEXT(ConsumoConcreto[[#This Row],[Ordem]],"0000"),UPPER(LEFT(ConsumoConcreto[[#This Row],[Destino]],3)))</f>
        <v>0184CNSC0292PIL</v>
      </c>
      <c r="B199" s="1">
        <v>292</v>
      </c>
      <c r="C199" s="2" t="s">
        <v>2203</v>
      </c>
      <c r="D199" s="2" t="s">
        <v>1985</v>
      </c>
      <c r="E199" s="18">
        <v>5</v>
      </c>
      <c r="F199" s="2" t="s">
        <v>1801</v>
      </c>
      <c r="G199" s="36">
        <v>0.70833333333333337</v>
      </c>
      <c r="H199" s="2" t="s">
        <v>1962</v>
      </c>
      <c r="I1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199" s="22">
        <v>0.1</v>
      </c>
      <c r="K199" s="22">
        <v>0.1</v>
      </c>
      <c r="L199" s="37">
        <v>36892</v>
      </c>
      <c r="M199" s="2"/>
      <c r="N199" s="2" t="s">
        <v>1963</v>
      </c>
      <c r="O199" s="2" t="s">
        <v>27</v>
      </c>
      <c r="P199" s="2" t="s">
        <v>26</v>
      </c>
    </row>
    <row r="200" spans="1:16" ht="20.100000000000001" customHeight="1" x14ac:dyDescent="0.25">
      <c r="A200" s="26" t="str">
        <f>CONCATENATE(LEFT(ConsumoConcreto[[#This Row],[RecebimentoID]],4),"CNSC",TEXT(ConsumoConcreto[[#This Row],[Ordem]],"0000"),UPPER(LEFT(ConsumoConcreto[[#This Row],[Destino]],3)))</f>
        <v>0184CNSC0330PAR</v>
      </c>
      <c r="B200" s="1">
        <v>330</v>
      </c>
      <c r="C200" s="2" t="s">
        <v>2204</v>
      </c>
      <c r="D200" s="2" t="s">
        <v>1989</v>
      </c>
      <c r="E200" s="18">
        <v>5</v>
      </c>
      <c r="F200" s="2" t="s">
        <v>25</v>
      </c>
      <c r="G200" s="36">
        <v>0.77361111111111114</v>
      </c>
      <c r="H200" s="2" t="s">
        <v>1965</v>
      </c>
      <c r="I2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00" s="22">
        <v>18</v>
      </c>
      <c r="K200" s="22">
        <v>18</v>
      </c>
      <c r="L200" s="37">
        <v>36892</v>
      </c>
      <c r="M200" s="2"/>
      <c r="N200" s="2" t="s">
        <v>1966</v>
      </c>
      <c r="O200" s="2" t="s">
        <v>27</v>
      </c>
      <c r="P200" s="2" t="s">
        <v>26</v>
      </c>
    </row>
    <row r="201" spans="1:16" ht="20.100000000000001" customHeight="1" x14ac:dyDescent="0.25">
      <c r="A201" s="26" t="str">
        <f>CONCATENATE(LEFT(ConsumoConcreto[[#This Row],[RecebimentoID]],4),"CNSC",TEXT(ConsumoConcreto[[#This Row],[Ordem]],"0000"),UPPER(LEFT(ConsumoConcreto[[#This Row],[Destino]],3)))</f>
        <v>0184CNSC0314RAD</v>
      </c>
      <c r="B201" s="1">
        <v>314</v>
      </c>
      <c r="C201" s="2" t="s">
        <v>2205</v>
      </c>
      <c r="D201" s="2" t="s">
        <v>1989</v>
      </c>
      <c r="E201" s="18">
        <v>5</v>
      </c>
      <c r="F201" s="2" t="s">
        <v>1801</v>
      </c>
      <c r="G201" s="36">
        <v>0.6875</v>
      </c>
      <c r="H201" s="2" t="s">
        <v>1968</v>
      </c>
      <c r="I2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01" s="22">
        <v>7</v>
      </c>
      <c r="K201" s="22">
        <v>7</v>
      </c>
      <c r="L201" s="37">
        <v>36892</v>
      </c>
      <c r="M201" s="2"/>
      <c r="N201" s="2" t="s">
        <v>1963</v>
      </c>
      <c r="O201" s="2" t="s">
        <v>27</v>
      </c>
      <c r="P201" s="2" t="s">
        <v>26</v>
      </c>
    </row>
    <row r="202" spans="1:16" ht="20.100000000000001" customHeight="1" x14ac:dyDescent="0.25">
      <c r="A202" s="26" t="str">
        <f>CONCATENATE(LEFT(ConsumoConcreto[[#This Row],[RecebimentoID]],4),"CNSC",TEXT(ConsumoConcreto[[#This Row],[Ordem]],"0000"),UPPER(LEFT(ConsumoConcreto[[#This Row],[Destino]],3)))</f>
        <v>0184CNSC0349PAR</v>
      </c>
      <c r="B202" s="1">
        <v>349</v>
      </c>
      <c r="C202" s="2" t="s">
        <v>2206</v>
      </c>
      <c r="D202" s="2" t="s">
        <v>1992</v>
      </c>
      <c r="E202" s="18">
        <v>5</v>
      </c>
      <c r="F202" s="2" t="s">
        <v>25</v>
      </c>
      <c r="G202" s="36">
        <v>0.72152777777777777</v>
      </c>
      <c r="H202" s="2" t="s">
        <v>1965</v>
      </c>
      <c r="I2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02" s="22">
        <v>14.5</v>
      </c>
      <c r="K202" s="22">
        <v>14.5</v>
      </c>
      <c r="L202" s="37">
        <v>36892</v>
      </c>
      <c r="M202" s="2"/>
      <c r="N202" s="2" t="s">
        <v>1966</v>
      </c>
      <c r="O202" s="2" t="s">
        <v>27</v>
      </c>
      <c r="P202" s="2" t="s">
        <v>26</v>
      </c>
    </row>
    <row r="203" spans="1:16" ht="20.100000000000001" customHeight="1" x14ac:dyDescent="0.25">
      <c r="A203" s="26" t="str">
        <f>CONCATENATE(LEFT(ConsumoConcreto[[#This Row],[RecebimentoID]],4),"CNSC",TEXT(ConsumoConcreto[[#This Row],[Ordem]],"0000"),UPPER(LEFT(ConsumoConcreto[[#This Row],[Destino]],3)))</f>
        <v>0184CNSC0334RAD</v>
      </c>
      <c r="B203" s="1">
        <v>334</v>
      </c>
      <c r="C203" s="2" t="s">
        <v>2207</v>
      </c>
      <c r="D203" s="2" t="s">
        <v>1992</v>
      </c>
      <c r="E203" s="18">
        <v>5</v>
      </c>
      <c r="F203" s="2" t="s">
        <v>1801</v>
      </c>
      <c r="G203" s="36">
        <v>0.63888888888888895</v>
      </c>
      <c r="H203" s="2" t="s">
        <v>1968</v>
      </c>
      <c r="I2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03" s="22">
        <v>5.5</v>
      </c>
      <c r="K203" s="22">
        <v>5.5</v>
      </c>
      <c r="L203" s="37">
        <v>36892</v>
      </c>
      <c r="M203" s="2" t="s">
        <v>2208</v>
      </c>
      <c r="N203" s="2" t="s">
        <v>2017</v>
      </c>
      <c r="O203" s="2" t="s">
        <v>27</v>
      </c>
      <c r="P203" s="2" t="s">
        <v>26</v>
      </c>
    </row>
    <row r="204" spans="1:16" ht="20.100000000000001" customHeight="1" x14ac:dyDescent="0.25">
      <c r="A204" s="26" t="str">
        <f>CONCATENATE(LEFT(ConsumoConcreto[[#This Row],[RecebimentoID]],4),"CNSC",TEXT(ConsumoConcreto[[#This Row],[Ordem]],"0000"),UPPER(LEFT(ConsumoConcreto[[#This Row],[Destino]],3)))</f>
        <v>0184CNSC0399PIL</v>
      </c>
      <c r="B204" s="1">
        <v>399</v>
      </c>
      <c r="C204" s="2" t="s">
        <v>2209</v>
      </c>
      <c r="D204" s="2" t="s">
        <v>1995</v>
      </c>
      <c r="E204" s="18">
        <v>5</v>
      </c>
      <c r="F204" s="2" t="s">
        <v>25</v>
      </c>
      <c r="G204" s="36"/>
      <c r="H204" s="2" t="s">
        <v>1962</v>
      </c>
      <c r="I2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04" s="22">
        <v>0.1</v>
      </c>
      <c r="K204" s="22">
        <v>0.1</v>
      </c>
      <c r="L204" s="37">
        <v>36892</v>
      </c>
      <c r="M204" s="2"/>
      <c r="N204" s="2" t="s">
        <v>1963</v>
      </c>
      <c r="O204" s="2" t="s">
        <v>27</v>
      </c>
      <c r="P204" s="2" t="s">
        <v>26</v>
      </c>
    </row>
    <row r="205" spans="1:16" ht="20.100000000000001" customHeight="1" x14ac:dyDescent="0.25">
      <c r="A205" s="26" t="str">
        <f>CONCATENATE(LEFT(ConsumoConcreto[[#This Row],[RecebimentoID]],4),"CNSC",TEXT(ConsumoConcreto[[#This Row],[Ordem]],"0000"),UPPER(LEFT(ConsumoConcreto[[#This Row],[Destino]],3)))</f>
        <v>0184CNSC0384PAR</v>
      </c>
      <c r="B205" s="1">
        <v>384</v>
      </c>
      <c r="C205" s="2" t="s">
        <v>2210</v>
      </c>
      <c r="D205" s="2" t="s">
        <v>1995</v>
      </c>
      <c r="E205" s="18">
        <v>5</v>
      </c>
      <c r="F205" s="2" t="s">
        <v>25</v>
      </c>
      <c r="G205" s="36">
        <v>0.94791666666666663</v>
      </c>
      <c r="H205" s="2" t="s">
        <v>1965</v>
      </c>
      <c r="I2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05" s="22">
        <v>14</v>
      </c>
      <c r="K205" s="22">
        <v>14</v>
      </c>
      <c r="L205" s="37">
        <v>36892</v>
      </c>
      <c r="M205" s="2"/>
      <c r="N205" s="2" t="s">
        <v>1966</v>
      </c>
      <c r="O205" s="2" t="s">
        <v>27</v>
      </c>
      <c r="P205" s="2" t="s">
        <v>26</v>
      </c>
    </row>
    <row r="206" spans="1:16" ht="20.100000000000001" customHeight="1" x14ac:dyDescent="0.25">
      <c r="A206" s="26" t="str">
        <f>CONCATENATE(LEFT(ConsumoConcreto[[#This Row],[RecebimentoID]],4),"CNSC",TEXT(ConsumoConcreto[[#This Row],[Ordem]],"0000"),UPPER(LEFT(ConsumoConcreto[[#This Row],[Destino]],3)))</f>
        <v>0184CNSC0376RAD</v>
      </c>
      <c r="B206" s="1">
        <v>376</v>
      </c>
      <c r="C206" s="2" t="s">
        <v>2211</v>
      </c>
      <c r="D206" s="2" t="s">
        <v>1995</v>
      </c>
      <c r="E206" s="18">
        <v>5</v>
      </c>
      <c r="F206" s="2" t="s">
        <v>1801</v>
      </c>
      <c r="G206" s="36">
        <v>0.61805555555555558</v>
      </c>
      <c r="H206" s="2" t="s">
        <v>1968</v>
      </c>
      <c r="I2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06" s="22">
        <v>5.5</v>
      </c>
      <c r="K206" s="22">
        <v>5.5</v>
      </c>
      <c r="L206" s="37">
        <v>36892</v>
      </c>
      <c r="M206" s="2"/>
      <c r="N206" s="2" t="s">
        <v>1963</v>
      </c>
      <c r="O206" s="2" t="s">
        <v>27</v>
      </c>
      <c r="P206" s="2" t="s">
        <v>26</v>
      </c>
    </row>
    <row r="207" spans="1:16" ht="20.100000000000001" customHeight="1" x14ac:dyDescent="0.25">
      <c r="A207" s="26" t="str">
        <f>CONCATENATE(LEFT(ConsumoConcreto[[#This Row],[RecebimentoID]],4),"CNSC",TEXT(ConsumoConcreto[[#This Row],[Ordem]],"0000"),UPPER(LEFT(ConsumoConcreto[[#This Row],[Destino]],3)))</f>
        <v>0184CNSC0438PAR</v>
      </c>
      <c r="B207" s="1">
        <v>438</v>
      </c>
      <c r="C207" s="2" t="s">
        <v>2212</v>
      </c>
      <c r="D207" s="2" t="s">
        <v>1999</v>
      </c>
      <c r="E207" s="18">
        <v>5</v>
      </c>
      <c r="F207" s="2" t="s">
        <v>25</v>
      </c>
      <c r="G207" s="36">
        <v>0.80486111111111114</v>
      </c>
      <c r="H207" s="2" t="s">
        <v>1965</v>
      </c>
      <c r="I2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07" s="22">
        <v>18.5</v>
      </c>
      <c r="K207" s="22">
        <v>18.5</v>
      </c>
      <c r="L207" s="37">
        <v>36892</v>
      </c>
      <c r="M207" s="2"/>
      <c r="N207" s="2" t="s">
        <v>1966</v>
      </c>
      <c r="O207" s="2" t="s">
        <v>27</v>
      </c>
      <c r="P207" s="2" t="s">
        <v>26</v>
      </c>
    </row>
    <row r="208" spans="1:16" ht="20.100000000000001" customHeight="1" x14ac:dyDescent="0.25">
      <c r="A208" s="26" t="str">
        <f>CONCATENATE(LEFT(ConsumoConcreto[[#This Row],[RecebimentoID]],4),"CNSC",TEXT(ConsumoConcreto[[#This Row],[Ordem]],"0000"),UPPER(LEFT(ConsumoConcreto[[#This Row],[Destino]],3)))</f>
        <v>0184CNSC0415RAD</v>
      </c>
      <c r="B208" s="1">
        <v>415</v>
      </c>
      <c r="C208" s="2" t="s">
        <v>2213</v>
      </c>
      <c r="D208" s="2" t="s">
        <v>1999</v>
      </c>
      <c r="E208" s="18">
        <v>5</v>
      </c>
      <c r="F208" s="2" t="s">
        <v>1801</v>
      </c>
      <c r="G208" s="36">
        <v>0.6875</v>
      </c>
      <c r="H208" s="2" t="s">
        <v>1968</v>
      </c>
      <c r="I2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08" s="22">
        <v>7</v>
      </c>
      <c r="K208" s="22">
        <v>7</v>
      </c>
      <c r="L208" s="37">
        <v>36892</v>
      </c>
      <c r="M208" s="2"/>
      <c r="N208" s="2" t="s">
        <v>1963</v>
      </c>
      <c r="O208" s="2" t="s">
        <v>27</v>
      </c>
      <c r="P208" s="2" t="s">
        <v>26</v>
      </c>
    </row>
    <row r="209" spans="1:16" ht="20.100000000000001" customHeight="1" x14ac:dyDescent="0.25">
      <c r="A209" s="26" t="str">
        <f>CONCATENATE(LEFT(ConsumoConcreto[[#This Row],[RecebimentoID]],4),"CNSC",TEXT(ConsumoConcreto[[#This Row],[Ordem]],"0000"),UPPER(LEFT(ConsumoConcreto[[#This Row],[Destino]],3)))</f>
        <v>0184CNSC0461PAR</v>
      </c>
      <c r="B209" s="1">
        <v>461</v>
      </c>
      <c r="C209" s="2" t="s">
        <v>2214</v>
      </c>
      <c r="D209" s="2" t="s">
        <v>2002</v>
      </c>
      <c r="E209" s="18">
        <v>5</v>
      </c>
      <c r="F209" s="2" t="s">
        <v>25</v>
      </c>
      <c r="G209" s="36">
        <v>0.74652777777777779</v>
      </c>
      <c r="H209" s="2" t="s">
        <v>1965</v>
      </c>
      <c r="I2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09" s="22">
        <v>18.5</v>
      </c>
      <c r="K209" s="22">
        <v>18.5</v>
      </c>
      <c r="L209" s="37">
        <v>36892</v>
      </c>
      <c r="M209" s="2"/>
      <c r="N209" s="2" t="s">
        <v>1966</v>
      </c>
      <c r="O209" s="2" t="s">
        <v>27</v>
      </c>
      <c r="P209" s="2" t="s">
        <v>26</v>
      </c>
    </row>
    <row r="210" spans="1:16" ht="20.100000000000001" customHeight="1" x14ac:dyDescent="0.25">
      <c r="A210" s="26" t="str">
        <f>CONCATENATE(LEFT(ConsumoConcreto[[#This Row],[RecebimentoID]],4),"CNSC",TEXT(ConsumoConcreto[[#This Row],[Ordem]],"0000"),UPPER(LEFT(ConsumoConcreto[[#This Row],[Destino]],3)))</f>
        <v>0184CNSC0449RAD</v>
      </c>
      <c r="B210" s="1">
        <v>449</v>
      </c>
      <c r="C210" s="2" t="s">
        <v>2215</v>
      </c>
      <c r="D210" s="2" t="s">
        <v>2002</v>
      </c>
      <c r="E210" s="18">
        <v>5</v>
      </c>
      <c r="F210" s="2" t="s">
        <v>1801</v>
      </c>
      <c r="G210" s="36">
        <v>0.63194444444444442</v>
      </c>
      <c r="H210" s="2" t="s">
        <v>1968</v>
      </c>
      <c r="I2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10" s="22">
        <v>7</v>
      </c>
      <c r="K210" s="22">
        <v>7</v>
      </c>
      <c r="L210" s="37">
        <v>36892</v>
      </c>
      <c r="M210" s="2"/>
      <c r="N210" s="2" t="s">
        <v>1963</v>
      </c>
      <c r="O210" s="2" t="s">
        <v>27</v>
      </c>
      <c r="P210" s="2" t="s">
        <v>26</v>
      </c>
    </row>
    <row r="211" spans="1:16" ht="20.100000000000001" customHeight="1" x14ac:dyDescent="0.25">
      <c r="A211" s="26" t="str">
        <f>CONCATENATE(LEFT(ConsumoConcreto[[#This Row],[RecebimentoID]],4),"CNSC",TEXT(ConsumoConcreto[[#This Row],[Ordem]],"0000"),UPPER(LEFT(ConsumoConcreto[[#This Row],[Destino]],3)))</f>
        <v>0184CNSC0514PAR</v>
      </c>
      <c r="B211" s="1">
        <v>514</v>
      </c>
      <c r="C211" s="2" t="s">
        <v>2216</v>
      </c>
      <c r="D211" s="2" t="s">
        <v>2005</v>
      </c>
      <c r="E211" s="18">
        <v>5</v>
      </c>
      <c r="F211" s="2" t="s">
        <v>25</v>
      </c>
      <c r="G211" s="36">
        <v>0.81944444444444453</v>
      </c>
      <c r="H211" s="2" t="s">
        <v>1965</v>
      </c>
      <c r="I2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11" s="22">
        <v>18</v>
      </c>
      <c r="K211" s="22">
        <v>18</v>
      </c>
      <c r="L211" s="37">
        <v>36892</v>
      </c>
      <c r="M211" s="2"/>
      <c r="N211" s="2" t="s">
        <v>1966</v>
      </c>
      <c r="O211" s="2" t="s">
        <v>27</v>
      </c>
      <c r="P211" s="2" t="s">
        <v>26</v>
      </c>
    </row>
    <row r="212" spans="1:16" ht="20.100000000000001" customHeight="1" x14ac:dyDescent="0.25">
      <c r="A212" s="26" t="str">
        <f>CONCATENATE(LEFT(ConsumoConcreto[[#This Row],[RecebimentoID]],4),"CNSC",TEXT(ConsumoConcreto[[#This Row],[Ordem]],"0000"),UPPER(LEFT(ConsumoConcreto[[#This Row],[Destino]],3)))</f>
        <v>0184CNSC0480RAD</v>
      </c>
      <c r="B212" s="1">
        <v>480</v>
      </c>
      <c r="C212" s="2" t="s">
        <v>2217</v>
      </c>
      <c r="D212" s="2" t="s">
        <v>2005</v>
      </c>
      <c r="E212" s="18">
        <v>5</v>
      </c>
      <c r="F212" s="2" t="s">
        <v>1801</v>
      </c>
      <c r="G212" s="36">
        <v>0.44305555555555554</v>
      </c>
      <c r="H212" s="2" t="s">
        <v>1968</v>
      </c>
      <c r="I2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12" s="22">
        <v>7</v>
      </c>
      <c r="K212" s="22">
        <v>7</v>
      </c>
      <c r="L212" s="37">
        <v>36892</v>
      </c>
      <c r="M212" s="2"/>
      <c r="N212" s="2" t="s">
        <v>1963</v>
      </c>
      <c r="O212" s="2" t="s">
        <v>27</v>
      </c>
      <c r="P212" s="2" t="s">
        <v>26</v>
      </c>
    </row>
    <row r="213" spans="1:16" ht="20.100000000000001" customHeight="1" x14ac:dyDescent="0.25">
      <c r="A213" s="26" t="str">
        <f>CONCATENATE(LEFT(ConsumoConcreto[[#This Row],[RecebimentoID]],4),"CNSC",TEXT(ConsumoConcreto[[#This Row],[Ordem]],"0000"),UPPER(LEFT(ConsumoConcreto[[#This Row],[Destino]],3)))</f>
        <v>0184CNSC0570PAR</v>
      </c>
      <c r="B213" s="1">
        <v>570</v>
      </c>
      <c r="C213" s="2" t="s">
        <v>2218</v>
      </c>
      <c r="D213" s="2" t="s">
        <v>2007</v>
      </c>
      <c r="E213" s="18">
        <v>5</v>
      </c>
      <c r="F213" s="2" t="s">
        <v>25</v>
      </c>
      <c r="G213" s="36">
        <v>0.71875</v>
      </c>
      <c r="H213" s="2" t="s">
        <v>1965</v>
      </c>
      <c r="I2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13" s="22">
        <v>18</v>
      </c>
      <c r="K213" s="22">
        <v>18</v>
      </c>
      <c r="L213" s="37">
        <v>36892</v>
      </c>
      <c r="M213" s="2"/>
      <c r="N213" s="2" t="s">
        <v>1966</v>
      </c>
      <c r="O213" s="2" t="s">
        <v>27</v>
      </c>
      <c r="P213" s="2" t="s">
        <v>26</v>
      </c>
    </row>
    <row r="214" spans="1:16" ht="20.100000000000001" customHeight="1" x14ac:dyDescent="0.25">
      <c r="A214" s="26" t="str">
        <f>CONCATENATE(LEFT(ConsumoConcreto[[#This Row],[RecebimentoID]],4),"CNSC",TEXT(ConsumoConcreto[[#This Row],[Ordem]],"0000"),UPPER(LEFT(ConsumoConcreto[[#This Row],[Destino]],3)))</f>
        <v>0184CNSC0543RAD</v>
      </c>
      <c r="B214" s="1">
        <v>543</v>
      </c>
      <c r="C214" s="2" t="s">
        <v>2219</v>
      </c>
      <c r="D214" s="2" t="s">
        <v>2007</v>
      </c>
      <c r="E214" s="18">
        <v>5</v>
      </c>
      <c r="F214" s="2" t="s">
        <v>1801</v>
      </c>
      <c r="G214" s="36"/>
      <c r="H214" s="2" t="s">
        <v>1968</v>
      </c>
      <c r="I2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14" s="22">
        <v>7</v>
      </c>
      <c r="K214" s="22">
        <v>6.6989999999999998</v>
      </c>
      <c r="L214" s="37">
        <v>36892</v>
      </c>
      <c r="M214" s="2"/>
      <c r="N214" s="2"/>
      <c r="O214" s="2" t="s">
        <v>27</v>
      </c>
      <c r="P214" s="2" t="s">
        <v>26</v>
      </c>
    </row>
    <row r="215" spans="1:16" ht="20.100000000000001" customHeight="1" x14ac:dyDescent="0.25">
      <c r="A215" s="26" t="str">
        <f>CONCATENATE(LEFT(ConsumoConcreto[[#This Row],[RecebimentoID]],4),"CNSC",TEXT(ConsumoConcreto[[#This Row],[Ordem]],"0000"),UPPER(LEFT(ConsumoConcreto[[#This Row],[Destino]],3)))</f>
        <v>0184CNSC0615PAR</v>
      </c>
      <c r="B215" s="1">
        <v>615</v>
      </c>
      <c r="C215" s="2" t="s">
        <v>2220</v>
      </c>
      <c r="D215" s="2" t="s">
        <v>2010</v>
      </c>
      <c r="E215" s="18">
        <v>5</v>
      </c>
      <c r="F215" s="2" t="s">
        <v>25</v>
      </c>
      <c r="G215" s="36">
        <v>0.87986111111111109</v>
      </c>
      <c r="H215" s="2" t="s">
        <v>1965</v>
      </c>
      <c r="I2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15" s="22">
        <v>19</v>
      </c>
      <c r="K215" s="22">
        <v>19</v>
      </c>
      <c r="L215" s="37">
        <v>36892</v>
      </c>
      <c r="M215" s="2" t="s">
        <v>2221</v>
      </c>
      <c r="N215" s="2" t="s">
        <v>1966</v>
      </c>
      <c r="O215" s="2" t="s">
        <v>27</v>
      </c>
      <c r="P215" s="2" t="s">
        <v>26</v>
      </c>
    </row>
    <row r="216" spans="1:16" ht="20.100000000000001" customHeight="1" x14ac:dyDescent="0.25">
      <c r="A216" s="26" t="str">
        <f>CONCATENATE(LEFT(ConsumoConcreto[[#This Row],[RecebimentoID]],4),"CNSC",TEXT(ConsumoConcreto[[#This Row],[Ordem]],"0000"),UPPER(LEFT(ConsumoConcreto[[#This Row],[Destino]],3)))</f>
        <v>0184CNSC0597RAD</v>
      </c>
      <c r="B216" s="1">
        <v>597</v>
      </c>
      <c r="C216" s="2" t="s">
        <v>2222</v>
      </c>
      <c r="D216" s="2" t="s">
        <v>2010</v>
      </c>
      <c r="E216" s="18">
        <v>5</v>
      </c>
      <c r="F216" s="2" t="s">
        <v>1801</v>
      </c>
      <c r="G216" s="36">
        <v>0.63888888888888895</v>
      </c>
      <c r="H216" s="2" t="s">
        <v>1968</v>
      </c>
      <c r="I2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16" s="22">
        <v>7</v>
      </c>
      <c r="K216" s="22">
        <v>7</v>
      </c>
      <c r="L216" s="37">
        <v>36892</v>
      </c>
      <c r="M216" s="2"/>
      <c r="N216" s="2" t="s">
        <v>1966</v>
      </c>
      <c r="O216" s="2" t="s">
        <v>27</v>
      </c>
      <c r="P216" s="2" t="s">
        <v>26</v>
      </c>
    </row>
    <row r="217" spans="1:16" ht="20.100000000000001" customHeight="1" x14ac:dyDescent="0.25">
      <c r="A217" s="26" t="str">
        <f>CONCATENATE(LEFT(ConsumoConcreto[[#This Row],[RecebimentoID]],4),"CNSC",TEXT(ConsumoConcreto[[#This Row],[Ordem]],"0000"),UPPER(LEFT(ConsumoConcreto[[#This Row],[Destino]],3)))</f>
        <v>0184CNSC0688PAR</v>
      </c>
      <c r="B217" s="1">
        <v>688</v>
      </c>
      <c r="C217" s="2" t="s">
        <v>2223</v>
      </c>
      <c r="D217" s="2" t="s">
        <v>2013</v>
      </c>
      <c r="E217" s="18">
        <v>5</v>
      </c>
      <c r="F217" s="2" t="s">
        <v>25</v>
      </c>
      <c r="G217" s="36">
        <v>0.875</v>
      </c>
      <c r="H217" s="2" t="s">
        <v>1965</v>
      </c>
      <c r="I2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17" s="22">
        <v>15</v>
      </c>
      <c r="K217" s="22">
        <v>15</v>
      </c>
      <c r="L217" s="37">
        <v>36892</v>
      </c>
      <c r="M217" s="2" t="s">
        <v>1971</v>
      </c>
      <c r="N217" s="2" t="s">
        <v>1966</v>
      </c>
      <c r="O217" s="2" t="s">
        <v>27</v>
      </c>
      <c r="P217" s="2" t="s">
        <v>26</v>
      </c>
    </row>
    <row r="218" spans="1:16" ht="20.100000000000001" customHeight="1" x14ac:dyDescent="0.25">
      <c r="A218" s="26" t="str">
        <f>CONCATENATE(LEFT(ConsumoConcreto[[#This Row],[RecebimentoID]],4),"CNSC",TEXT(ConsumoConcreto[[#This Row],[Ordem]],"0000"),UPPER(LEFT(ConsumoConcreto[[#This Row],[Destino]],3)))</f>
        <v>0184CNSC0670RAD</v>
      </c>
      <c r="B218" s="1">
        <v>670</v>
      </c>
      <c r="C218" s="2" t="s">
        <v>2224</v>
      </c>
      <c r="D218" s="2" t="s">
        <v>2013</v>
      </c>
      <c r="E218" s="18">
        <v>5</v>
      </c>
      <c r="F218" s="2" t="s">
        <v>1801</v>
      </c>
      <c r="G218" s="36"/>
      <c r="H218" s="2" t="s">
        <v>1968</v>
      </c>
      <c r="I2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18" s="22">
        <v>6</v>
      </c>
      <c r="K218" s="22">
        <v>5.4809999999999999</v>
      </c>
      <c r="L218" s="37">
        <v>36892</v>
      </c>
      <c r="M218" s="2"/>
      <c r="N218" s="2"/>
      <c r="O218" s="2" t="s">
        <v>27</v>
      </c>
      <c r="P218" s="2" t="s">
        <v>26</v>
      </c>
    </row>
    <row r="219" spans="1:16" ht="20.100000000000001" customHeight="1" x14ac:dyDescent="0.25">
      <c r="A219" s="26" t="str">
        <f>CONCATENATE(LEFT(ConsumoConcreto[[#This Row],[RecebimentoID]],4),"CNSC",TEXT(ConsumoConcreto[[#This Row],[Ordem]],"0000"),UPPER(LEFT(ConsumoConcreto[[#This Row],[Destino]],3)))</f>
        <v>0184CNSC0762PAR</v>
      </c>
      <c r="B219" s="1">
        <v>762</v>
      </c>
      <c r="C219" s="2" t="s">
        <v>2225</v>
      </c>
      <c r="D219" s="2" t="s">
        <v>2016</v>
      </c>
      <c r="E219" s="18">
        <v>5</v>
      </c>
      <c r="F219" s="2" t="s">
        <v>25</v>
      </c>
      <c r="G219" s="36">
        <v>0.8208333333333333</v>
      </c>
      <c r="H219" s="2" t="s">
        <v>1965</v>
      </c>
      <c r="I2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19" s="22">
        <v>14.5</v>
      </c>
      <c r="K219" s="22">
        <v>14.5</v>
      </c>
      <c r="L219" s="37">
        <v>36892</v>
      </c>
      <c r="M219" s="2"/>
      <c r="N219" s="2" t="s">
        <v>2017</v>
      </c>
      <c r="O219" s="2" t="s">
        <v>27</v>
      </c>
      <c r="P219" s="2" t="s">
        <v>26</v>
      </c>
    </row>
    <row r="220" spans="1:16" ht="20.100000000000001" customHeight="1" x14ac:dyDescent="0.25">
      <c r="A220" s="26" t="str">
        <f>CONCATENATE(LEFT(ConsumoConcreto[[#This Row],[RecebimentoID]],4),"CNSC",TEXT(ConsumoConcreto[[#This Row],[Ordem]],"0000"),UPPER(LEFT(ConsumoConcreto[[#This Row],[Destino]],3)))</f>
        <v>0184CNSC0745RAD</v>
      </c>
      <c r="B220" s="1">
        <v>745</v>
      </c>
      <c r="C220" s="2" t="s">
        <v>2226</v>
      </c>
      <c r="D220" s="2" t="s">
        <v>2016</v>
      </c>
      <c r="E220" s="18">
        <v>5</v>
      </c>
      <c r="F220" s="2" t="s">
        <v>1801</v>
      </c>
      <c r="G220" s="36">
        <v>0.53819444444444442</v>
      </c>
      <c r="H220" s="2" t="s">
        <v>1968</v>
      </c>
      <c r="I2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20" s="22">
        <v>5.5</v>
      </c>
      <c r="K220" s="22">
        <v>5.5</v>
      </c>
      <c r="L220" s="37">
        <v>36892</v>
      </c>
      <c r="M220" s="2" t="s">
        <v>2227</v>
      </c>
      <c r="N220" s="2" t="s">
        <v>2017</v>
      </c>
      <c r="O220" s="2" t="s">
        <v>27</v>
      </c>
      <c r="P220" s="2" t="s">
        <v>26</v>
      </c>
    </row>
    <row r="221" spans="1:16" ht="20.100000000000001" customHeight="1" x14ac:dyDescent="0.25">
      <c r="A221" s="26" t="str">
        <f>CONCATENATE(LEFT(ConsumoConcreto[[#This Row],[RecebimentoID]],4),"CNSC",TEXT(ConsumoConcreto[[#This Row],[Ordem]],"0000"),UPPER(LEFT(ConsumoConcreto[[#This Row],[Destino]],3)))</f>
        <v>0184CNSC0800PAR</v>
      </c>
      <c r="B221" s="1">
        <v>800</v>
      </c>
      <c r="C221" s="2" t="s">
        <v>2228</v>
      </c>
      <c r="D221" s="2" t="s">
        <v>2021</v>
      </c>
      <c r="E221" s="18">
        <v>5</v>
      </c>
      <c r="F221" s="2" t="s">
        <v>25</v>
      </c>
      <c r="G221" s="36"/>
      <c r="H221" s="2" t="s">
        <v>1965</v>
      </c>
      <c r="I2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L221" s="37">
        <v>36892</v>
      </c>
      <c r="M221" s="2"/>
      <c r="N221" s="2" t="s">
        <v>1966</v>
      </c>
      <c r="O221" s="2" t="s">
        <v>27</v>
      </c>
      <c r="P221" s="2" t="s">
        <v>26</v>
      </c>
    </row>
    <row r="222" spans="1:16" ht="20.100000000000001" customHeight="1" x14ac:dyDescent="0.25">
      <c r="A222" s="26" t="str">
        <f>CONCATENATE(LEFT(ConsumoConcreto[[#This Row],[RecebimentoID]],4),"CNSC",TEXT(ConsumoConcreto[[#This Row],[Ordem]],"0000"),UPPER(LEFT(ConsumoConcreto[[#This Row],[Destino]],3)))</f>
        <v>0184CNSC0778RAD</v>
      </c>
      <c r="B222" s="1">
        <v>778</v>
      </c>
      <c r="C222" s="2" t="s">
        <v>2229</v>
      </c>
      <c r="D222" s="2" t="s">
        <v>2021</v>
      </c>
      <c r="E222" s="18">
        <v>5</v>
      </c>
      <c r="F222" s="2" t="s">
        <v>1801</v>
      </c>
      <c r="G222" s="36">
        <v>0.70833333333333337</v>
      </c>
      <c r="H222" s="2" t="s">
        <v>1968</v>
      </c>
      <c r="I2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22" s="22">
        <v>7</v>
      </c>
      <c r="K222" s="22">
        <v>7</v>
      </c>
      <c r="L222" s="37">
        <v>36892</v>
      </c>
      <c r="M222" s="2"/>
      <c r="N222" s="2" t="s">
        <v>1963</v>
      </c>
      <c r="O222" s="2" t="s">
        <v>27</v>
      </c>
      <c r="P222" s="2" t="s">
        <v>26</v>
      </c>
    </row>
    <row r="223" spans="1:16" ht="20.100000000000001" customHeight="1" x14ac:dyDescent="0.25">
      <c r="A223" s="26" t="str">
        <f>CONCATENATE(LEFT(ConsumoConcreto[[#This Row],[RecebimentoID]],4),"CNSC",TEXT(ConsumoConcreto[[#This Row],[Ordem]],"0000"),UPPER(LEFT(ConsumoConcreto[[#This Row],[Destino]],3)))</f>
        <v>0184CNSC0855PAR</v>
      </c>
      <c r="B223" s="1">
        <v>855</v>
      </c>
      <c r="C223" s="2" t="s">
        <v>2230</v>
      </c>
      <c r="D223" s="2" t="s">
        <v>2024</v>
      </c>
      <c r="E223" s="18">
        <v>5</v>
      </c>
      <c r="F223" s="2" t="s">
        <v>25</v>
      </c>
      <c r="G223" s="36">
        <v>0.72569444444444453</v>
      </c>
      <c r="H223" s="2" t="s">
        <v>1965</v>
      </c>
      <c r="I2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23" s="22">
        <v>14.5</v>
      </c>
      <c r="K223" s="22">
        <v>14.5</v>
      </c>
      <c r="L223" s="37">
        <v>36892</v>
      </c>
      <c r="M223" s="2"/>
      <c r="N223" s="2" t="s">
        <v>1966</v>
      </c>
      <c r="O223" s="2" t="s">
        <v>27</v>
      </c>
      <c r="P223" s="2" t="s">
        <v>26</v>
      </c>
    </row>
    <row r="224" spans="1:16" ht="20.100000000000001" customHeight="1" x14ac:dyDescent="0.25">
      <c r="A224" s="26" t="str">
        <f>CONCATENATE(LEFT(ConsumoConcreto[[#This Row],[RecebimentoID]],4),"CNSC",TEXT(ConsumoConcreto[[#This Row],[Ordem]],"0000"),UPPER(LEFT(ConsumoConcreto[[#This Row],[Destino]],3)))</f>
        <v>0184CNSC0808RAD</v>
      </c>
      <c r="B224" s="1">
        <v>808</v>
      </c>
      <c r="C224" s="2" t="s">
        <v>2231</v>
      </c>
      <c r="D224" s="2" t="s">
        <v>2024</v>
      </c>
      <c r="E224" s="18">
        <v>5</v>
      </c>
      <c r="F224" s="2" t="s">
        <v>1801</v>
      </c>
      <c r="G224" s="36">
        <v>0.46875</v>
      </c>
      <c r="H224" s="2" t="s">
        <v>1968</v>
      </c>
      <c r="I2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24" s="22">
        <v>5.5</v>
      </c>
      <c r="K224" s="22">
        <v>5.5</v>
      </c>
      <c r="L224" s="37">
        <v>36892</v>
      </c>
      <c r="M224" s="2"/>
      <c r="N224" s="2" t="s">
        <v>1963</v>
      </c>
      <c r="O224" s="2" t="s">
        <v>27</v>
      </c>
      <c r="P224" s="2" t="s">
        <v>26</v>
      </c>
    </row>
    <row r="225" spans="1:16" ht="20.100000000000001" customHeight="1" x14ac:dyDescent="0.25">
      <c r="A225" s="26" t="str">
        <f>CONCATENATE(LEFT(ConsumoConcreto[[#This Row],[RecebimentoID]],4),"CNSC",TEXT(ConsumoConcreto[[#This Row],[Ordem]],"0000"),UPPER(LEFT(ConsumoConcreto[[#This Row],[Destino]],3)))</f>
        <v>0184CNSC0886PAR</v>
      </c>
      <c r="B225" s="1">
        <v>886</v>
      </c>
      <c r="C225" s="2" t="s">
        <v>2232</v>
      </c>
      <c r="D225" s="2" t="s">
        <v>2027</v>
      </c>
      <c r="E225" s="18">
        <v>5</v>
      </c>
      <c r="F225" s="2" t="s">
        <v>25</v>
      </c>
      <c r="G225" s="36">
        <v>0.63888888888888895</v>
      </c>
      <c r="H225" s="2" t="s">
        <v>1965</v>
      </c>
      <c r="I2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25" s="22">
        <v>14.5</v>
      </c>
      <c r="K225" s="22">
        <v>14.5</v>
      </c>
      <c r="L225" s="37">
        <v>36892</v>
      </c>
      <c r="M225" s="2"/>
      <c r="N225" s="2" t="s">
        <v>1966</v>
      </c>
      <c r="O225" s="2" t="s">
        <v>27</v>
      </c>
      <c r="P225" s="2" t="s">
        <v>26</v>
      </c>
    </row>
    <row r="226" spans="1:16" ht="20.100000000000001" customHeight="1" x14ac:dyDescent="0.25">
      <c r="A226" s="26" t="str">
        <f>CONCATENATE(LEFT(ConsumoConcreto[[#This Row],[RecebimentoID]],4),"CNSC",TEXT(ConsumoConcreto[[#This Row],[Ordem]],"0000"),UPPER(LEFT(ConsumoConcreto[[#This Row],[Destino]],3)))</f>
        <v>0184CNSC0872RAD</v>
      </c>
      <c r="B226" s="1">
        <v>872</v>
      </c>
      <c r="C226" s="2" t="s">
        <v>2233</v>
      </c>
      <c r="D226" s="2" t="s">
        <v>2027</v>
      </c>
      <c r="E226" s="18">
        <v>5</v>
      </c>
      <c r="F226" s="2" t="s">
        <v>1801</v>
      </c>
      <c r="G226" s="36">
        <v>0.6875</v>
      </c>
      <c r="H226" s="2" t="s">
        <v>1968</v>
      </c>
      <c r="I2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26" s="22">
        <v>5.5</v>
      </c>
      <c r="K226" s="22">
        <v>5.5</v>
      </c>
      <c r="L226" s="37">
        <v>36892</v>
      </c>
      <c r="M226" s="2"/>
      <c r="N226" s="2" t="s">
        <v>1963</v>
      </c>
      <c r="O226" s="2" t="s">
        <v>27</v>
      </c>
      <c r="P226" s="2" t="s">
        <v>26</v>
      </c>
    </row>
    <row r="227" spans="1:16" ht="20.100000000000001" customHeight="1" x14ac:dyDescent="0.25">
      <c r="A227" s="26" t="str">
        <f>CONCATENATE(LEFT(ConsumoConcreto[[#This Row],[RecebimentoID]],4),"CNSC",TEXT(ConsumoConcreto[[#This Row],[Ordem]],"0000"),UPPER(LEFT(ConsumoConcreto[[#This Row],[Destino]],3)))</f>
        <v>0184CNSC0917PAR</v>
      </c>
      <c r="B227" s="1">
        <v>917</v>
      </c>
      <c r="C227" s="2" t="s">
        <v>2234</v>
      </c>
      <c r="D227" s="2" t="s">
        <v>2030</v>
      </c>
      <c r="E227" s="18">
        <v>5</v>
      </c>
      <c r="F227" s="2" t="s">
        <v>25</v>
      </c>
      <c r="G227" s="36">
        <v>0.72569444444444453</v>
      </c>
      <c r="H227" s="2" t="s">
        <v>1965</v>
      </c>
      <c r="I2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27" s="22">
        <v>15</v>
      </c>
      <c r="K227" s="22">
        <v>15</v>
      </c>
      <c r="L227" s="37">
        <v>36892</v>
      </c>
      <c r="M227" s="2" t="s">
        <v>2082</v>
      </c>
      <c r="N227" s="2" t="s">
        <v>1966</v>
      </c>
      <c r="O227" s="2" t="s">
        <v>27</v>
      </c>
      <c r="P227" s="2" t="s">
        <v>26</v>
      </c>
    </row>
    <row r="228" spans="1:16" ht="20.100000000000001" customHeight="1" x14ac:dyDescent="0.25">
      <c r="A228" s="26" t="str">
        <f>CONCATENATE(LEFT(ConsumoConcreto[[#This Row],[RecebimentoID]],4),"CNSC",TEXT(ConsumoConcreto[[#This Row],[Ordem]],"0000"),UPPER(LEFT(ConsumoConcreto[[#This Row],[Destino]],3)))</f>
        <v>0184CNSC0900RAD</v>
      </c>
      <c r="B228" s="1">
        <v>900</v>
      </c>
      <c r="C228" s="2" t="s">
        <v>2235</v>
      </c>
      <c r="D228" s="2" t="s">
        <v>2030</v>
      </c>
      <c r="E228" s="18">
        <v>5</v>
      </c>
      <c r="F228" s="2" t="s">
        <v>1801</v>
      </c>
      <c r="G228" s="36"/>
      <c r="H228" s="2" t="s">
        <v>1968</v>
      </c>
      <c r="I2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28" s="22">
        <v>7.58</v>
      </c>
      <c r="K228" s="22">
        <v>5.4809999999999999</v>
      </c>
      <c r="L228" s="37">
        <v>36892</v>
      </c>
      <c r="M228" s="2" t="s">
        <v>1971</v>
      </c>
      <c r="N228" s="2"/>
      <c r="O228" s="2" t="s">
        <v>27</v>
      </c>
      <c r="P228" s="2" t="s">
        <v>26</v>
      </c>
    </row>
    <row r="229" spans="1:16" ht="20.100000000000001" customHeight="1" x14ac:dyDescent="0.25">
      <c r="A229" s="26" t="str">
        <f>CONCATENATE(LEFT(ConsumoConcreto[[#This Row],[RecebimentoID]],4),"CNSC",TEXT(ConsumoConcreto[[#This Row],[Ordem]],"0000"),UPPER(LEFT(ConsumoConcreto[[#This Row],[Destino]],3)))</f>
        <v>0184CNSC0977PAR</v>
      </c>
      <c r="B229" s="1">
        <v>977</v>
      </c>
      <c r="C229" s="2" t="s">
        <v>2236</v>
      </c>
      <c r="D229" s="2" t="s">
        <v>2033</v>
      </c>
      <c r="E229" s="18">
        <v>5</v>
      </c>
      <c r="F229" s="2" t="s">
        <v>25</v>
      </c>
      <c r="G229" s="36">
        <v>0.76666666666666661</v>
      </c>
      <c r="H229" s="2" t="s">
        <v>1965</v>
      </c>
      <c r="I2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29" s="22">
        <v>14.5</v>
      </c>
      <c r="K229" s="22">
        <v>14.5</v>
      </c>
      <c r="L229" s="37">
        <v>36892</v>
      </c>
      <c r="M229" s="2"/>
      <c r="N229" s="2" t="s">
        <v>1966</v>
      </c>
      <c r="O229" s="2" t="s">
        <v>27</v>
      </c>
      <c r="P229" s="2" t="s">
        <v>26</v>
      </c>
    </row>
    <row r="230" spans="1:16" ht="20.100000000000001" customHeight="1" x14ac:dyDescent="0.25">
      <c r="A230" s="26" t="str">
        <f>CONCATENATE(LEFT(ConsumoConcreto[[#This Row],[RecebimentoID]],4),"CNSC",TEXT(ConsumoConcreto[[#This Row],[Ordem]],"0000"),UPPER(LEFT(ConsumoConcreto[[#This Row],[Destino]],3)))</f>
        <v>0184CNSC0934RAD</v>
      </c>
      <c r="B230" s="1">
        <v>934</v>
      </c>
      <c r="C230" s="2" t="s">
        <v>2237</v>
      </c>
      <c r="D230" s="2" t="s">
        <v>2033</v>
      </c>
      <c r="E230" s="18">
        <v>5</v>
      </c>
      <c r="F230" s="2" t="s">
        <v>1801</v>
      </c>
      <c r="G230" s="36">
        <v>0.57986111111111105</v>
      </c>
      <c r="H230" s="2" t="s">
        <v>1968</v>
      </c>
      <c r="I2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30" s="22">
        <v>6</v>
      </c>
      <c r="K230" s="22">
        <v>6</v>
      </c>
      <c r="L230" s="37">
        <v>36892</v>
      </c>
      <c r="M230" s="2"/>
      <c r="N230" s="2" t="s">
        <v>1966</v>
      </c>
      <c r="O230" s="2" t="s">
        <v>27</v>
      </c>
      <c r="P230" s="2" t="s">
        <v>26</v>
      </c>
    </row>
    <row r="231" spans="1:16" ht="20.100000000000001" customHeight="1" x14ac:dyDescent="0.25">
      <c r="A231" s="26" t="str">
        <f>CONCATENATE(LEFT(ConsumoConcreto[[#This Row],[RecebimentoID]],4),"CNSC",TEXT(ConsumoConcreto[[#This Row],[Ordem]],"0000"),UPPER(LEFT(ConsumoConcreto[[#This Row],[Destino]],3)))</f>
        <v>0184CNSC1055PAR</v>
      </c>
      <c r="B231" s="1">
        <v>1055</v>
      </c>
      <c r="C231" s="2" t="s">
        <v>2238</v>
      </c>
      <c r="D231" s="2" t="s">
        <v>2036</v>
      </c>
      <c r="E231" s="18">
        <v>5</v>
      </c>
      <c r="F231" s="2" t="s">
        <v>25</v>
      </c>
      <c r="G231" s="36">
        <v>0.71736111111111101</v>
      </c>
      <c r="H231" s="2" t="s">
        <v>1965</v>
      </c>
      <c r="I2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31" s="22">
        <v>14.5</v>
      </c>
      <c r="K231" s="22">
        <v>14.5</v>
      </c>
      <c r="L231" s="37">
        <v>36892</v>
      </c>
      <c r="M231" s="2"/>
      <c r="N231" s="2" t="s">
        <v>1966</v>
      </c>
      <c r="O231" s="2" t="s">
        <v>27</v>
      </c>
      <c r="P231" s="2" t="s">
        <v>26</v>
      </c>
    </row>
    <row r="232" spans="1:16" ht="20.100000000000001" customHeight="1" x14ac:dyDescent="0.25">
      <c r="A232" s="26" t="str">
        <f>CONCATENATE(LEFT(ConsumoConcreto[[#This Row],[RecebimentoID]],4),"CNSC",TEXT(ConsumoConcreto[[#This Row],[Ordem]],"0000"),UPPER(LEFT(ConsumoConcreto[[#This Row],[Destino]],3)))</f>
        <v>0184CNSC1037RAD</v>
      </c>
      <c r="B232" s="1">
        <v>1037</v>
      </c>
      <c r="C232" s="2" t="s">
        <v>2239</v>
      </c>
      <c r="D232" s="2" t="s">
        <v>2036</v>
      </c>
      <c r="E232" s="18">
        <v>5</v>
      </c>
      <c r="F232" s="2" t="s">
        <v>1801</v>
      </c>
      <c r="G232" s="36">
        <v>0.69305555555555554</v>
      </c>
      <c r="H232" s="2" t="s">
        <v>1968</v>
      </c>
      <c r="I2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32" s="22">
        <v>5.5</v>
      </c>
      <c r="K232" s="22">
        <v>5.5</v>
      </c>
      <c r="L232" s="37">
        <v>36892</v>
      </c>
      <c r="M232" s="2"/>
      <c r="N232" s="2" t="s">
        <v>1963</v>
      </c>
      <c r="O232" s="2" t="s">
        <v>27</v>
      </c>
      <c r="P232" s="2" t="s">
        <v>26</v>
      </c>
    </row>
    <row r="233" spans="1:16" ht="20.100000000000001" customHeight="1" x14ac:dyDescent="0.25">
      <c r="A233" s="26" t="str">
        <f>CONCATENATE(LEFT(ConsumoConcreto[[#This Row],[RecebimentoID]],4),"CNSC",TEXT(ConsumoConcreto[[#This Row],[Ordem]],"0000"),UPPER(LEFT(ConsumoConcreto[[#This Row],[Destino]],3)))</f>
        <v>0184CNSC0014PAR</v>
      </c>
      <c r="B233" s="1">
        <v>14</v>
      </c>
      <c r="C233" s="2" t="s">
        <v>2240</v>
      </c>
      <c r="D233" s="2" t="s">
        <v>1961</v>
      </c>
      <c r="E233" s="18">
        <v>6</v>
      </c>
      <c r="F233" s="2" t="s">
        <v>25</v>
      </c>
      <c r="G233" s="36"/>
      <c r="H233" s="2" t="s">
        <v>1965</v>
      </c>
      <c r="I2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33" s="22">
        <v>16</v>
      </c>
      <c r="K233" s="22">
        <v>16</v>
      </c>
      <c r="L233" s="37">
        <v>36892</v>
      </c>
      <c r="M233" s="2" t="s">
        <v>2241</v>
      </c>
      <c r="N233" s="2" t="s">
        <v>1966</v>
      </c>
      <c r="O233" s="2" t="s">
        <v>27</v>
      </c>
      <c r="P233" s="2" t="s">
        <v>26</v>
      </c>
    </row>
    <row r="234" spans="1:16" ht="20.100000000000001" customHeight="1" x14ac:dyDescent="0.25">
      <c r="A234" s="26" t="str">
        <f>CONCATENATE(LEFT(ConsumoConcreto[[#This Row],[RecebimentoID]],4),"CNSC",TEXT(ConsumoConcreto[[#This Row],[Ordem]],"0000"),UPPER(LEFT(ConsumoConcreto[[#This Row],[Destino]],3)))</f>
        <v>0184CNSC0017PIL</v>
      </c>
      <c r="B234" s="1">
        <v>17</v>
      </c>
      <c r="C234" s="2" t="s">
        <v>2242</v>
      </c>
      <c r="D234" s="2" t="s">
        <v>1961</v>
      </c>
      <c r="E234" s="18">
        <v>6</v>
      </c>
      <c r="F234" s="2" t="s">
        <v>25</v>
      </c>
      <c r="G234" s="36"/>
      <c r="H234" s="2" t="s">
        <v>1962</v>
      </c>
      <c r="I2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34" s="22">
        <v>0.12</v>
      </c>
      <c r="K234" s="22">
        <v>0.1</v>
      </c>
      <c r="L234" s="37">
        <v>36892</v>
      </c>
      <c r="M234" s="2"/>
      <c r="N234" s="2" t="s">
        <v>1963</v>
      </c>
      <c r="O234" s="2" t="s">
        <v>27</v>
      </c>
      <c r="P234" s="2" t="s">
        <v>26</v>
      </c>
    </row>
    <row r="235" spans="1:16" ht="20.100000000000001" customHeight="1" x14ac:dyDescent="0.25">
      <c r="A235" s="26" t="str">
        <f>CONCATENATE(LEFT(ConsumoConcreto[[#This Row],[RecebimentoID]],4),"CNSC",TEXT(ConsumoConcreto[[#This Row],[Ordem]],"0000"),UPPER(LEFT(ConsumoConcreto[[#This Row],[Destino]],3)))</f>
        <v>0184CNSC0006RAD</v>
      </c>
      <c r="B235" s="1">
        <v>6</v>
      </c>
      <c r="C235" s="2" t="s">
        <v>2243</v>
      </c>
      <c r="D235" s="2" t="s">
        <v>1961</v>
      </c>
      <c r="E235" s="18">
        <v>6</v>
      </c>
      <c r="F235" s="2" t="s">
        <v>1801</v>
      </c>
      <c r="G235" s="36"/>
      <c r="H235" s="2" t="s">
        <v>1968</v>
      </c>
      <c r="I2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35" s="22">
        <v>5.5</v>
      </c>
      <c r="K235" s="22">
        <v>5.5</v>
      </c>
      <c r="L235" s="37">
        <v>36892</v>
      </c>
      <c r="M235" s="2"/>
      <c r="N235" s="2"/>
      <c r="O235" s="2" t="s">
        <v>27</v>
      </c>
      <c r="P235" s="2" t="s">
        <v>26</v>
      </c>
    </row>
    <row r="236" spans="1:16" ht="20.100000000000001" customHeight="1" x14ac:dyDescent="0.25">
      <c r="A236" s="26" t="str">
        <f>CONCATENATE(LEFT(ConsumoConcreto[[#This Row],[RecebimentoID]],4),"CNSC",TEXT(ConsumoConcreto[[#This Row],[Ordem]],"0000"),UPPER(LEFT(ConsumoConcreto[[#This Row],[Destino]],3)))</f>
        <v>0184CNSC0053PAR</v>
      </c>
      <c r="B236" s="1">
        <v>53</v>
      </c>
      <c r="C236" s="2" t="s">
        <v>2244</v>
      </c>
      <c r="D236" s="2" t="s">
        <v>1970</v>
      </c>
      <c r="E236" s="18">
        <v>6</v>
      </c>
      <c r="F236" s="2" t="s">
        <v>25</v>
      </c>
      <c r="G236" s="36"/>
      <c r="H236" s="2" t="s">
        <v>1965</v>
      </c>
      <c r="I2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36" s="22">
        <v>14</v>
      </c>
      <c r="K236" s="22">
        <v>14</v>
      </c>
      <c r="L236" s="37">
        <v>36892</v>
      </c>
      <c r="M236" s="2"/>
      <c r="N236" s="2" t="s">
        <v>1966</v>
      </c>
      <c r="O236" s="2" t="s">
        <v>27</v>
      </c>
      <c r="P236" s="2" t="s">
        <v>26</v>
      </c>
    </row>
    <row r="237" spans="1:16" ht="20.100000000000001" customHeight="1" x14ac:dyDescent="0.25">
      <c r="A237" s="26" t="str">
        <f>CONCATENATE(LEFT(ConsumoConcreto[[#This Row],[RecebimentoID]],4),"CNSC",TEXT(ConsumoConcreto[[#This Row],[Ordem]],"0000"),UPPER(LEFT(ConsumoConcreto[[#This Row],[Destino]],3)))</f>
        <v>0184CNSC0074PIL</v>
      </c>
      <c r="B237" s="1">
        <v>74</v>
      </c>
      <c r="C237" s="2" t="s">
        <v>2245</v>
      </c>
      <c r="D237" s="2" t="s">
        <v>1970</v>
      </c>
      <c r="E237" s="18">
        <v>6</v>
      </c>
      <c r="F237" s="2" t="s">
        <v>25</v>
      </c>
      <c r="G237" s="36"/>
      <c r="H237" s="2" t="s">
        <v>1962</v>
      </c>
      <c r="I2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37" s="22">
        <v>0.3</v>
      </c>
      <c r="K237" s="22">
        <v>0.1</v>
      </c>
      <c r="L237" s="37">
        <v>36892</v>
      </c>
      <c r="M237" s="2"/>
      <c r="N237" s="2" t="s">
        <v>1963</v>
      </c>
      <c r="O237" s="2" t="s">
        <v>27</v>
      </c>
      <c r="P237" s="2" t="s">
        <v>26</v>
      </c>
    </row>
    <row r="238" spans="1:16" ht="20.100000000000001" customHeight="1" x14ac:dyDescent="0.25">
      <c r="A238" s="26" t="str">
        <f>CONCATENATE(LEFT(ConsumoConcreto[[#This Row],[RecebimentoID]],4),"CNSC",TEXT(ConsumoConcreto[[#This Row],[Ordem]],"0000"),UPPER(LEFT(ConsumoConcreto[[#This Row],[Destino]],3)))</f>
        <v>0184CNSC0027RAD</v>
      </c>
      <c r="B238" s="1">
        <v>27</v>
      </c>
      <c r="C238" s="2" t="s">
        <v>2246</v>
      </c>
      <c r="D238" s="2" t="s">
        <v>1970</v>
      </c>
      <c r="E238" s="18">
        <v>6</v>
      </c>
      <c r="F238" s="2" t="s">
        <v>1801</v>
      </c>
      <c r="G238" s="36"/>
      <c r="H238" s="2" t="s">
        <v>1968</v>
      </c>
      <c r="I2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38" s="22">
        <v>5.5</v>
      </c>
      <c r="K238" s="22">
        <v>5.5</v>
      </c>
      <c r="L238" s="37">
        <v>36892</v>
      </c>
      <c r="M238" s="2"/>
      <c r="N238" s="2"/>
      <c r="O238" s="2" t="s">
        <v>27</v>
      </c>
      <c r="P238" s="2" t="s">
        <v>26</v>
      </c>
    </row>
    <row r="239" spans="1:16" ht="20.100000000000001" customHeight="1" x14ac:dyDescent="0.25">
      <c r="A239" s="26" t="str">
        <f>CONCATENATE(LEFT(ConsumoConcreto[[#This Row],[RecebimentoID]],4),"CNSC",TEXT(ConsumoConcreto[[#This Row],[Ordem]],"0000"),UPPER(LEFT(ConsumoConcreto[[#This Row],[Destino]],3)))</f>
        <v>0184CNSC0131PAR</v>
      </c>
      <c r="B239" s="1">
        <v>131</v>
      </c>
      <c r="C239" s="2" t="s">
        <v>2247</v>
      </c>
      <c r="D239" s="2" t="s">
        <v>1975</v>
      </c>
      <c r="E239" s="18">
        <v>6</v>
      </c>
      <c r="F239" s="2" t="s">
        <v>25</v>
      </c>
      <c r="G239" s="36"/>
      <c r="H239" s="2" t="s">
        <v>1965</v>
      </c>
      <c r="I2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39" s="22">
        <v>14.5</v>
      </c>
      <c r="K239" s="22">
        <v>14</v>
      </c>
      <c r="L239" s="37">
        <v>36892</v>
      </c>
      <c r="M239" s="2"/>
      <c r="N239" s="2" t="s">
        <v>1966</v>
      </c>
      <c r="O239" s="2" t="s">
        <v>27</v>
      </c>
      <c r="P239" s="2" t="s">
        <v>26</v>
      </c>
    </row>
    <row r="240" spans="1:16" ht="20.100000000000001" customHeight="1" x14ac:dyDescent="0.25">
      <c r="A240" s="26" t="str">
        <f>CONCATENATE(LEFT(ConsumoConcreto[[#This Row],[RecebimentoID]],4),"CNSC",TEXT(ConsumoConcreto[[#This Row],[Ordem]],"0000"),UPPER(LEFT(ConsumoConcreto[[#This Row],[Destino]],3)))</f>
        <v>0184CNSC0117RAD</v>
      </c>
      <c r="B240" s="1">
        <v>117</v>
      </c>
      <c r="C240" s="2" t="s">
        <v>2248</v>
      </c>
      <c r="D240" s="2" t="s">
        <v>1975</v>
      </c>
      <c r="E240" s="18">
        <v>6</v>
      </c>
      <c r="F240" s="2" t="s">
        <v>1801</v>
      </c>
      <c r="G240" s="36"/>
      <c r="H240" s="2" t="s">
        <v>1968</v>
      </c>
      <c r="I2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40" s="22">
        <v>5.33</v>
      </c>
      <c r="K240" s="22">
        <v>5.33</v>
      </c>
      <c r="L240" s="37">
        <v>36892</v>
      </c>
      <c r="M240" s="2"/>
      <c r="N240" s="2"/>
      <c r="O240" s="2" t="s">
        <v>27</v>
      </c>
      <c r="P240" s="2" t="s">
        <v>26</v>
      </c>
    </row>
    <row r="241" spans="1:16" ht="20.100000000000001" customHeight="1" x14ac:dyDescent="0.25">
      <c r="A241" s="26" t="str">
        <f>CONCATENATE(LEFT(ConsumoConcreto[[#This Row],[RecebimentoID]],4),"CNSC",TEXT(ConsumoConcreto[[#This Row],[Ordem]],"0000"),UPPER(LEFT(ConsumoConcreto[[#This Row],[Destino]],3)))</f>
        <v>0184CNSC0157PIL</v>
      </c>
      <c r="B241" s="1">
        <v>157</v>
      </c>
      <c r="C241" s="2" t="s">
        <v>2249</v>
      </c>
      <c r="D241" s="2" t="s">
        <v>1975</v>
      </c>
      <c r="E241" s="18">
        <v>6</v>
      </c>
      <c r="F241" s="2" t="s">
        <v>1801</v>
      </c>
      <c r="G241" s="36"/>
      <c r="H241" s="2" t="s">
        <v>1962</v>
      </c>
      <c r="I2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41" s="22">
        <v>0.17</v>
      </c>
      <c r="K241" s="22">
        <v>0.1</v>
      </c>
      <c r="L241" s="37">
        <v>36892</v>
      </c>
      <c r="M241" s="2"/>
      <c r="N241" s="2" t="s">
        <v>1963</v>
      </c>
      <c r="O241" s="2" t="s">
        <v>27</v>
      </c>
      <c r="P241" s="2" t="s">
        <v>26</v>
      </c>
    </row>
    <row r="242" spans="1:16" ht="20.100000000000001" customHeight="1" x14ac:dyDescent="0.25">
      <c r="A242" s="26" t="str">
        <f>CONCATENATE(LEFT(ConsumoConcreto[[#This Row],[RecebimentoID]],4),"CNSC",TEXT(ConsumoConcreto[[#This Row],[Ordem]],"0000"),UPPER(LEFT(ConsumoConcreto[[#This Row],[Destino]],3)))</f>
        <v>0184CNSC0215PAR</v>
      </c>
      <c r="B242" s="1">
        <v>215</v>
      </c>
      <c r="C242" s="2" t="s">
        <v>2250</v>
      </c>
      <c r="D242" s="2" t="s">
        <v>1979</v>
      </c>
      <c r="E242" s="18">
        <v>6</v>
      </c>
      <c r="F242" s="2" t="s">
        <v>25</v>
      </c>
      <c r="G242" s="36">
        <v>0.84930555555555554</v>
      </c>
      <c r="H242" s="2" t="s">
        <v>1965</v>
      </c>
      <c r="I2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42" s="22">
        <v>15</v>
      </c>
      <c r="K242" s="22">
        <v>15</v>
      </c>
      <c r="L242" s="37">
        <v>36892</v>
      </c>
      <c r="M242" s="2"/>
      <c r="N242" s="2" t="s">
        <v>1966</v>
      </c>
      <c r="O242" s="2" t="s">
        <v>27</v>
      </c>
      <c r="P242" s="2" t="s">
        <v>26</v>
      </c>
    </row>
    <row r="243" spans="1:16" ht="20.100000000000001" customHeight="1" x14ac:dyDescent="0.25">
      <c r="A243" s="26" t="str">
        <f>CONCATENATE(LEFT(ConsumoConcreto[[#This Row],[RecebimentoID]],4),"CNSC",TEXT(ConsumoConcreto[[#This Row],[Ordem]],"0000"),UPPER(LEFT(ConsumoConcreto[[#This Row],[Destino]],3)))</f>
        <v>0184CNSC0184RAD</v>
      </c>
      <c r="B243" s="1">
        <v>184</v>
      </c>
      <c r="C243" s="2" t="s">
        <v>2251</v>
      </c>
      <c r="D243" s="2" t="s">
        <v>1979</v>
      </c>
      <c r="E243" s="18">
        <v>6</v>
      </c>
      <c r="F243" s="2" t="s">
        <v>1801</v>
      </c>
      <c r="G243" s="36"/>
      <c r="H243" s="2" t="s">
        <v>1968</v>
      </c>
      <c r="I2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43" s="22">
        <v>6.5</v>
      </c>
      <c r="K243" s="22">
        <v>5.5</v>
      </c>
      <c r="L243" s="37">
        <v>36892</v>
      </c>
      <c r="M243" s="2" t="s">
        <v>2252</v>
      </c>
      <c r="N243" s="2" t="s">
        <v>1966</v>
      </c>
      <c r="O243" s="2" t="s">
        <v>27</v>
      </c>
      <c r="P243" s="2" t="s">
        <v>26</v>
      </c>
    </row>
    <row r="244" spans="1:16" ht="20.100000000000001" customHeight="1" x14ac:dyDescent="0.25">
      <c r="A244" s="26" t="str">
        <f>CONCATENATE(LEFT(ConsumoConcreto[[#This Row],[RecebimentoID]],4),"CNSC",TEXT(ConsumoConcreto[[#This Row],[Ordem]],"0000"),UPPER(LEFT(ConsumoConcreto[[#This Row],[Destino]],3)))</f>
        <v>0184CNSC0247PIL</v>
      </c>
      <c r="B244" s="1">
        <v>247</v>
      </c>
      <c r="C244" s="2" t="s">
        <v>2253</v>
      </c>
      <c r="D244" s="2" t="s">
        <v>1979</v>
      </c>
      <c r="E244" s="18">
        <v>6</v>
      </c>
      <c r="F244" s="2" t="s">
        <v>1801</v>
      </c>
      <c r="G244" s="36"/>
      <c r="H244" s="2" t="s">
        <v>1962</v>
      </c>
      <c r="I2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44" s="22">
        <v>0.1</v>
      </c>
      <c r="K244" s="22">
        <v>0.1</v>
      </c>
      <c r="L244" s="37">
        <v>36892</v>
      </c>
      <c r="M244" s="2"/>
      <c r="N244" s="2" t="s">
        <v>1963</v>
      </c>
      <c r="O244" s="2" t="s">
        <v>27</v>
      </c>
      <c r="P244" s="2" t="s">
        <v>26</v>
      </c>
    </row>
    <row r="245" spans="1:16" ht="20.100000000000001" customHeight="1" x14ac:dyDescent="0.25">
      <c r="A245" s="26" t="str">
        <f>CONCATENATE(LEFT(ConsumoConcreto[[#This Row],[RecebimentoID]],4),"CNSC",TEXT(ConsumoConcreto[[#This Row],[Ordem]],"0000"),UPPER(LEFT(ConsumoConcreto[[#This Row],[Destino]],3)))</f>
        <v>0184CNSC0276PAR</v>
      </c>
      <c r="B245" s="1">
        <v>276</v>
      </c>
      <c r="C245" s="2" t="s">
        <v>2254</v>
      </c>
      <c r="D245" s="2" t="s">
        <v>1985</v>
      </c>
      <c r="E245" s="18">
        <v>6</v>
      </c>
      <c r="F245" s="2" t="s">
        <v>25</v>
      </c>
      <c r="G245" s="36">
        <v>0.92847222222222225</v>
      </c>
      <c r="H245" s="2" t="s">
        <v>1965</v>
      </c>
      <c r="I2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45" s="22">
        <v>18</v>
      </c>
      <c r="K245" s="22">
        <v>18</v>
      </c>
      <c r="L245" s="37">
        <v>36892</v>
      </c>
      <c r="M245" s="2"/>
      <c r="N245" s="2" t="s">
        <v>1966</v>
      </c>
      <c r="O245" s="2" t="s">
        <v>27</v>
      </c>
      <c r="P245" s="2" t="s">
        <v>26</v>
      </c>
    </row>
    <row r="246" spans="1:16" ht="20.100000000000001" customHeight="1" x14ac:dyDescent="0.25">
      <c r="A246" s="26" t="str">
        <f>CONCATENATE(LEFT(ConsumoConcreto[[#This Row],[RecebimentoID]],4),"CNSC",TEXT(ConsumoConcreto[[#This Row],[Ordem]],"0000"),UPPER(LEFT(ConsumoConcreto[[#This Row],[Destino]],3)))</f>
        <v>0184CNSC0255RAD</v>
      </c>
      <c r="B246" s="1">
        <v>255</v>
      </c>
      <c r="C246" s="2" t="s">
        <v>2255</v>
      </c>
      <c r="D246" s="2" t="s">
        <v>1985</v>
      </c>
      <c r="E246" s="18">
        <v>6</v>
      </c>
      <c r="F246" s="2" t="s">
        <v>1801</v>
      </c>
      <c r="G246" s="36">
        <v>0.74305555555555547</v>
      </c>
      <c r="H246" s="2" t="s">
        <v>1968</v>
      </c>
      <c r="I2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46" s="22">
        <v>7</v>
      </c>
      <c r="K246" s="22">
        <v>7</v>
      </c>
      <c r="L246" s="37">
        <v>36892</v>
      </c>
      <c r="M246" s="2"/>
      <c r="N246" s="2" t="s">
        <v>1963</v>
      </c>
      <c r="O246" s="2" t="s">
        <v>27</v>
      </c>
      <c r="P246" s="2" t="s">
        <v>26</v>
      </c>
    </row>
    <row r="247" spans="1:16" ht="20.100000000000001" customHeight="1" x14ac:dyDescent="0.25">
      <c r="A247" s="26" t="str">
        <f>CONCATENATE(LEFT(ConsumoConcreto[[#This Row],[RecebimentoID]],4),"CNSC",TEXT(ConsumoConcreto[[#This Row],[Ordem]],"0000"),UPPER(LEFT(ConsumoConcreto[[#This Row],[Destino]],3)))</f>
        <v>0184CNSC0295PIL</v>
      </c>
      <c r="B247" s="1">
        <v>295</v>
      </c>
      <c r="C247" s="2" t="s">
        <v>2256</v>
      </c>
      <c r="D247" s="2" t="s">
        <v>1985</v>
      </c>
      <c r="E247" s="18">
        <v>6</v>
      </c>
      <c r="F247" s="2" t="s">
        <v>1801</v>
      </c>
      <c r="G247" s="36">
        <v>0.5</v>
      </c>
      <c r="H247" s="2" t="s">
        <v>1962</v>
      </c>
      <c r="I2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47" s="22">
        <v>0.1</v>
      </c>
      <c r="K247" s="22">
        <v>0.1</v>
      </c>
      <c r="L247" s="37">
        <v>36892</v>
      </c>
      <c r="M247" s="2"/>
      <c r="N247" s="2" t="s">
        <v>1963</v>
      </c>
      <c r="O247" s="2" t="s">
        <v>27</v>
      </c>
      <c r="P247" s="2" t="s">
        <v>26</v>
      </c>
    </row>
    <row r="248" spans="1:16" ht="20.100000000000001" customHeight="1" x14ac:dyDescent="0.25">
      <c r="A248" s="26" t="str">
        <f>CONCATENATE(LEFT(ConsumoConcreto[[#This Row],[RecebimentoID]],4),"CNSC",TEXT(ConsumoConcreto[[#This Row],[Ordem]],"0000"),UPPER(LEFT(ConsumoConcreto[[#This Row],[Destino]],3)))</f>
        <v>0184CNSC0324PAR</v>
      </c>
      <c r="B248" s="1">
        <v>324</v>
      </c>
      <c r="C248" s="2" t="s">
        <v>2257</v>
      </c>
      <c r="D248" s="2" t="s">
        <v>1989</v>
      </c>
      <c r="E248" s="18">
        <v>6</v>
      </c>
      <c r="F248" s="2" t="s">
        <v>25</v>
      </c>
      <c r="G248" s="36">
        <v>0.76874999999999993</v>
      </c>
      <c r="H248" s="2" t="s">
        <v>1965</v>
      </c>
      <c r="I2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48" s="22">
        <v>14.5</v>
      </c>
      <c r="K248" s="22">
        <v>14.5</v>
      </c>
      <c r="L248" s="37">
        <v>36892</v>
      </c>
      <c r="M248" s="2"/>
      <c r="N248" s="2" t="s">
        <v>1966</v>
      </c>
      <c r="O248" s="2" t="s">
        <v>27</v>
      </c>
      <c r="P248" s="2" t="s">
        <v>26</v>
      </c>
    </row>
    <row r="249" spans="1:16" ht="20.100000000000001" customHeight="1" x14ac:dyDescent="0.25">
      <c r="A249" s="26" t="str">
        <f>CONCATENATE(LEFT(ConsumoConcreto[[#This Row],[RecebimentoID]],4),"CNSC",TEXT(ConsumoConcreto[[#This Row],[Ordem]],"0000"),UPPER(LEFT(ConsumoConcreto[[#This Row],[Destino]],3)))</f>
        <v>0184CNSC0307RAD</v>
      </c>
      <c r="B249" s="1">
        <v>307</v>
      </c>
      <c r="C249" s="2" t="s">
        <v>2258</v>
      </c>
      <c r="D249" s="2" t="s">
        <v>1989</v>
      </c>
      <c r="E249" s="18">
        <v>6</v>
      </c>
      <c r="F249" s="2" t="s">
        <v>1801</v>
      </c>
      <c r="G249" s="36">
        <v>0.72222222222222221</v>
      </c>
      <c r="H249" s="2" t="s">
        <v>1968</v>
      </c>
      <c r="I2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49" s="22">
        <v>5.5</v>
      </c>
      <c r="K249" s="22">
        <v>5.5</v>
      </c>
      <c r="L249" s="37">
        <v>36892</v>
      </c>
      <c r="M249" s="2"/>
      <c r="N249" s="2" t="s">
        <v>1963</v>
      </c>
      <c r="O249" s="2" t="s">
        <v>27</v>
      </c>
      <c r="P249" s="2" t="s">
        <v>26</v>
      </c>
    </row>
    <row r="250" spans="1:16" ht="20.100000000000001" customHeight="1" x14ac:dyDescent="0.25">
      <c r="A250" s="26" t="str">
        <f>CONCATENATE(LEFT(ConsumoConcreto[[#This Row],[RecebimentoID]],4),"CNSC",TEXT(ConsumoConcreto[[#This Row],[Ordem]],"0000"),UPPER(LEFT(ConsumoConcreto[[#This Row],[Destino]],3)))</f>
        <v>0184CNSC0360PAR</v>
      </c>
      <c r="B250" s="1">
        <v>360</v>
      </c>
      <c r="C250" s="2" t="s">
        <v>2259</v>
      </c>
      <c r="D250" s="2" t="s">
        <v>1992</v>
      </c>
      <c r="E250" s="18">
        <v>6</v>
      </c>
      <c r="F250" s="2" t="s">
        <v>1780</v>
      </c>
      <c r="G250" s="36">
        <v>0.83819444444444446</v>
      </c>
      <c r="H250" s="2" t="s">
        <v>1965</v>
      </c>
      <c r="I2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50" s="22">
        <v>14.5</v>
      </c>
      <c r="K250" s="22">
        <v>14.5</v>
      </c>
      <c r="L250" s="37">
        <v>36892</v>
      </c>
      <c r="M250" s="2"/>
      <c r="N250" s="2" t="s">
        <v>1966</v>
      </c>
      <c r="O250" s="2" t="s">
        <v>27</v>
      </c>
      <c r="P250" s="2" t="s">
        <v>26</v>
      </c>
    </row>
    <row r="251" spans="1:16" ht="20.100000000000001" customHeight="1" x14ac:dyDescent="0.25">
      <c r="A251" s="26" t="str">
        <f>CONCATENATE(LEFT(ConsumoConcreto[[#This Row],[RecebimentoID]],4),"CNSC",TEXT(ConsumoConcreto[[#This Row],[Ordem]],"0000"),UPPER(LEFT(ConsumoConcreto[[#This Row],[Destino]],3)))</f>
        <v>0184CNSC0335RAD</v>
      </c>
      <c r="B251" s="1">
        <v>335</v>
      </c>
      <c r="C251" s="2" t="s">
        <v>2260</v>
      </c>
      <c r="D251" s="2" t="s">
        <v>1992</v>
      </c>
      <c r="E251" s="18">
        <v>6</v>
      </c>
      <c r="F251" s="2" t="s">
        <v>1801</v>
      </c>
      <c r="G251" s="36">
        <v>0.42708333333333331</v>
      </c>
      <c r="H251" s="2" t="s">
        <v>1968</v>
      </c>
      <c r="I2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51" s="22">
        <v>5.5</v>
      </c>
      <c r="K251" s="22">
        <v>5.5</v>
      </c>
      <c r="L251" s="37">
        <v>36892</v>
      </c>
      <c r="M251" s="2"/>
      <c r="N251" s="2" t="s">
        <v>1963</v>
      </c>
      <c r="O251" s="2" t="s">
        <v>27</v>
      </c>
      <c r="P251" s="2" t="s">
        <v>26</v>
      </c>
    </row>
    <row r="252" spans="1:16" ht="20.100000000000001" customHeight="1" x14ac:dyDescent="0.25">
      <c r="A252" s="26" t="str">
        <f>CONCATENATE(LEFT(ConsumoConcreto[[#This Row],[RecebimentoID]],4),"CNSC",TEXT(ConsumoConcreto[[#This Row],[Ordem]],"0000"),UPPER(LEFT(ConsumoConcreto[[#This Row],[Destino]],3)))</f>
        <v>0184CNSC0385PAR</v>
      </c>
      <c r="B252" s="1">
        <v>385</v>
      </c>
      <c r="C252" s="2" t="s">
        <v>2261</v>
      </c>
      <c r="D252" s="2" t="s">
        <v>1995</v>
      </c>
      <c r="E252" s="18">
        <v>6</v>
      </c>
      <c r="F252" s="2" t="s">
        <v>25</v>
      </c>
      <c r="G252" s="36">
        <v>0.85</v>
      </c>
      <c r="H252" s="2" t="s">
        <v>1965</v>
      </c>
      <c r="I2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52" s="22">
        <v>19.5</v>
      </c>
      <c r="K252" s="22">
        <v>19.5</v>
      </c>
      <c r="L252" s="37">
        <v>36892</v>
      </c>
      <c r="M252" s="2" t="s">
        <v>2262</v>
      </c>
      <c r="N252" s="2" t="s">
        <v>1966</v>
      </c>
      <c r="O252" s="2" t="s">
        <v>27</v>
      </c>
      <c r="P252" s="2" t="s">
        <v>26</v>
      </c>
    </row>
    <row r="253" spans="1:16" ht="20.100000000000001" customHeight="1" x14ac:dyDescent="0.25">
      <c r="A253" s="26" t="str">
        <f>CONCATENATE(LEFT(ConsumoConcreto[[#This Row],[RecebimentoID]],4),"CNSC",TEXT(ConsumoConcreto[[#This Row],[Ordem]],"0000"),UPPER(LEFT(ConsumoConcreto[[#This Row],[Destino]],3)))</f>
        <v>0184CNSC0363RAD</v>
      </c>
      <c r="B253" s="1">
        <v>363</v>
      </c>
      <c r="C253" s="2" t="s">
        <v>2263</v>
      </c>
      <c r="D253" s="2" t="s">
        <v>1995</v>
      </c>
      <c r="E253" s="18">
        <v>6</v>
      </c>
      <c r="F253" s="2" t="s">
        <v>1801</v>
      </c>
      <c r="G253" s="36">
        <v>0.64583333333333337</v>
      </c>
      <c r="H253" s="2" t="s">
        <v>1968</v>
      </c>
      <c r="I2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53" s="22">
        <v>7</v>
      </c>
      <c r="K253" s="22">
        <v>7</v>
      </c>
      <c r="L253" s="37">
        <v>36892</v>
      </c>
      <c r="M253" s="2"/>
      <c r="N253" s="2" t="s">
        <v>1963</v>
      </c>
      <c r="O253" s="2" t="s">
        <v>27</v>
      </c>
      <c r="P253" s="2" t="s">
        <v>26</v>
      </c>
    </row>
    <row r="254" spans="1:16" ht="20.100000000000001" customHeight="1" x14ac:dyDescent="0.25">
      <c r="A254" s="26" t="str">
        <f>CONCATENATE(LEFT(ConsumoConcreto[[#This Row],[RecebimentoID]],4),"CNSC",TEXT(ConsumoConcreto[[#This Row],[Ordem]],"0000"),UPPER(LEFT(ConsumoConcreto[[#This Row],[Destino]],3)))</f>
        <v>0184CNSC0412PIL</v>
      </c>
      <c r="B254" s="1">
        <v>412</v>
      </c>
      <c r="C254" s="2" t="s">
        <v>2264</v>
      </c>
      <c r="D254" s="2" t="s">
        <v>1995</v>
      </c>
      <c r="E254" s="18">
        <v>6</v>
      </c>
      <c r="F254" s="2" t="s">
        <v>1801</v>
      </c>
      <c r="G254" s="36"/>
      <c r="H254" s="2" t="s">
        <v>1962</v>
      </c>
      <c r="I2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54" s="22">
        <v>0.1</v>
      </c>
      <c r="K254" s="22">
        <v>0.1</v>
      </c>
      <c r="L254" s="37">
        <v>36892</v>
      </c>
      <c r="M254" s="2"/>
      <c r="N254" s="2" t="s">
        <v>1963</v>
      </c>
      <c r="O254" s="2" t="s">
        <v>27</v>
      </c>
      <c r="P254" s="2" t="s">
        <v>26</v>
      </c>
    </row>
    <row r="255" spans="1:16" ht="20.100000000000001" customHeight="1" x14ac:dyDescent="0.25">
      <c r="A255" s="26" t="str">
        <f>CONCATENATE(LEFT(ConsumoConcreto[[#This Row],[RecebimentoID]],4),"CNSC",TEXT(ConsumoConcreto[[#This Row],[Ordem]],"0000"),UPPER(LEFT(ConsumoConcreto[[#This Row],[Destino]],3)))</f>
        <v>0184CNSC0434PAR</v>
      </c>
      <c r="B255" s="1">
        <v>434</v>
      </c>
      <c r="C255" s="2" t="s">
        <v>2265</v>
      </c>
      <c r="D255" s="2" t="s">
        <v>1999</v>
      </c>
      <c r="E255" s="18">
        <v>6</v>
      </c>
      <c r="F255" s="2" t="s">
        <v>25</v>
      </c>
      <c r="G255" s="36">
        <v>0.84375</v>
      </c>
      <c r="H255" s="2" t="s">
        <v>1965</v>
      </c>
      <c r="I2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55" s="22">
        <v>14.5</v>
      </c>
      <c r="K255" s="22">
        <v>14.5</v>
      </c>
      <c r="L255" s="37">
        <v>36892</v>
      </c>
      <c r="M255" s="2"/>
      <c r="N255" s="2" t="s">
        <v>1966</v>
      </c>
      <c r="O255" s="2" t="s">
        <v>27</v>
      </c>
      <c r="P255" s="2" t="s">
        <v>26</v>
      </c>
    </row>
    <row r="256" spans="1:16" ht="20.100000000000001" customHeight="1" x14ac:dyDescent="0.25">
      <c r="A256" s="26" t="str">
        <f>CONCATENATE(LEFT(ConsumoConcreto[[#This Row],[RecebimentoID]],4),"CNSC",TEXT(ConsumoConcreto[[#This Row],[Ordem]],"0000"),UPPER(LEFT(ConsumoConcreto[[#This Row],[Destino]],3)))</f>
        <v>0184CNSC0422RAD</v>
      </c>
      <c r="B256" s="1">
        <v>422</v>
      </c>
      <c r="C256" s="2" t="s">
        <v>2266</v>
      </c>
      <c r="D256" s="2" t="s">
        <v>1999</v>
      </c>
      <c r="E256" s="18">
        <v>6</v>
      </c>
      <c r="F256" s="2" t="s">
        <v>1801</v>
      </c>
      <c r="G256" s="36">
        <v>0.58888888888888891</v>
      </c>
      <c r="H256" s="2" t="s">
        <v>1968</v>
      </c>
      <c r="I2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56" s="22">
        <v>5.5</v>
      </c>
      <c r="K256" s="22">
        <v>5.5</v>
      </c>
      <c r="L256" s="37">
        <v>36892</v>
      </c>
      <c r="M256" s="2"/>
      <c r="N256" s="2" t="s">
        <v>1963</v>
      </c>
      <c r="O256" s="2" t="s">
        <v>27</v>
      </c>
      <c r="P256" s="2" t="s">
        <v>26</v>
      </c>
    </row>
    <row r="257" spans="1:16" ht="20.100000000000001" customHeight="1" x14ac:dyDescent="0.25">
      <c r="A257" s="26" t="str">
        <f>CONCATENATE(LEFT(ConsumoConcreto[[#This Row],[RecebimentoID]],4),"CNSC",TEXT(ConsumoConcreto[[#This Row],[Ordem]],"0000"),UPPER(LEFT(ConsumoConcreto[[#This Row],[Destino]],3)))</f>
        <v>0184CNSC0458PAR</v>
      </c>
      <c r="B257" s="1">
        <v>458</v>
      </c>
      <c r="C257" s="2" t="s">
        <v>2267</v>
      </c>
      <c r="D257" s="2" t="s">
        <v>2002</v>
      </c>
      <c r="E257" s="18">
        <v>6</v>
      </c>
      <c r="F257" s="2" t="s">
        <v>25</v>
      </c>
      <c r="G257" s="36">
        <v>0.70833333333333337</v>
      </c>
      <c r="H257" s="2" t="s">
        <v>1965</v>
      </c>
      <c r="I2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57" s="22">
        <v>14</v>
      </c>
      <c r="K257" s="22">
        <v>14</v>
      </c>
      <c r="L257" s="37">
        <v>36892</v>
      </c>
      <c r="M257" s="2"/>
      <c r="N257" s="2" t="s">
        <v>1966</v>
      </c>
      <c r="O257" s="2" t="s">
        <v>27</v>
      </c>
      <c r="P257" s="2" t="s">
        <v>26</v>
      </c>
    </row>
    <row r="258" spans="1:16" ht="20.100000000000001" customHeight="1" x14ac:dyDescent="0.25">
      <c r="A258" s="26" t="str">
        <f>CONCATENATE(LEFT(ConsumoConcreto[[#This Row],[RecebimentoID]],4),"CNSC",TEXT(ConsumoConcreto[[#This Row],[Ordem]],"0000"),UPPER(LEFT(ConsumoConcreto[[#This Row],[Destino]],3)))</f>
        <v>0184CNSC0446RAD</v>
      </c>
      <c r="B258" s="1">
        <v>446</v>
      </c>
      <c r="C258" s="2" t="s">
        <v>2268</v>
      </c>
      <c r="D258" s="2" t="s">
        <v>2002</v>
      </c>
      <c r="E258" s="18">
        <v>6</v>
      </c>
      <c r="F258" s="2" t="s">
        <v>1801</v>
      </c>
      <c r="G258" s="36">
        <v>0.54513888888888895</v>
      </c>
      <c r="H258" s="2" t="s">
        <v>1968</v>
      </c>
      <c r="I2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58" s="22">
        <v>5.5</v>
      </c>
      <c r="K258" s="22">
        <v>5.5</v>
      </c>
      <c r="L258" s="37">
        <v>36892</v>
      </c>
      <c r="M258" s="2"/>
      <c r="N258" s="2" t="s">
        <v>1963</v>
      </c>
      <c r="O258" s="2" t="s">
        <v>27</v>
      </c>
      <c r="P258" s="2" t="s">
        <v>26</v>
      </c>
    </row>
    <row r="259" spans="1:16" ht="20.100000000000001" customHeight="1" x14ac:dyDescent="0.25">
      <c r="A259" s="26" t="str">
        <f>CONCATENATE(LEFT(ConsumoConcreto[[#This Row],[RecebimentoID]],4),"CNSC",TEXT(ConsumoConcreto[[#This Row],[Ordem]],"0000"),UPPER(LEFT(ConsumoConcreto[[#This Row],[Destino]],3)))</f>
        <v>0184CNSC0502PAR</v>
      </c>
      <c r="B259" s="1">
        <v>502</v>
      </c>
      <c r="C259" s="2" t="s">
        <v>2269</v>
      </c>
      <c r="D259" s="2" t="s">
        <v>2005</v>
      </c>
      <c r="E259" s="18">
        <v>6</v>
      </c>
      <c r="F259" s="2" t="s">
        <v>25</v>
      </c>
      <c r="G259" s="36">
        <v>0.80555555555555547</v>
      </c>
      <c r="H259" s="2" t="s">
        <v>1965</v>
      </c>
      <c r="I2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59" s="22">
        <v>14.5</v>
      </c>
      <c r="K259" s="22">
        <v>14.5</v>
      </c>
      <c r="L259" s="37">
        <v>36892</v>
      </c>
      <c r="M259" s="2"/>
      <c r="N259" s="2" t="s">
        <v>1966</v>
      </c>
      <c r="O259" s="2" t="s">
        <v>27</v>
      </c>
      <c r="P259" s="2" t="s">
        <v>26</v>
      </c>
    </row>
    <row r="260" spans="1:16" ht="20.100000000000001" customHeight="1" x14ac:dyDescent="0.25">
      <c r="A260" s="26" t="str">
        <f>CONCATENATE(LEFT(ConsumoConcreto[[#This Row],[RecebimentoID]],4),"CNSC",TEXT(ConsumoConcreto[[#This Row],[Ordem]],"0000"),UPPER(LEFT(ConsumoConcreto[[#This Row],[Destino]],3)))</f>
        <v>0184CNSC0471RAD</v>
      </c>
      <c r="B260" s="1">
        <v>471</v>
      </c>
      <c r="C260" s="2" t="s">
        <v>2270</v>
      </c>
      <c r="D260" s="2" t="s">
        <v>2005</v>
      </c>
      <c r="E260" s="18">
        <v>6</v>
      </c>
      <c r="F260" s="2" t="s">
        <v>1801</v>
      </c>
      <c r="G260" s="36">
        <v>0.46527777777777773</v>
      </c>
      <c r="H260" s="2" t="s">
        <v>1968</v>
      </c>
      <c r="I2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60" s="22">
        <v>5.5</v>
      </c>
      <c r="K260" s="22">
        <v>5.5</v>
      </c>
      <c r="L260" s="37">
        <v>36892</v>
      </c>
      <c r="M260" s="2"/>
      <c r="N260" s="2" t="s">
        <v>1963</v>
      </c>
      <c r="O260" s="2" t="s">
        <v>27</v>
      </c>
      <c r="P260" s="2" t="s">
        <v>26</v>
      </c>
    </row>
    <row r="261" spans="1:16" ht="20.100000000000001" customHeight="1" x14ac:dyDescent="0.25">
      <c r="A261" s="26" t="str">
        <f>CONCATENATE(LEFT(ConsumoConcreto[[#This Row],[RecebimentoID]],4),"CNSC",TEXT(ConsumoConcreto[[#This Row],[Ordem]],"0000"),UPPER(LEFT(ConsumoConcreto[[#This Row],[Destino]],3)))</f>
        <v>0184CNSC0580PAR</v>
      </c>
      <c r="B261" s="1">
        <v>580</v>
      </c>
      <c r="C261" s="2" t="s">
        <v>2271</v>
      </c>
      <c r="D261" s="2" t="s">
        <v>2007</v>
      </c>
      <c r="E261" s="18">
        <v>6</v>
      </c>
      <c r="F261" s="2" t="s">
        <v>25</v>
      </c>
      <c r="G261" s="36">
        <v>0.9375</v>
      </c>
      <c r="H261" s="2" t="s">
        <v>1965</v>
      </c>
      <c r="I2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61" s="22">
        <v>18</v>
      </c>
      <c r="K261" s="22">
        <v>18</v>
      </c>
      <c r="L261" s="37">
        <v>36892</v>
      </c>
      <c r="M261" s="2"/>
      <c r="N261" s="2" t="s">
        <v>1966</v>
      </c>
      <c r="O261" s="2" t="s">
        <v>27</v>
      </c>
      <c r="P261" s="2" t="s">
        <v>26</v>
      </c>
    </row>
    <row r="262" spans="1:16" ht="20.100000000000001" customHeight="1" x14ac:dyDescent="0.25">
      <c r="A262" s="26" t="str">
        <f>CONCATENATE(LEFT(ConsumoConcreto[[#This Row],[RecebimentoID]],4),"CNSC",TEXT(ConsumoConcreto[[#This Row],[Ordem]],"0000"),UPPER(LEFT(ConsumoConcreto[[#This Row],[Destino]],3)))</f>
        <v>0184CNSC0566RAD</v>
      </c>
      <c r="B262" s="1">
        <v>566</v>
      </c>
      <c r="C262" s="2" t="s">
        <v>2272</v>
      </c>
      <c r="D262" s="2" t="s">
        <v>2007</v>
      </c>
      <c r="E262" s="18">
        <v>6</v>
      </c>
      <c r="F262" s="2" t="s">
        <v>1801</v>
      </c>
      <c r="G262" s="36"/>
      <c r="H262" s="2" t="s">
        <v>1968</v>
      </c>
      <c r="I2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62" s="22">
        <v>7</v>
      </c>
      <c r="K262" s="22">
        <v>7</v>
      </c>
      <c r="L262" s="37">
        <v>36892</v>
      </c>
      <c r="M262" s="2"/>
      <c r="N262" s="2" t="s">
        <v>1963</v>
      </c>
      <c r="O262" s="2" t="s">
        <v>27</v>
      </c>
      <c r="P262" s="2" t="s">
        <v>26</v>
      </c>
    </row>
    <row r="263" spans="1:16" ht="20.100000000000001" customHeight="1" x14ac:dyDescent="0.25">
      <c r="A263" s="26" t="str">
        <f>CONCATENATE(LEFT(ConsumoConcreto[[#This Row],[RecebimentoID]],4),"CNSC",TEXT(ConsumoConcreto[[#This Row],[Ordem]],"0000"),UPPER(LEFT(ConsumoConcreto[[#This Row],[Destino]],3)))</f>
        <v>0184CNSC0637PAR</v>
      </c>
      <c r="B263" s="1">
        <v>637</v>
      </c>
      <c r="C263" s="2" t="s">
        <v>2273</v>
      </c>
      <c r="D263" s="2" t="s">
        <v>2010</v>
      </c>
      <c r="E263" s="18">
        <v>6</v>
      </c>
      <c r="F263" s="2" t="s">
        <v>25</v>
      </c>
      <c r="G263" s="36">
        <v>0.93194444444444446</v>
      </c>
      <c r="H263" s="2" t="s">
        <v>1965</v>
      </c>
      <c r="I2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63" s="22">
        <v>14</v>
      </c>
      <c r="K263" s="22">
        <v>14</v>
      </c>
      <c r="L263" s="37">
        <v>36892</v>
      </c>
      <c r="M263" s="2" t="s">
        <v>2274</v>
      </c>
      <c r="N263" s="2" t="s">
        <v>1966</v>
      </c>
      <c r="O263" s="2" t="s">
        <v>27</v>
      </c>
      <c r="P263" s="2" t="s">
        <v>26</v>
      </c>
    </row>
    <row r="264" spans="1:16" ht="20.100000000000001" customHeight="1" x14ac:dyDescent="0.25">
      <c r="A264" s="26" t="str">
        <f>CONCATENATE(LEFT(ConsumoConcreto[[#This Row],[RecebimentoID]],4),"CNSC",TEXT(ConsumoConcreto[[#This Row],[Ordem]],"0000"),UPPER(LEFT(ConsumoConcreto[[#This Row],[Destino]],3)))</f>
        <v>0184CNSC0602RAD</v>
      </c>
      <c r="B264" s="1">
        <v>602</v>
      </c>
      <c r="C264" s="2" t="s">
        <v>2275</v>
      </c>
      <c r="D264" s="2" t="s">
        <v>2010</v>
      </c>
      <c r="E264" s="18">
        <v>6</v>
      </c>
      <c r="F264" s="2" t="s">
        <v>1801</v>
      </c>
      <c r="G264" s="36">
        <v>0.56736111111111109</v>
      </c>
      <c r="H264" s="2" t="s">
        <v>1968</v>
      </c>
      <c r="I2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64" s="22">
        <v>5.5</v>
      </c>
      <c r="K264" s="22">
        <v>5.5</v>
      </c>
      <c r="L264" s="37">
        <v>36892</v>
      </c>
      <c r="M264" s="2"/>
      <c r="N264" s="2" t="s">
        <v>1966</v>
      </c>
      <c r="O264" s="2" t="s">
        <v>27</v>
      </c>
      <c r="P264" s="2" t="s">
        <v>26</v>
      </c>
    </row>
    <row r="265" spans="1:16" ht="20.100000000000001" customHeight="1" x14ac:dyDescent="0.25">
      <c r="A265" s="26" t="str">
        <f>CONCATENATE(LEFT(ConsumoConcreto[[#This Row],[RecebimentoID]],4),"CNSC",TEXT(ConsumoConcreto[[#This Row],[Ordem]],"0000"),UPPER(LEFT(ConsumoConcreto[[#This Row],[Destino]],3)))</f>
        <v>0184CNSC0730PAR</v>
      </c>
      <c r="B265" s="1">
        <v>730</v>
      </c>
      <c r="C265" s="2" t="s">
        <v>2276</v>
      </c>
      <c r="D265" s="2" t="s">
        <v>2013</v>
      </c>
      <c r="E265" s="18">
        <v>6</v>
      </c>
      <c r="F265" s="2" t="s">
        <v>25</v>
      </c>
      <c r="G265" s="36">
        <v>0.72569444444444453</v>
      </c>
      <c r="H265" s="2" t="s">
        <v>1965</v>
      </c>
      <c r="I2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65" s="22">
        <v>14</v>
      </c>
      <c r="K265" s="22">
        <v>14</v>
      </c>
      <c r="L265" s="37">
        <v>36892</v>
      </c>
      <c r="M265" s="2"/>
      <c r="N265" s="2" t="s">
        <v>1966</v>
      </c>
      <c r="O265" s="2" t="s">
        <v>27</v>
      </c>
      <c r="P265" s="2" t="s">
        <v>26</v>
      </c>
    </row>
    <row r="266" spans="1:16" ht="20.100000000000001" customHeight="1" x14ac:dyDescent="0.25">
      <c r="A266" s="26" t="str">
        <f>CONCATENATE(LEFT(ConsumoConcreto[[#This Row],[RecebimentoID]],4),"CNSC",TEXT(ConsumoConcreto[[#This Row],[Ordem]],"0000"),UPPER(LEFT(ConsumoConcreto[[#This Row],[Destino]],3)))</f>
        <v>0184CNSC0710RAD</v>
      </c>
      <c r="B266" s="1">
        <v>710</v>
      </c>
      <c r="C266" s="2" t="s">
        <v>2277</v>
      </c>
      <c r="D266" s="2" t="s">
        <v>2013</v>
      </c>
      <c r="E266" s="18">
        <v>6</v>
      </c>
      <c r="F266" s="2" t="s">
        <v>1801</v>
      </c>
      <c r="G266" s="36">
        <v>0.55902777777777779</v>
      </c>
      <c r="H266" s="2" t="s">
        <v>1968</v>
      </c>
      <c r="I2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66" s="22">
        <v>5.2</v>
      </c>
      <c r="K266" s="22">
        <v>5.4809999999999999</v>
      </c>
      <c r="L266" s="37">
        <v>36892</v>
      </c>
      <c r="M266" s="2"/>
      <c r="N266" s="2" t="s">
        <v>1966</v>
      </c>
      <c r="O266" s="2" t="s">
        <v>27</v>
      </c>
      <c r="P266" s="2" t="s">
        <v>26</v>
      </c>
    </row>
    <row r="267" spans="1:16" ht="20.100000000000001" customHeight="1" x14ac:dyDescent="0.25">
      <c r="A267" s="26" t="str">
        <f>CONCATENATE(LEFT(ConsumoConcreto[[#This Row],[RecebimentoID]],4),"CNSC",TEXT(ConsumoConcreto[[#This Row],[Ordem]],"0000"),UPPER(LEFT(ConsumoConcreto[[#This Row],[Destino]],3)))</f>
        <v>0184CNSC0763PAR</v>
      </c>
      <c r="B267" s="1">
        <v>763</v>
      </c>
      <c r="C267" s="2" t="s">
        <v>2278</v>
      </c>
      <c r="D267" s="2" t="s">
        <v>2016</v>
      </c>
      <c r="E267" s="18">
        <v>6</v>
      </c>
      <c r="F267" s="2" t="s">
        <v>25</v>
      </c>
      <c r="G267" s="36">
        <v>0.87291666666666667</v>
      </c>
      <c r="H267" s="2" t="s">
        <v>1965</v>
      </c>
      <c r="I2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67" s="22">
        <v>18</v>
      </c>
      <c r="K267" s="22">
        <v>18</v>
      </c>
      <c r="L267" s="37">
        <v>36892</v>
      </c>
      <c r="M267" s="2"/>
      <c r="N267" s="2" t="s">
        <v>2017</v>
      </c>
      <c r="O267" s="2" t="s">
        <v>27</v>
      </c>
      <c r="P267" s="2" t="s">
        <v>26</v>
      </c>
    </row>
    <row r="268" spans="1:16" ht="20.100000000000001" customHeight="1" x14ac:dyDescent="0.25">
      <c r="A268" s="26" t="str">
        <f>CONCATENATE(LEFT(ConsumoConcreto[[#This Row],[RecebimentoID]],4),"CNSC",TEXT(ConsumoConcreto[[#This Row],[Ordem]],"0000"),UPPER(LEFT(ConsumoConcreto[[#This Row],[Destino]],3)))</f>
        <v>0184CNSC0746RAD</v>
      </c>
      <c r="B268" s="1">
        <v>746</v>
      </c>
      <c r="C268" s="2" t="s">
        <v>2279</v>
      </c>
      <c r="D268" s="2" t="s">
        <v>2016</v>
      </c>
      <c r="E268" s="18">
        <v>6</v>
      </c>
      <c r="F268" s="2" t="s">
        <v>1801</v>
      </c>
      <c r="G268" s="36">
        <v>0.38055555555555554</v>
      </c>
      <c r="H268" s="2" t="s">
        <v>1968</v>
      </c>
      <c r="I2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68" s="22">
        <v>7</v>
      </c>
      <c r="K268" s="22">
        <v>7</v>
      </c>
      <c r="L268" s="37">
        <v>36892</v>
      </c>
      <c r="M268" s="2" t="s">
        <v>2280</v>
      </c>
      <c r="N268" s="2" t="s">
        <v>2017</v>
      </c>
      <c r="O268" s="2" t="s">
        <v>27</v>
      </c>
      <c r="P268" s="2" t="s">
        <v>26</v>
      </c>
    </row>
    <row r="269" spans="1:16" ht="20.100000000000001" customHeight="1" x14ac:dyDescent="0.25">
      <c r="A269" s="26" t="str">
        <f>CONCATENATE(LEFT(ConsumoConcreto[[#This Row],[RecebimentoID]],4),"CNSC",TEXT(ConsumoConcreto[[#This Row],[Ordem]],"0000"),UPPER(LEFT(ConsumoConcreto[[#This Row],[Destino]],3)))</f>
        <v>0184CNSC0791PAR</v>
      </c>
      <c r="B269" s="1">
        <v>791</v>
      </c>
      <c r="C269" s="2" t="s">
        <v>2281</v>
      </c>
      <c r="D269" s="2" t="s">
        <v>2021</v>
      </c>
      <c r="E269" s="18">
        <v>6</v>
      </c>
      <c r="F269" s="2" t="s">
        <v>25</v>
      </c>
      <c r="G269" s="36">
        <v>0.72361111111111109</v>
      </c>
      <c r="H269" s="2" t="s">
        <v>1965</v>
      </c>
      <c r="I2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69" s="22">
        <v>14.5</v>
      </c>
      <c r="K269" s="22">
        <v>14.5</v>
      </c>
      <c r="L269" s="37">
        <v>36892</v>
      </c>
      <c r="M269" s="2"/>
      <c r="N269" s="2" t="s">
        <v>1966</v>
      </c>
      <c r="O269" s="2" t="s">
        <v>27</v>
      </c>
      <c r="P269" s="2" t="s">
        <v>26</v>
      </c>
    </row>
    <row r="270" spans="1:16" ht="20.100000000000001" customHeight="1" x14ac:dyDescent="0.25">
      <c r="A270" s="26" t="str">
        <f>CONCATENATE(LEFT(ConsumoConcreto[[#This Row],[RecebimentoID]],4),"CNSC",TEXT(ConsumoConcreto[[#This Row],[Ordem]],"0000"),UPPER(LEFT(ConsumoConcreto[[#This Row],[Destino]],3)))</f>
        <v>0184CNSC0795RAD</v>
      </c>
      <c r="B270" s="1">
        <v>795</v>
      </c>
      <c r="C270" s="2" t="s">
        <v>2282</v>
      </c>
      <c r="D270" s="2" t="s">
        <v>2021</v>
      </c>
      <c r="E270" s="18">
        <v>6</v>
      </c>
      <c r="F270" s="2" t="s">
        <v>1801</v>
      </c>
      <c r="G270" s="36"/>
      <c r="H270" s="2" t="s">
        <v>1968</v>
      </c>
      <c r="I2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L270" s="37">
        <v>36892</v>
      </c>
      <c r="M270" s="2"/>
      <c r="N270" s="2"/>
      <c r="O270" s="2" t="s">
        <v>27</v>
      </c>
      <c r="P270" s="2" t="s">
        <v>26</v>
      </c>
    </row>
    <row r="271" spans="1:16" ht="20.100000000000001" customHeight="1" x14ac:dyDescent="0.25">
      <c r="A271" s="26" t="str">
        <f>CONCATENATE(LEFT(ConsumoConcreto[[#This Row],[RecebimentoID]],4),"CNSC",TEXT(ConsumoConcreto[[#This Row],[Ordem]],"0000"),UPPER(LEFT(ConsumoConcreto[[#This Row],[Destino]],3)))</f>
        <v>0184CNSC0865PAR</v>
      </c>
      <c r="B271" s="1">
        <v>865</v>
      </c>
      <c r="C271" s="2" t="s">
        <v>2283</v>
      </c>
      <c r="D271" s="2" t="s">
        <v>2024</v>
      </c>
      <c r="E271" s="18">
        <v>6</v>
      </c>
      <c r="F271" s="2" t="s">
        <v>25</v>
      </c>
      <c r="G271" s="36"/>
      <c r="H271" s="2" t="s">
        <v>1965</v>
      </c>
      <c r="I2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271" s="37">
        <v>36892</v>
      </c>
      <c r="M271" s="2"/>
      <c r="N271" s="2" t="s">
        <v>1966</v>
      </c>
      <c r="O271" s="2" t="s">
        <v>27</v>
      </c>
      <c r="P271" s="2" t="s">
        <v>26</v>
      </c>
    </row>
    <row r="272" spans="1:16" ht="20.100000000000001" customHeight="1" x14ac:dyDescent="0.25">
      <c r="A272" s="26" t="str">
        <f>CONCATENATE(LEFT(ConsumoConcreto[[#This Row],[RecebimentoID]],4),"CNSC",TEXT(ConsumoConcreto[[#This Row],[Ordem]],"0000"),UPPER(LEFT(ConsumoConcreto[[#This Row],[Destino]],3)))</f>
        <v>0184CNSC0804RAD</v>
      </c>
      <c r="B272" s="1">
        <v>804</v>
      </c>
      <c r="C272" s="2" t="s">
        <v>2284</v>
      </c>
      <c r="D272" s="2" t="s">
        <v>2024</v>
      </c>
      <c r="E272" s="18">
        <v>6</v>
      </c>
      <c r="F272" s="2" t="s">
        <v>1801</v>
      </c>
      <c r="G272" s="36">
        <v>0.7104166666666667</v>
      </c>
      <c r="H272" s="2" t="s">
        <v>1968</v>
      </c>
      <c r="I2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72" s="22">
        <v>5.5</v>
      </c>
      <c r="K272" s="22">
        <v>5.5</v>
      </c>
      <c r="L272" s="37">
        <v>36892</v>
      </c>
      <c r="M272" s="2"/>
      <c r="N272" s="2" t="s">
        <v>1963</v>
      </c>
      <c r="O272" s="2" t="s">
        <v>27</v>
      </c>
      <c r="P272" s="2" t="s">
        <v>26</v>
      </c>
    </row>
    <row r="273" spans="1:16" ht="20.100000000000001" customHeight="1" x14ac:dyDescent="0.25">
      <c r="A273" s="26" t="str">
        <f>CONCATENATE(LEFT(ConsumoConcreto[[#This Row],[RecebimentoID]],4),"CNSC",TEXT(ConsumoConcreto[[#This Row],[Ordem]],"0000"),UPPER(LEFT(ConsumoConcreto[[#This Row],[Destino]],3)))</f>
        <v>0184CNSC0918PAR</v>
      </c>
      <c r="B273" s="1">
        <v>918</v>
      </c>
      <c r="C273" s="2" t="s">
        <v>2285</v>
      </c>
      <c r="D273" s="2" t="s">
        <v>2030</v>
      </c>
      <c r="E273" s="18">
        <v>6</v>
      </c>
      <c r="F273" s="2" t="s">
        <v>1780</v>
      </c>
      <c r="G273" s="36">
        <v>0.73472222222222217</v>
      </c>
      <c r="H273" s="2" t="s">
        <v>1965</v>
      </c>
      <c r="I2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73" s="22">
        <v>14.5</v>
      </c>
      <c r="K273" s="22">
        <v>13.946199999999999</v>
      </c>
      <c r="L273" s="37">
        <v>36892</v>
      </c>
      <c r="M273" s="2"/>
      <c r="N273" s="2" t="s">
        <v>1966</v>
      </c>
      <c r="O273" s="2" t="s">
        <v>27</v>
      </c>
      <c r="P273" s="2" t="s">
        <v>26</v>
      </c>
    </row>
    <row r="274" spans="1:16" ht="20.100000000000001" customHeight="1" x14ac:dyDescent="0.25">
      <c r="A274" s="26" t="str">
        <f>CONCATENATE(LEFT(ConsumoConcreto[[#This Row],[RecebimentoID]],4),"CNSC",TEXT(ConsumoConcreto[[#This Row],[Ordem]],"0000"),UPPER(LEFT(ConsumoConcreto[[#This Row],[Destino]],3)))</f>
        <v>0184CNSC0901RAD</v>
      </c>
      <c r="B274" s="1">
        <v>901</v>
      </c>
      <c r="C274" s="2" t="s">
        <v>2286</v>
      </c>
      <c r="D274" s="2" t="s">
        <v>2030</v>
      </c>
      <c r="E274" s="18">
        <v>6</v>
      </c>
      <c r="F274" s="2" t="s">
        <v>1801</v>
      </c>
      <c r="G274" s="36"/>
      <c r="H274" s="2" t="s">
        <v>1968</v>
      </c>
      <c r="I2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74" s="22">
        <v>7.58</v>
      </c>
      <c r="K274" s="22">
        <v>5.4809999999999999</v>
      </c>
      <c r="L274" s="37">
        <v>36892</v>
      </c>
      <c r="M274" s="2" t="s">
        <v>1971</v>
      </c>
      <c r="N274" s="2"/>
      <c r="O274" s="2" t="s">
        <v>27</v>
      </c>
      <c r="P274" s="2" t="s">
        <v>26</v>
      </c>
    </row>
    <row r="275" spans="1:16" ht="20.100000000000001" customHeight="1" x14ac:dyDescent="0.25">
      <c r="A275" s="26" t="str">
        <f>CONCATENATE(LEFT(ConsumoConcreto[[#This Row],[RecebimentoID]],4),"CNSC",TEXT(ConsumoConcreto[[#This Row],[Ordem]],"0000"),UPPER(LEFT(ConsumoConcreto[[#This Row],[Destino]],3)))</f>
        <v>0184CNSC0974PAR</v>
      </c>
      <c r="B275" s="1">
        <v>974</v>
      </c>
      <c r="C275" s="2" t="s">
        <v>2287</v>
      </c>
      <c r="D275" s="2" t="s">
        <v>2033</v>
      </c>
      <c r="E275" s="18">
        <v>6</v>
      </c>
      <c r="F275" s="2" t="s">
        <v>25</v>
      </c>
      <c r="G275" s="36">
        <v>0.78680555555555554</v>
      </c>
      <c r="H275" s="2" t="s">
        <v>1965</v>
      </c>
      <c r="I2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75" s="22">
        <v>14.5</v>
      </c>
      <c r="K275" s="22">
        <v>14.5</v>
      </c>
      <c r="L275" s="37">
        <v>36892</v>
      </c>
      <c r="M275" s="2"/>
      <c r="N275" s="2" t="s">
        <v>1966</v>
      </c>
      <c r="O275" s="2" t="s">
        <v>27</v>
      </c>
      <c r="P275" s="2" t="s">
        <v>26</v>
      </c>
    </row>
    <row r="276" spans="1:16" ht="20.100000000000001" customHeight="1" x14ac:dyDescent="0.25">
      <c r="A276" s="26" t="str">
        <f>CONCATENATE(LEFT(ConsumoConcreto[[#This Row],[RecebimentoID]],4),"CNSC",TEXT(ConsumoConcreto[[#This Row],[Ordem]],"0000"),UPPER(LEFT(ConsumoConcreto[[#This Row],[Destino]],3)))</f>
        <v>0184CNSC0955RAD</v>
      </c>
      <c r="B276" s="1">
        <v>955</v>
      </c>
      <c r="C276" s="2" t="s">
        <v>2288</v>
      </c>
      <c r="D276" s="2" t="s">
        <v>2033</v>
      </c>
      <c r="E276" s="18">
        <v>6</v>
      </c>
      <c r="F276" s="2" t="s">
        <v>1801</v>
      </c>
      <c r="G276" s="36">
        <v>0.77430555555555547</v>
      </c>
      <c r="H276" s="2" t="s">
        <v>1968</v>
      </c>
      <c r="I2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76" s="22">
        <v>5.5</v>
      </c>
      <c r="K276" s="22">
        <v>5.5</v>
      </c>
      <c r="L276" s="37">
        <v>36892</v>
      </c>
      <c r="M276" s="2" t="s">
        <v>2289</v>
      </c>
      <c r="N276" s="2" t="s">
        <v>1963</v>
      </c>
      <c r="O276" s="2" t="s">
        <v>27</v>
      </c>
      <c r="P276" s="2" t="s">
        <v>26</v>
      </c>
    </row>
    <row r="277" spans="1:16" ht="20.100000000000001" customHeight="1" x14ac:dyDescent="0.25">
      <c r="A277" s="26" t="str">
        <f>CONCATENATE(LEFT(ConsumoConcreto[[#This Row],[RecebimentoID]],4),"CNSC",TEXT(ConsumoConcreto[[#This Row],[Ordem]],"0000"),UPPER(LEFT(ConsumoConcreto[[#This Row],[Destino]],3)))</f>
        <v>0184CNSC1056PAR</v>
      </c>
      <c r="B277" s="1">
        <v>1056</v>
      </c>
      <c r="C277" s="2" t="s">
        <v>2290</v>
      </c>
      <c r="D277" s="2" t="s">
        <v>2036</v>
      </c>
      <c r="E277" s="18">
        <v>6</v>
      </c>
      <c r="F277" s="2" t="s">
        <v>25</v>
      </c>
      <c r="G277" s="36">
        <v>0.86805555555555547</v>
      </c>
      <c r="H277" s="2" t="s">
        <v>1965</v>
      </c>
      <c r="I2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77" s="22">
        <v>14.5</v>
      </c>
      <c r="K277" s="22">
        <v>14.5</v>
      </c>
      <c r="L277" s="37">
        <v>36892</v>
      </c>
      <c r="M277" s="2"/>
      <c r="N277" s="2" t="s">
        <v>1966</v>
      </c>
      <c r="O277" s="2" t="s">
        <v>27</v>
      </c>
      <c r="P277" s="2" t="s">
        <v>26</v>
      </c>
    </row>
    <row r="278" spans="1:16" ht="20.100000000000001" customHeight="1" x14ac:dyDescent="0.25">
      <c r="A278" s="26" t="str">
        <f>CONCATENATE(LEFT(ConsumoConcreto[[#This Row],[RecebimentoID]],4),"CNSC",TEXT(ConsumoConcreto[[#This Row],[Ordem]],"0000"),UPPER(LEFT(ConsumoConcreto[[#This Row],[Destino]],3)))</f>
        <v>0184CNSC1012RAD</v>
      </c>
      <c r="B278" s="1">
        <v>1012</v>
      </c>
      <c r="C278" s="2" t="s">
        <v>2291</v>
      </c>
      <c r="D278" s="2" t="s">
        <v>2036</v>
      </c>
      <c r="E278" s="18">
        <v>6</v>
      </c>
      <c r="F278" s="2" t="s">
        <v>1801</v>
      </c>
      <c r="G278" s="36">
        <v>0.51736111111111105</v>
      </c>
      <c r="H278" s="2" t="s">
        <v>1968</v>
      </c>
      <c r="I2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78" s="22">
        <v>5.5</v>
      </c>
      <c r="K278" s="22">
        <v>5.5</v>
      </c>
      <c r="L278" s="37">
        <v>36892</v>
      </c>
      <c r="M278" s="2"/>
      <c r="N278" s="2" t="s">
        <v>1963</v>
      </c>
      <c r="O278" s="2" t="s">
        <v>27</v>
      </c>
      <c r="P278" s="2" t="s">
        <v>26</v>
      </c>
    </row>
    <row r="279" spans="1:16" ht="20.100000000000001" customHeight="1" x14ac:dyDescent="0.25">
      <c r="A279" s="26" t="str">
        <f>CONCATENATE(LEFT(ConsumoConcreto[[#This Row],[RecebimentoID]],4),"CNSC",TEXT(ConsumoConcreto[[#This Row],[Ordem]],"0000"),UPPER(LEFT(ConsumoConcreto[[#This Row],[Destino]],3)))</f>
        <v>0184CNSC0016PAR</v>
      </c>
      <c r="B279" s="1">
        <v>16</v>
      </c>
      <c r="C279" s="2" t="s">
        <v>2292</v>
      </c>
      <c r="D279" s="2" t="s">
        <v>1961</v>
      </c>
      <c r="E279" s="18">
        <v>7</v>
      </c>
      <c r="F279" s="2" t="s">
        <v>25</v>
      </c>
      <c r="G279" s="36"/>
      <c r="H279" s="2" t="s">
        <v>1965</v>
      </c>
      <c r="I2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79" s="22">
        <v>18</v>
      </c>
      <c r="K279" s="22">
        <v>18</v>
      </c>
      <c r="L279" s="37">
        <v>36892</v>
      </c>
      <c r="M279" s="2"/>
      <c r="N279" s="2" t="s">
        <v>1966</v>
      </c>
      <c r="O279" s="2" t="s">
        <v>27</v>
      </c>
      <c r="P279" s="2" t="s">
        <v>26</v>
      </c>
    </row>
    <row r="280" spans="1:16" ht="20.100000000000001" customHeight="1" x14ac:dyDescent="0.25">
      <c r="A280" s="26" t="str">
        <f>CONCATENATE(LEFT(ConsumoConcreto[[#This Row],[RecebimentoID]],4),"CNSC",TEXT(ConsumoConcreto[[#This Row],[Ordem]],"0000"),UPPER(LEFT(ConsumoConcreto[[#This Row],[Destino]],3)))</f>
        <v>0184CNSC0018PIL</v>
      </c>
      <c r="B280" s="1">
        <v>18</v>
      </c>
      <c r="C280" s="2" t="s">
        <v>2293</v>
      </c>
      <c r="D280" s="2" t="s">
        <v>1961</v>
      </c>
      <c r="E280" s="18">
        <v>7</v>
      </c>
      <c r="F280" s="2" t="s">
        <v>25</v>
      </c>
      <c r="G280" s="36"/>
      <c r="H280" s="2" t="s">
        <v>1962</v>
      </c>
      <c r="I2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80" s="22">
        <v>0.12</v>
      </c>
      <c r="K280" s="22">
        <v>0.1</v>
      </c>
      <c r="L280" s="37">
        <v>36892</v>
      </c>
      <c r="M280" s="2"/>
      <c r="N280" s="2" t="s">
        <v>1963</v>
      </c>
      <c r="O280" s="2" t="s">
        <v>27</v>
      </c>
      <c r="P280" s="2" t="s">
        <v>26</v>
      </c>
    </row>
    <row r="281" spans="1:16" ht="20.100000000000001" customHeight="1" x14ac:dyDescent="0.25">
      <c r="A281" s="26" t="str">
        <f>CONCATENATE(LEFT(ConsumoConcreto[[#This Row],[RecebimentoID]],4),"CNSC",TEXT(ConsumoConcreto[[#This Row],[Ordem]],"0000"),UPPER(LEFT(ConsumoConcreto[[#This Row],[Destino]],3)))</f>
        <v>0184CNSC0007RAD</v>
      </c>
      <c r="B281" s="1">
        <v>7</v>
      </c>
      <c r="C281" s="2" t="s">
        <v>2294</v>
      </c>
      <c r="D281" s="2" t="s">
        <v>1961</v>
      </c>
      <c r="E281" s="18">
        <v>7</v>
      </c>
      <c r="F281" s="2" t="s">
        <v>1801</v>
      </c>
      <c r="G281" s="36"/>
      <c r="H281" s="2" t="s">
        <v>1968</v>
      </c>
      <c r="I2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81" s="22">
        <v>6.5</v>
      </c>
      <c r="K281" s="22">
        <v>6.5</v>
      </c>
      <c r="L281" s="37">
        <v>36892</v>
      </c>
      <c r="M281" s="2"/>
      <c r="N281" s="2"/>
      <c r="O281" s="2" t="s">
        <v>27</v>
      </c>
      <c r="P281" s="2" t="s">
        <v>26</v>
      </c>
    </row>
    <row r="282" spans="1:16" ht="20.100000000000001" customHeight="1" x14ac:dyDescent="0.25">
      <c r="A282" s="26" t="str">
        <f>CONCATENATE(LEFT(ConsumoConcreto[[#This Row],[RecebimentoID]],4),"CNSC",TEXT(ConsumoConcreto[[#This Row],[Ordem]],"0000"),UPPER(LEFT(ConsumoConcreto[[#This Row],[Destino]],3)))</f>
        <v>0184CNSC0055PAR</v>
      </c>
      <c r="B282" s="1">
        <v>55</v>
      </c>
      <c r="C282" s="2" t="s">
        <v>2295</v>
      </c>
      <c r="D282" s="2" t="s">
        <v>1970</v>
      </c>
      <c r="E282" s="18">
        <v>7</v>
      </c>
      <c r="F282" s="2" t="s">
        <v>25</v>
      </c>
      <c r="G282" s="36"/>
      <c r="H282" s="2" t="s">
        <v>1965</v>
      </c>
      <c r="I2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82" s="22">
        <v>14.5</v>
      </c>
      <c r="K282" s="22">
        <v>14.5</v>
      </c>
      <c r="L282" s="37">
        <v>36892</v>
      </c>
      <c r="M282" s="2"/>
      <c r="N282" s="2" t="s">
        <v>1966</v>
      </c>
      <c r="O282" s="2" t="s">
        <v>27</v>
      </c>
      <c r="P282" s="2" t="s">
        <v>26</v>
      </c>
    </row>
    <row r="283" spans="1:16" ht="20.100000000000001" customHeight="1" x14ac:dyDescent="0.25">
      <c r="A283" s="26" t="str">
        <f>CONCATENATE(LEFT(ConsumoConcreto[[#This Row],[RecebimentoID]],4),"CNSC",TEXT(ConsumoConcreto[[#This Row],[Ordem]],"0000"),UPPER(LEFT(ConsumoConcreto[[#This Row],[Destino]],3)))</f>
        <v>0184CNSC0038RAD</v>
      </c>
      <c r="B283" s="1">
        <v>38</v>
      </c>
      <c r="C283" s="2" t="s">
        <v>2296</v>
      </c>
      <c r="D283" s="2" t="s">
        <v>1970</v>
      </c>
      <c r="E283" s="18">
        <v>7</v>
      </c>
      <c r="F283" s="2" t="s">
        <v>1801</v>
      </c>
      <c r="G283" s="36"/>
      <c r="H283" s="2" t="s">
        <v>1968</v>
      </c>
      <c r="I2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83" s="22">
        <v>5.5</v>
      </c>
      <c r="K283" s="22">
        <v>5.5</v>
      </c>
      <c r="L283" s="37">
        <v>36892</v>
      </c>
      <c r="M283" s="2"/>
      <c r="N283" s="2"/>
      <c r="O283" s="2" t="s">
        <v>27</v>
      </c>
      <c r="P283" s="2" t="s">
        <v>26</v>
      </c>
    </row>
    <row r="284" spans="1:16" ht="20.100000000000001" customHeight="1" x14ac:dyDescent="0.25">
      <c r="A284" s="26" t="str">
        <f>CONCATENATE(LEFT(ConsumoConcreto[[#This Row],[RecebimentoID]],4),"CNSC",TEXT(ConsumoConcreto[[#This Row],[Ordem]],"0000"),UPPER(LEFT(ConsumoConcreto[[#This Row],[Destino]],3)))</f>
        <v>0184CNSC0081PIL</v>
      </c>
      <c r="B284" s="1">
        <v>81</v>
      </c>
      <c r="C284" s="2" t="s">
        <v>2297</v>
      </c>
      <c r="D284" s="2" t="s">
        <v>1970</v>
      </c>
      <c r="E284" s="18">
        <v>7</v>
      </c>
      <c r="F284" s="2" t="s">
        <v>1801</v>
      </c>
      <c r="G284" s="36"/>
      <c r="H284" s="2" t="s">
        <v>1962</v>
      </c>
      <c r="I2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84" s="22">
        <v>0.25</v>
      </c>
      <c r="K284" s="22">
        <v>0.1</v>
      </c>
      <c r="L284" s="37">
        <v>36892</v>
      </c>
      <c r="M284" s="2"/>
      <c r="N284" s="2" t="s">
        <v>1963</v>
      </c>
      <c r="O284" s="2" t="s">
        <v>27</v>
      </c>
      <c r="P284" s="2" t="s">
        <v>26</v>
      </c>
    </row>
    <row r="285" spans="1:16" ht="20.100000000000001" customHeight="1" x14ac:dyDescent="0.25">
      <c r="A285" s="26" t="str">
        <f>CONCATENATE(LEFT(ConsumoConcreto[[#This Row],[RecebimentoID]],4),"CNSC",TEXT(ConsumoConcreto[[#This Row],[Ordem]],"0000"),UPPER(LEFT(ConsumoConcreto[[#This Row],[Destino]],3)))</f>
        <v>0184CNSC0154PAR</v>
      </c>
      <c r="B285" s="1">
        <v>154</v>
      </c>
      <c r="C285" s="2" t="s">
        <v>2298</v>
      </c>
      <c r="D285" s="2" t="s">
        <v>1975</v>
      </c>
      <c r="E285" s="18">
        <v>7</v>
      </c>
      <c r="F285" s="2" t="s">
        <v>25</v>
      </c>
      <c r="G285" s="36">
        <v>0.88888888888888884</v>
      </c>
      <c r="H285" s="2" t="s">
        <v>1965</v>
      </c>
      <c r="I2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85" s="22">
        <v>23</v>
      </c>
      <c r="K285" s="22">
        <v>23</v>
      </c>
      <c r="L285" s="37">
        <v>36892</v>
      </c>
      <c r="M285" s="2" t="s">
        <v>2299</v>
      </c>
      <c r="N285" s="2" t="s">
        <v>1966</v>
      </c>
      <c r="O285" s="2" t="s">
        <v>27</v>
      </c>
      <c r="P285" s="2" t="s">
        <v>26</v>
      </c>
    </row>
    <row r="286" spans="1:16" ht="20.100000000000001" customHeight="1" x14ac:dyDescent="0.25">
      <c r="A286" s="26" t="str">
        <f>CONCATENATE(LEFT(ConsumoConcreto[[#This Row],[RecebimentoID]],4),"CNSC",TEXT(ConsumoConcreto[[#This Row],[Ordem]],"0000"),UPPER(LEFT(ConsumoConcreto[[#This Row],[Destino]],3)))</f>
        <v>0184CNSC0178PIL</v>
      </c>
      <c r="B286" s="1">
        <v>178</v>
      </c>
      <c r="C286" s="2" t="s">
        <v>2300</v>
      </c>
      <c r="D286" s="2" t="s">
        <v>1975</v>
      </c>
      <c r="E286" s="18">
        <v>7</v>
      </c>
      <c r="F286" s="2" t="s">
        <v>25</v>
      </c>
      <c r="G286" s="36"/>
      <c r="H286" s="2" t="s">
        <v>1962</v>
      </c>
      <c r="I2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86" s="22">
        <v>0.1</v>
      </c>
      <c r="K286" s="22">
        <v>0.1</v>
      </c>
      <c r="L286" s="37">
        <v>36892</v>
      </c>
      <c r="M286" s="2"/>
      <c r="N286" s="2" t="s">
        <v>1963</v>
      </c>
      <c r="O286" s="2" t="s">
        <v>27</v>
      </c>
      <c r="P286" s="2" t="s">
        <v>26</v>
      </c>
    </row>
    <row r="287" spans="1:16" ht="20.100000000000001" customHeight="1" x14ac:dyDescent="0.25">
      <c r="A287" s="26" t="str">
        <f>CONCATENATE(LEFT(ConsumoConcreto[[#This Row],[RecebimentoID]],4),"CNSC",TEXT(ConsumoConcreto[[#This Row],[Ordem]],"0000"),UPPER(LEFT(ConsumoConcreto[[#This Row],[Destino]],3)))</f>
        <v>0184CNSC0112RAD</v>
      </c>
      <c r="B287" s="1">
        <v>112</v>
      </c>
      <c r="C287" s="2" t="s">
        <v>2301</v>
      </c>
      <c r="D287" s="2" t="s">
        <v>1975</v>
      </c>
      <c r="E287" s="18">
        <v>7</v>
      </c>
      <c r="F287" s="2" t="s">
        <v>1801</v>
      </c>
      <c r="G287" s="36"/>
      <c r="H287" s="2" t="s">
        <v>1968</v>
      </c>
      <c r="I2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87" s="22">
        <v>5.5</v>
      </c>
      <c r="K287" s="22">
        <v>5.5</v>
      </c>
      <c r="L287" s="37">
        <v>36892</v>
      </c>
      <c r="M287" s="2"/>
      <c r="N287" s="2" t="s">
        <v>1966</v>
      </c>
      <c r="O287" s="2" t="s">
        <v>27</v>
      </c>
      <c r="P287" s="2" t="s">
        <v>26</v>
      </c>
    </row>
    <row r="288" spans="1:16" ht="20.100000000000001" customHeight="1" x14ac:dyDescent="0.25">
      <c r="A288" s="26" t="str">
        <f>CONCATENATE(LEFT(ConsumoConcreto[[#This Row],[RecebimentoID]],4),"CNSC",TEXT(ConsumoConcreto[[#This Row],[Ordem]],"0000"),UPPER(LEFT(ConsumoConcreto[[#This Row],[Destino]],3)))</f>
        <v>0184CNSC0242PAR</v>
      </c>
      <c r="B288" s="1">
        <v>242</v>
      </c>
      <c r="C288" s="2" t="s">
        <v>2302</v>
      </c>
      <c r="D288" s="2" t="s">
        <v>1979</v>
      </c>
      <c r="E288" s="18">
        <v>7</v>
      </c>
      <c r="F288" s="2" t="s">
        <v>25</v>
      </c>
      <c r="G288" s="36">
        <v>0.79861111111111116</v>
      </c>
      <c r="H288" s="2" t="s">
        <v>1965</v>
      </c>
      <c r="I2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88" s="22">
        <v>15</v>
      </c>
      <c r="K288" s="22">
        <v>15</v>
      </c>
      <c r="L288" s="37">
        <v>36892</v>
      </c>
      <c r="M288" s="2" t="s">
        <v>1971</v>
      </c>
      <c r="N288" s="2" t="s">
        <v>1966</v>
      </c>
      <c r="O288" s="2" t="s">
        <v>27</v>
      </c>
      <c r="P288" s="2" t="s">
        <v>26</v>
      </c>
    </row>
    <row r="289" spans="1:16" ht="20.100000000000001" customHeight="1" x14ac:dyDescent="0.25">
      <c r="A289" s="26" t="str">
        <f>CONCATENATE(LEFT(ConsumoConcreto[[#This Row],[RecebimentoID]],4),"CNSC",TEXT(ConsumoConcreto[[#This Row],[Ordem]],"0000"),UPPER(LEFT(ConsumoConcreto[[#This Row],[Destino]],3)))</f>
        <v>0184CNSC0189RAD</v>
      </c>
      <c r="B289" s="1">
        <v>189</v>
      </c>
      <c r="C289" s="2" t="s">
        <v>2303</v>
      </c>
      <c r="D289" s="2" t="s">
        <v>1979</v>
      </c>
      <c r="E289" s="18">
        <v>7</v>
      </c>
      <c r="F289" s="2" t="s">
        <v>1801</v>
      </c>
      <c r="G289" s="36"/>
      <c r="H289" s="2" t="s">
        <v>1968</v>
      </c>
      <c r="I2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89" s="22">
        <v>6</v>
      </c>
      <c r="K289" s="22">
        <v>5.5</v>
      </c>
      <c r="L289" s="37">
        <v>36892</v>
      </c>
      <c r="M289" s="2" t="s">
        <v>2252</v>
      </c>
      <c r="N289" s="2" t="s">
        <v>1966</v>
      </c>
      <c r="O289" s="2" t="s">
        <v>27</v>
      </c>
      <c r="P289" s="2" t="s">
        <v>26</v>
      </c>
    </row>
    <row r="290" spans="1:16" ht="20.100000000000001" customHeight="1" x14ac:dyDescent="0.25">
      <c r="A290" s="26" t="str">
        <f>CONCATENATE(LEFT(ConsumoConcreto[[#This Row],[RecebimentoID]],4),"CNSC",TEXT(ConsumoConcreto[[#This Row],[Ordem]],"0000"),UPPER(LEFT(ConsumoConcreto[[#This Row],[Destino]],3)))</f>
        <v>0184CNSC0254PIL</v>
      </c>
      <c r="B290" s="1">
        <v>254</v>
      </c>
      <c r="C290" s="2" t="s">
        <v>2304</v>
      </c>
      <c r="D290" s="2" t="s">
        <v>1979</v>
      </c>
      <c r="E290" s="18">
        <v>7</v>
      </c>
      <c r="F290" s="2" t="s">
        <v>1801</v>
      </c>
      <c r="G290" s="36">
        <v>0.66666666666666663</v>
      </c>
      <c r="H290" s="2" t="s">
        <v>1962</v>
      </c>
      <c r="I2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90" s="22">
        <v>0.1</v>
      </c>
      <c r="K290" s="22">
        <v>0.1</v>
      </c>
      <c r="L290" s="37">
        <v>36892</v>
      </c>
      <c r="M290" s="2"/>
      <c r="N290" s="2" t="s">
        <v>1963</v>
      </c>
      <c r="O290" s="2" t="s">
        <v>27</v>
      </c>
      <c r="P290" s="2" t="s">
        <v>26</v>
      </c>
    </row>
    <row r="291" spans="1:16" ht="20.100000000000001" customHeight="1" x14ac:dyDescent="0.25">
      <c r="A291" s="26" t="str">
        <f>CONCATENATE(LEFT(ConsumoConcreto[[#This Row],[RecebimentoID]],4),"CNSC",TEXT(ConsumoConcreto[[#This Row],[Ordem]],"0000"),UPPER(LEFT(ConsumoConcreto[[#This Row],[Destino]],3)))</f>
        <v>0184CNSC0279PAR</v>
      </c>
      <c r="B291" s="1">
        <v>279</v>
      </c>
      <c r="C291" s="2" t="s">
        <v>2305</v>
      </c>
      <c r="D291" s="2" t="s">
        <v>1985</v>
      </c>
      <c r="E291" s="18">
        <v>7</v>
      </c>
      <c r="F291" s="2" t="s">
        <v>25</v>
      </c>
      <c r="G291" s="36">
        <v>0.67361111111111116</v>
      </c>
      <c r="H291" s="2" t="s">
        <v>1965</v>
      </c>
      <c r="I2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91" s="22">
        <v>14.5</v>
      </c>
      <c r="K291" s="22">
        <v>14.5</v>
      </c>
      <c r="L291" s="37">
        <v>36892</v>
      </c>
      <c r="M291" s="2"/>
      <c r="N291" s="2" t="s">
        <v>2017</v>
      </c>
      <c r="O291" s="2" t="s">
        <v>27</v>
      </c>
      <c r="P291" s="2" t="s">
        <v>26</v>
      </c>
    </row>
    <row r="292" spans="1:16" ht="20.100000000000001" customHeight="1" x14ac:dyDescent="0.25">
      <c r="A292" s="26" t="str">
        <f>CONCATENATE(LEFT(ConsumoConcreto[[#This Row],[RecebimentoID]],4),"CNSC",TEXT(ConsumoConcreto[[#This Row],[Ordem]],"0000"),UPPER(LEFT(ConsumoConcreto[[#This Row],[Destino]],3)))</f>
        <v>0184CNSC0267RAD</v>
      </c>
      <c r="B292" s="1">
        <v>267</v>
      </c>
      <c r="C292" s="2" t="s">
        <v>2306</v>
      </c>
      <c r="D292" s="2" t="s">
        <v>1985</v>
      </c>
      <c r="E292" s="18">
        <v>7</v>
      </c>
      <c r="F292" s="2" t="s">
        <v>1801</v>
      </c>
      <c r="G292" s="36">
        <v>0.47916666666666669</v>
      </c>
      <c r="H292" s="2" t="s">
        <v>1968</v>
      </c>
      <c r="I2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92" s="22">
        <v>5.5</v>
      </c>
      <c r="K292" s="22">
        <v>5.5</v>
      </c>
      <c r="L292" s="37">
        <v>36892</v>
      </c>
      <c r="M292" s="2"/>
      <c r="N292" s="2" t="s">
        <v>1963</v>
      </c>
      <c r="O292" s="2" t="s">
        <v>27</v>
      </c>
      <c r="P292" s="2" t="s">
        <v>26</v>
      </c>
    </row>
    <row r="293" spans="1:16" ht="20.100000000000001" customHeight="1" x14ac:dyDescent="0.25">
      <c r="A293" s="26" t="str">
        <f>CONCATENATE(LEFT(ConsumoConcreto[[#This Row],[RecebimentoID]],4),"CNSC",TEXT(ConsumoConcreto[[#This Row],[Ordem]],"0000"),UPPER(LEFT(ConsumoConcreto[[#This Row],[Destino]],3)))</f>
        <v>0184CNSC0293PIL</v>
      </c>
      <c r="B293" s="1">
        <v>293</v>
      </c>
      <c r="C293" s="2" t="s">
        <v>2307</v>
      </c>
      <c r="D293" s="2" t="s">
        <v>1985</v>
      </c>
      <c r="E293" s="18">
        <v>7</v>
      </c>
      <c r="F293" s="2" t="s">
        <v>1801</v>
      </c>
      <c r="G293" s="36">
        <v>0.70833333333333337</v>
      </c>
      <c r="H293" s="2" t="s">
        <v>1962</v>
      </c>
      <c r="I2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93" s="22">
        <v>0.1</v>
      </c>
      <c r="K293" s="22">
        <v>0.1</v>
      </c>
      <c r="L293" s="37">
        <v>36892</v>
      </c>
      <c r="M293" s="2"/>
      <c r="N293" s="2" t="s">
        <v>1963</v>
      </c>
      <c r="O293" s="2" t="s">
        <v>27</v>
      </c>
      <c r="P293" s="2" t="s">
        <v>26</v>
      </c>
    </row>
    <row r="294" spans="1:16" ht="20.100000000000001" customHeight="1" x14ac:dyDescent="0.25">
      <c r="A294" s="26" t="str">
        <f>CONCATENATE(LEFT(ConsumoConcreto[[#This Row],[RecebimentoID]],4),"CNSC",TEXT(ConsumoConcreto[[#This Row],[Ordem]],"0000"),UPPER(LEFT(ConsumoConcreto[[#This Row],[Destino]],3)))</f>
        <v>0184CNSC0329PAR</v>
      </c>
      <c r="B294" s="1">
        <v>329</v>
      </c>
      <c r="C294" s="2" t="s">
        <v>2308</v>
      </c>
      <c r="D294" s="2" t="s">
        <v>1989</v>
      </c>
      <c r="E294" s="18">
        <v>7</v>
      </c>
      <c r="F294" s="2" t="s">
        <v>25</v>
      </c>
      <c r="G294" s="36">
        <v>0.63541666666666663</v>
      </c>
      <c r="H294" s="2" t="s">
        <v>1965</v>
      </c>
      <c r="I2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294" s="22">
        <v>18.5</v>
      </c>
      <c r="K294" s="22">
        <v>18.5</v>
      </c>
      <c r="L294" s="37">
        <v>36892</v>
      </c>
      <c r="M294" s="2"/>
      <c r="N294" s="2" t="s">
        <v>1966</v>
      </c>
      <c r="O294" s="2" t="s">
        <v>27</v>
      </c>
      <c r="P294" s="2" t="s">
        <v>26</v>
      </c>
    </row>
    <row r="295" spans="1:16" ht="20.100000000000001" customHeight="1" x14ac:dyDescent="0.25">
      <c r="A295" s="26" t="str">
        <f>CONCATENATE(LEFT(ConsumoConcreto[[#This Row],[RecebimentoID]],4),"CNSC",TEXT(ConsumoConcreto[[#This Row],[Ordem]],"0000"),UPPER(LEFT(ConsumoConcreto[[#This Row],[Destino]],3)))</f>
        <v>0184CNSC0315RAD</v>
      </c>
      <c r="B295" s="1">
        <v>315</v>
      </c>
      <c r="C295" s="2" t="s">
        <v>2309</v>
      </c>
      <c r="D295" s="2" t="s">
        <v>1989</v>
      </c>
      <c r="E295" s="18">
        <v>7</v>
      </c>
      <c r="F295" s="2" t="s">
        <v>1801</v>
      </c>
      <c r="G295" s="36">
        <v>0.6069444444444444</v>
      </c>
      <c r="H295" s="2" t="s">
        <v>1968</v>
      </c>
      <c r="I2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295" s="22">
        <v>7</v>
      </c>
      <c r="K295" s="22">
        <v>7</v>
      </c>
      <c r="L295" s="37">
        <v>36892</v>
      </c>
      <c r="M295" s="2"/>
      <c r="N295" s="2" t="s">
        <v>1963</v>
      </c>
      <c r="O295" s="2" t="s">
        <v>27</v>
      </c>
      <c r="P295" s="2" t="s">
        <v>26</v>
      </c>
    </row>
    <row r="296" spans="1:16" ht="20.100000000000001" customHeight="1" x14ac:dyDescent="0.25">
      <c r="A296" s="26" t="str">
        <f>CONCATENATE(LEFT(ConsumoConcreto[[#This Row],[RecebimentoID]],4),"CNSC",TEXT(ConsumoConcreto[[#This Row],[Ordem]],"0000"),UPPER(LEFT(ConsumoConcreto[[#This Row],[Destino]],3)))</f>
        <v>0184CNSC0350PAR</v>
      </c>
      <c r="B296" s="1">
        <v>350</v>
      </c>
      <c r="C296" s="2" t="s">
        <v>2310</v>
      </c>
      <c r="D296" s="2" t="s">
        <v>1992</v>
      </c>
      <c r="E296" s="18">
        <v>7</v>
      </c>
      <c r="F296" s="2" t="s">
        <v>25</v>
      </c>
      <c r="G296" s="36">
        <v>0.78888888888888886</v>
      </c>
      <c r="H296" s="2" t="s">
        <v>1965</v>
      </c>
      <c r="I2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96" s="22">
        <v>13</v>
      </c>
      <c r="K296" s="22">
        <v>13</v>
      </c>
      <c r="L296" s="37">
        <v>36892</v>
      </c>
      <c r="M296" s="2"/>
      <c r="N296" s="2" t="s">
        <v>1966</v>
      </c>
      <c r="O296" s="2" t="s">
        <v>27</v>
      </c>
      <c r="P296" s="2" t="s">
        <v>26</v>
      </c>
    </row>
    <row r="297" spans="1:16" ht="20.100000000000001" customHeight="1" x14ac:dyDescent="0.25">
      <c r="A297" s="26" t="str">
        <f>CONCATENATE(LEFT(ConsumoConcreto[[#This Row],[RecebimentoID]],4),"CNSC",TEXT(ConsumoConcreto[[#This Row],[Ordem]],"0000"),UPPER(LEFT(ConsumoConcreto[[#This Row],[Destino]],3)))</f>
        <v>0184CNSC0336RAD</v>
      </c>
      <c r="B297" s="1">
        <v>336</v>
      </c>
      <c r="C297" s="2" t="s">
        <v>2311</v>
      </c>
      <c r="D297" s="2" t="s">
        <v>1992</v>
      </c>
      <c r="E297" s="18">
        <v>7</v>
      </c>
      <c r="F297" s="2" t="s">
        <v>1801</v>
      </c>
      <c r="G297" s="36">
        <v>0.6777777777777777</v>
      </c>
      <c r="H297" s="2" t="s">
        <v>1968</v>
      </c>
      <c r="I2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297" s="22">
        <v>5.5</v>
      </c>
      <c r="K297" s="22">
        <v>5.5</v>
      </c>
      <c r="L297" s="37">
        <v>36892</v>
      </c>
      <c r="M297" s="2"/>
      <c r="N297" s="2" t="s">
        <v>2017</v>
      </c>
      <c r="O297" s="2" t="s">
        <v>27</v>
      </c>
      <c r="P297" s="2" t="s">
        <v>26</v>
      </c>
    </row>
    <row r="298" spans="1:16" ht="20.100000000000001" customHeight="1" x14ac:dyDescent="0.25">
      <c r="A298" s="26" t="str">
        <f>CONCATENATE(LEFT(ConsumoConcreto[[#This Row],[RecebimentoID]],4),"CNSC",TEXT(ConsumoConcreto[[#This Row],[Ordem]],"0000"),UPPER(LEFT(ConsumoConcreto[[#This Row],[Destino]],3)))</f>
        <v>0184CNSC0400PIL</v>
      </c>
      <c r="B298" s="1">
        <v>400</v>
      </c>
      <c r="C298" s="2" t="s">
        <v>2312</v>
      </c>
      <c r="D298" s="2" t="s">
        <v>1995</v>
      </c>
      <c r="E298" s="18">
        <v>7</v>
      </c>
      <c r="F298" s="2" t="s">
        <v>25</v>
      </c>
      <c r="G298" s="36"/>
      <c r="H298" s="2" t="s">
        <v>1962</v>
      </c>
      <c r="I2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298" s="22">
        <v>0.1</v>
      </c>
      <c r="K298" s="22">
        <v>0.1</v>
      </c>
      <c r="L298" s="37">
        <v>36892</v>
      </c>
      <c r="M298" s="2"/>
      <c r="N298" s="2" t="s">
        <v>1963</v>
      </c>
      <c r="O298" s="2" t="s">
        <v>27</v>
      </c>
      <c r="P298" s="2" t="s">
        <v>26</v>
      </c>
    </row>
    <row r="299" spans="1:16" ht="20.100000000000001" customHeight="1" x14ac:dyDescent="0.25">
      <c r="A299" s="26" t="str">
        <f>CONCATENATE(LEFT(ConsumoConcreto[[#This Row],[RecebimentoID]],4),"CNSC",TEXT(ConsumoConcreto[[#This Row],[Ordem]],"0000"),UPPER(LEFT(ConsumoConcreto[[#This Row],[Destino]],3)))</f>
        <v>0184CNSC0386PAR</v>
      </c>
      <c r="B299" s="1">
        <v>386</v>
      </c>
      <c r="C299" s="2" t="s">
        <v>2313</v>
      </c>
      <c r="D299" s="2" t="s">
        <v>1995</v>
      </c>
      <c r="E299" s="18">
        <v>7</v>
      </c>
      <c r="F299" s="2" t="s">
        <v>25</v>
      </c>
      <c r="G299" s="36">
        <v>0.91319444444444453</v>
      </c>
      <c r="H299" s="2" t="s">
        <v>1965</v>
      </c>
      <c r="I2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299" s="22">
        <v>13</v>
      </c>
      <c r="K299" s="22">
        <v>13</v>
      </c>
      <c r="L299" s="37">
        <v>36892</v>
      </c>
      <c r="M299" s="2" t="s">
        <v>2314</v>
      </c>
      <c r="N299" s="2" t="s">
        <v>1966</v>
      </c>
      <c r="O299" s="2" t="s">
        <v>27</v>
      </c>
      <c r="P299" s="2" t="s">
        <v>26</v>
      </c>
    </row>
    <row r="300" spans="1:16" ht="20.100000000000001" customHeight="1" x14ac:dyDescent="0.25">
      <c r="A300" s="26" t="str">
        <f>CONCATENATE(LEFT(ConsumoConcreto[[#This Row],[RecebimentoID]],4),"CNSC",TEXT(ConsumoConcreto[[#This Row],[Ordem]],"0000"),UPPER(LEFT(ConsumoConcreto[[#This Row],[Destino]],3)))</f>
        <v>0184CNSC0377RAD</v>
      </c>
      <c r="B300" s="1">
        <v>377</v>
      </c>
      <c r="C300" s="2" t="s">
        <v>2315</v>
      </c>
      <c r="D300" s="2" t="s">
        <v>1995</v>
      </c>
      <c r="E300" s="18">
        <v>7</v>
      </c>
      <c r="F300" s="2" t="s">
        <v>1801</v>
      </c>
      <c r="G300" s="36">
        <v>0.5</v>
      </c>
      <c r="H300" s="2" t="s">
        <v>1968</v>
      </c>
      <c r="I3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00" s="22">
        <v>5.5</v>
      </c>
      <c r="K300" s="22">
        <v>5.5</v>
      </c>
      <c r="L300" s="37">
        <v>36892</v>
      </c>
      <c r="M300" s="2"/>
      <c r="N300" s="2" t="s">
        <v>1963</v>
      </c>
      <c r="O300" s="2" t="s">
        <v>27</v>
      </c>
      <c r="P300" s="2" t="s">
        <v>26</v>
      </c>
    </row>
    <row r="301" spans="1:16" ht="20.100000000000001" customHeight="1" x14ac:dyDescent="0.25">
      <c r="A301" s="26" t="str">
        <f>CONCATENATE(LEFT(ConsumoConcreto[[#This Row],[RecebimentoID]],4),"CNSC",TEXT(ConsumoConcreto[[#This Row],[Ordem]],"0000"),UPPER(LEFT(ConsumoConcreto[[#This Row],[Destino]],3)))</f>
        <v>0184CNSC0436PAR</v>
      </c>
      <c r="B301" s="1">
        <v>436</v>
      </c>
      <c r="C301" s="2" t="s">
        <v>2316</v>
      </c>
      <c r="D301" s="2" t="s">
        <v>1999</v>
      </c>
      <c r="E301" s="18">
        <v>7</v>
      </c>
      <c r="F301" s="2" t="s">
        <v>25</v>
      </c>
      <c r="G301" s="36">
        <v>0.96875</v>
      </c>
      <c r="H301" s="2" t="s">
        <v>1965</v>
      </c>
      <c r="I3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01" s="22">
        <v>18</v>
      </c>
      <c r="K301" s="22">
        <v>18</v>
      </c>
      <c r="L301" s="37">
        <v>36892</v>
      </c>
      <c r="M301" s="2"/>
      <c r="N301" s="2" t="s">
        <v>1966</v>
      </c>
      <c r="O301" s="2" t="s">
        <v>27</v>
      </c>
      <c r="P301" s="2" t="s">
        <v>26</v>
      </c>
    </row>
    <row r="302" spans="1:16" ht="20.100000000000001" customHeight="1" x14ac:dyDescent="0.25">
      <c r="A302" s="26" t="str">
        <f>CONCATENATE(LEFT(ConsumoConcreto[[#This Row],[RecebimentoID]],4),"CNSC",TEXT(ConsumoConcreto[[#This Row],[Ordem]],"0000"),UPPER(LEFT(ConsumoConcreto[[#This Row],[Destino]],3)))</f>
        <v>0184CNSC0416RAD</v>
      </c>
      <c r="B302" s="1">
        <v>416</v>
      </c>
      <c r="C302" s="2" t="s">
        <v>2317</v>
      </c>
      <c r="D302" s="2" t="s">
        <v>1999</v>
      </c>
      <c r="E302" s="18">
        <v>7</v>
      </c>
      <c r="F302" s="2" t="s">
        <v>1801</v>
      </c>
      <c r="G302" s="36">
        <v>0.59513888888888888</v>
      </c>
      <c r="H302" s="2" t="s">
        <v>1968</v>
      </c>
      <c r="I3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02" s="22">
        <v>7</v>
      </c>
      <c r="K302" s="22">
        <v>7</v>
      </c>
      <c r="L302" s="37">
        <v>36892</v>
      </c>
      <c r="M302" s="2"/>
      <c r="N302" s="2" t="s">
        <v>2017</v>
      </c>
      <c r="O302" s="2" t="s">
        <v>27</v>
      </c>
      <c r="P302" s="2" t="s">
        <v>26</v>
      </c>
    </row>
    <row r="303" spans="1:16" ht="20.100000000000001" customHeight="1" x14ac:dyDescent="0.25">
      <c r="A303" s="26" t="str">
        <f>CONCATENATE(LEFT(ConsumoConcreto[[#This Row],[RecebimentoID]],4),"CNSC",TEXT(ConsumoConcreto[[#This Row],[Ordem]],"0000"),UPPER(LEFT(ConsumoConcreto[[#This Row],[Destino]],3)))</f>
        <v>0184CNSC0463PAR</v>
      </c>
      <c r="B303" s="1">
        <v>463</v>
      </c>
      <c r="C303" s="2" t="s">
        <v>2318</v>
      </c>
      <c r="D303" s="2" t="s">
        <v>2002</v>
      </c>
      <c r="E303" s="18">
        <v>7</v>
      </c>
      <c r="F303" s="2" t="s">
        <v>25</v>
      </c>
      <c r="G303" s="36">
        <v>0.89861111111111114</v>
      </c>
      <c r="H303" s="2" t="s">
        <v>1965</v>
      </c>
      <c r="I3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03" s="22">
        <v>18.5</v>
      </c>
      <c r="K303" s="22">
        <v>18.5</v>
      </c>
      <c r="L303" s="37">
        <v>36892</v>
      </c>
      <c r="M303" s="2"/>
      <c r="N303" s="2" t="s">
        <v>1966</v>
      </c>
      <c r="O303" s="2" t="s">
        <v>27</v>
      </c>
      <c r="P303" s="2" t="s">
        <v>26</v>
      </c>
    </row>
    <row r="304" spans="1:16" ht="20.100000000000001" customHeight="1" x14ac:dyDescent="0.25">
      <c r="A304" s="26" t="str">
        <f>CONCATENATE(LEFT(ConsumoConcreto[[#This Row],[RecebimentoID]],4),"CNSC",TEXT(ConsumoConcreto[[#This Row],[Ordem]],"0000"),UPPER(LEFT(ConsumoConcreto[[#This Row],[Destino]],3)))</f>
        <v>0184CNSC0450RAD</v>
      </c>
      <c r="B304" s="1">
        <v>450</v>
      </c>
      <c r="C304" s="2" t="s">
        <v>2319</v>
      </c>
      <c r="D304" s="2" t="s">
        <v>2002</v>
      </c>
      <c r="E304" s="18">
        <v>7</v>
      </c>
      <c r="F304" s="2" t="s">
        <v>1801</v>
      </c>
      <c r="G304" s="36">
        <v>0.70138888888888884</v>
      </c>
      <c r="H304" s="2" t="s">
        <v>1968</v>
      </c>
      <c r="I3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04" s="22">
        <v>7</v>
      </c>
      <c r="K304" s="22">
        <v>7</v>
      </c>
      <c r="L304" s="37">
        <v>36892</v>
      </c>
      <c r="M304" s="2"/>
      <c r="N304" s="2" t="s">
        <v>1963</v>
      </c>
      <c r="O304" s="2" t="s">
        <v>27</v>
      </c>
      <c r="P304" s="2" t="s">
        <v>26</v>
      </c>
    </row>
    <row r="305" spans="1:16" ht="20.100000000000001" customHeight="1" x14ac:dyDescent="0.25">
      <c r="A305" s="26" t="str">
        <f>CONCATENATE(LEFT(ConsumoConcreto[[#This Row],[RecebimentoID]],4),"CNSC",TEXT(ConsumoConcreto[[#This Row],[Ordem]],"0000"),UPPER(LEFT(ConsumoConcreto[[#This Row],[Destino]],3)))</f>
        <v>0184CNSC0516PAR</v>
      </c>
      <c r="B305" s="1">
        <v>516</v>
      </c>
      <c r="C305" s="2" t="s">
        <v>2320</v>
      </c>
      <c r="D305" s="2" t="s">
        <v>2005</v>
      </c>
      <c r="E305" s="18">
        <v>7</v>
      </c>
      <c r="F305" s="2" t="s">
        <v>25</v>
      </c>
      <c r="G305" s="36">
        <v>0.60347222222222219</v>
      </c>
      <c r="H305" s="2" t="s">
        <v>1965</v>
      </c>
      <c r="I3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05" s="22">
        <v>18</v>
      </c>
      <c r="K305" s="22">
        <v>18</v>
      </c>
      <c r="L305" s="37">
        <v>36892</v>
      </c>
      <c r="M305" s="2"/>
      <c r="N305" s="2" t="s">
        <v>1966</v>
      </c>
      <c r="O305" s="2" t="s">
        <v>27</v>
      </c>
      <c r="P305" s="2" t="s">
        <v>26</v>
      </c>
    </row>
    <row r="306" spans="1:16" ht="20.100000000000001" customHeight="1" x14ac:dyDescent="0.25">
      <c r="A306" s="26" t="str">
        <f>CONCATENATE(LEFT(ConsumoConcreto[[#This Row],[RecebimentoID]],4),"CNSC",TEXT(ConsumoConcreto[[#This Row],[Ordem]],"0000"),UPPER(LEFT(ConsumoConcreto[[#This Row],[Destino]],3)))</f>
        <v>0184CNSC0481RAD</v>
      </c>
      <c r="B306" s="1">
        <v>481</v>
      </c>
      <c r="C306" s="2" t="s">
        <v>2321</v>
      </c>
      <c r="D306" s="2" t="s">
        <v>2005</v>
      </c>
      <c r="E306" s="18">
        <v>7</v>
      </c>
      <c r="F306" s="2" t="s">
        <v>1801</v>
      </c>
      <c r="G306" s="36">
        <v>0.4861111111111111</v>
      </c>
      <c r="H306" s="2" t="s">
        <v>1968</v>
      </c>
      <c r="I3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06" s="22">
        <v>7</v>
      </c>
      <c r="K306" s="22">
        <v>7</v>
      </c>
      <c r="L306" s="37">
        <v>36892</v>
      </c>
      <c r="M306" s="2"/>
      <c r="N306" s="2" t="s">
        <v>1963</v>
      </c>
      <c r="O306" s="2" t="s">
        <v>27</v>
      </c>
      <c r="P306" s="2" t="s">
        <v>26</v>
      </c>
    </row>
    <row r="307" spans="1:16" ht="20.100000000000001" customHeight="1" x14ac:dyDescent="0.25">
      <c r="A307" s="26" t="str">
        <f>CONCATENATE(LEFT(ConsumoConcreto[[#This Row],[RecebimentoID]],4),"CNSC",TEXT(ConsumoConcreto[[#This Row],[Ordem]],"0000"),UPPER(LEFT(ConsumoConcreto[[#This Row],[Destino]],3)))</f>
        <v>0184CNSC0571PAR</v>
      </c>
      <c r="B307" s="1">
        <v>571</v>
      </c>
      <c r="C307" s="2" t="s">
        <v>2322</v>
      </c>
      <c r="D307" s="2" t="s">
        <v>2007</v>
      </c>
      <c r="E307" s="18">
        <v>7</v>
      </c>
      <c r="F307" s="2" t="s">
        <v>25</v>
      </c>
      <c r="G307" s="36">
        <v>0.63888888888888895</v>
      </c>
      <c r="H307" s="2" t="s">
        <v>1965</v>
      </c>
      <c r="I3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07" s="22">
        <v>18</v>
      </c>
      <c r="K307" s="22">
        <v>18</v>
      </c>
      <c r="L307" s="37">
        <v>36892</v>
      </c>
      <c r="M307" s="2"/>
      <c r="N307" s="2" t="s">
        <v>1966</v>
      </c>
      <c r="O307" s="2" t="s">
        <v>27</v>
      </c>
      <c r="P307" s="2" t="s">
        <v>26</v>
      </c>
    </row>
    <row r="308" spans="1:16" ht="20.100000000000001" customHeight="1" x14ac:dyDescent="0.25">
      <c r="A308" s="26" t="str">
        <f>CONCATENATE(LEFT(ConsumoConcreto[[#This Row],[RecebimentoID]],4),"CNSC",TEXT(ConsumoConcreto[[#This Row],[Ordem]],"0000"),UPPER(LEFT(ConsumoConcreto[[#This Row],[Destino]],3)))</f>
        <v>0184CNSC0544RAD</v>
      </c>
      <c r="B308" s="1">
        <v>544</v>
      </c>
      <c r="C308" s="2" t="s">
        <v>2323</v>
      </c>
      <c r="D308" s="2" t="s">
        <v>2007</v>
      </c>
      <c r="E308" s="18">
        <v>7</v>
      </c>
      <c r="F308" s="2" t="s">
        <v>1801</v>
      </c>
      <c r="G308" s="36"/>
      <c r="H308" s="2" t="s">
        <v>1968</v>
      </c>
      <c r="I3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08" s="22">
        <v>7</v>
      </c>
      <c r="K308" s="22">
        <v>6.6989999999999998</v>
      </c>
      <c r="L308" s="37">
        <v>36892</v>
      </c>
      <c r="M308" s="2"/>
      <c r="N308" s="2"/>
      <c r="O308" s="2" t="s">
        <v>27</v>
      </c>
      <c r="P308" s="2" t="s">
        <v>26</v>
      </c>
    </row>
    <row r="309" spans="1:16" ht="20.100000000000001" customHeight="1" x14ac:dyDescent="0.25">
      <c r="A309" s="26" t="str">
        <f>CONCATENATE(LEFT(ConsumoConcreto[[#This Row],[RecebimentoID]],4),"CNSC",TEXT(ConsumoConcreto[[#This Row],[Ordem]],"0000"),UPPER(LEFT(ConsumoConcreto[[#This Row],[Destino]],3)))</f>
        <v>0184CNSC0617PAR</v>
      </c>
      <c r="B309" s="1">
        <v>617</v>
      </c>
      <c r="C309" s="2" t="s">
        <v>2324</v>
      </c>
      <c r="D309" s="2" t="s">
        <v>2010</v>
      </c>
      <c r="E309" s="18">
        <v>7</v>
      </c>
      <c r="F309" s="2" t="s">
        <v>25</v>
      </c>
      <c r="G309" s="36">
        <v>0.85138888888888886</v>
      </c>
      <c r="H309" s="2" t="s">
        <v>1965</v>
      </c>
      <c r="I3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09" s="22">
        <v>18</v>
      </c>
      <c r="K309" s="22">
        <v>18</v>
      </c>
      <c r="L309" s="37">
        <v>36892</v>
      </c>
      <c r="M309" s="2"/>
      <c r="N309" s="2" t="s">
        <v>1966</v>
      </c>
      <c r="O309" s="2" t="s">
        <v>27</v>
      </c>
      <c r="P309" s="2" t="s">
        <v>26</v>
      </c>
    </row>
    <row r="310" spans="1:16" ht="20.100000000000001" customHeight="1" x14ac:dyDescent="0.25">
      <c r="A310" s="26" t="str">
        <f>CONCATENATE(LEFT(ConsumoConcreto[[#This Row],[RecebimentoID]],4),"CNSC",TEXT(ConsumoConcreto[[#This Row],[Ordem]],"0000"),UPPER(LEFT(ConsumoConcreto[[#This Row],[Destino]],3)))</f>
        <v>0184CNSC0598RAD</v>
      </c>
      <c r="B310" s="1">
        <v>598</v>
      </c>
      <c r="C310" s="2" t="s">
        <v>2325</v>
      </c>
      <c r="D310" s="2" t="s">
        <v>2010</v>
      </c>
      <c r="E310" s="18">
        <v>7</v>
      </c>
      <c r="F310" s="2" t="s">
        <v>1801</v>
      </c>
      <c r="G310" s="36">
        <v>0.69444444444444453</v>
      </c>
      <c r="H310" s="2" t="s">
        <v>1968</v>
      </c>
      <c r="I3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10" s="22">
        <v>7</v>
      </c>
      <c r="K310" s="22">
        <v>7</v>
      </c>
      <c r="L310" s="37">
        <v>36892</v>
      </c>
      <c r="M310" s="2"/>
      <c r="N310" s="2" t="s">
        <v>1966</v>
      </c>
      <c r="O310" s="2" t="s">
        <v>27</v>
      </c>
      <c r="P310" s="2" t="s">
        <v>26</v>
      </c>
    </row>
    <row r="311" spans="1:16" ht="20.100000000000001" customHeight="1" x14ac:dyDescent="0.25">
      <c r="A311" s="26" t="str">
        <f>CONCATENATE(LEFT(ConsumoConcreto[[#This Row],[RecebimentoID]],4),"CNSC",TEXT(ConsumoConcreto[[#This Row],[Ordem]],"0000"),UPPER(LEFT(ConsumoConcreto[[#This Row],[Destino]],3)))</f>
        <v>0184CNSC0689PAR</v>
      </c>
      <c r="B311" s="1">
        <v>689</v>
      </c>
      <c r="C311" s="2" t="s">
        <v>2326</v>
      </c>
      <c r="D311" s="2" t="s">
        <v>2013</v>
      </c>
      <c r="E311" s="18">
        <v>7</v>
      </c>
      <c r="F311" s="2" t="s">
        <v>25</v>
      </c>
      <c r="G311" s="36">
        <v>0.71875</v>
      </c>
      <c r="H311" s="2" t="s">
        <v>1965</v>
      </c>
      <c r="I3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11" s="22">
        <v>15</v>
      </c>
      <c r="K311" s="22">
        <v>15</v>
      </c>
      <c r="L311" s="37">
        <v>36892</v>
      </c>
      <c r="M311" s="2" t="s">
        <v>1971</v>
      </c>
      <c r="N311" s="2" t="s">
        <v>1966</v>
      </c>
      <c r="O311" s="2" t="s">
        <v>27</v>
      </c>
      <c r="P311" s="2" t="s">
        <v>26</v>
      </c>
    </row>
    <row r="312" spans="1:16" ht="20.100000000000001" customHeight="1" x14ac:dyDescent="0.25">
      <c r="A312" s="26" t="str">
        <f>CONCATENATE(LEFT(ConsumoConcreto[[#This Row],[RecebimentoID]],4),"CNSC",TEXT(ConsumoConcreto[[#This Row],[Ordem]],"0000"),UPPER(LEFT(ConsumoConcreto[[#This Row],[Destino]],3)))</f>
        <v>0184CNSC0671RAD</v>
      </c>
      <c r="B312" s="1">
        <v>671</v>
      </c>
      <c r="C312" s="2" t="s">
        <v>2327</v>
      </c>
      <c r="D312" s="2" t="s">
        <v>2013</v>
      </c>
      <c r="E312" s="18">
        <v>7</v>
      </c>
      <c r="F312" s="2" t="s">
        <v>1801</v>
      </c>
      <c r="G312" s="36"/>
      <c r="H312" s="2" t="s">
        <v>1968</v>
      </c>
      <c r="I3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12" s="22">
        <v>6</v>
      </c>
      <c r="K312" s="22">
        <v>5.4809999999999999</v>
      </c>
      <c r="L312" s="37">
        <v>36892</v>
      </c>
      <c r="M312" s="2"/>
      <c r="N312" s="2"/>
      <c r="O312" s="2" t="s">
        <v>27</v>
      </c>
      <c r="P312" s="2" t="s">
        <v>26</v>
      </c>
    </row>
    <row r="313" spans="1:16" ht="20.100000000000001" customHeight="1" x14ac:dyDescent="0.25">
      <c r="A313" s="26" t="str">
        <f>CONCATENATE(LEFT(ConsumoConcreto[[#This Row],[RecebimentoID]],4),"CNSC",TEXT(ConsumoConcreto[[#This Row],[Ordem]],"0000"),UPPER(LEFT(ConsumoConcreto[[#This Row],[Destino]],3)))</f>
        <v>0184CNSC0766PAR</v>
      </c>
      <c r="B313" s="1">
        <v>766</v>
      </c>
      <c r="C313" s="2" t="s">
        <v>2328</v>
      </c>
      <c r="D313" s="2" t="s">
        <v>2016</v>
      </c>
      <c r="E313" s="18">
        <v>7</v>
      </c>
      <c r="F313" s="2" t="s">
        <v>25</v>
      </c>
      <c r="G313" s="36">
        <v>0.65347222222222223</v>
      </c>
      <c r="H313" s="2" t="s">
        <v>1965</v>
      </c>
      <c r="I3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13" s="22">
        <v>14.5</v>
      </c>
      <c r="K313" s="22">
        <v>14.5</v>
      </c>
      <c r="L313" s="37">
        <v>36892</v>
      </c>
      <c r="M313" s="2"/>
      <c r="N313" s="2" t="s">
        <v>2017</v>
      </c>
      <c r="O313" s="2" t="s">
        <v>27</v>
      </c>
      <c r="P313" s="2" t="s">
        <v>26</v>
      </c>
    </row>
    <row r="314" spans="1:16" ht="20.100000000000001" customHeight="1" x14ac:dyDescent="0.25">
      <c r="A314" s="26" t="str">
        <f>CONCATENATE(LEFT(ConsumoConcreto[[#This Row],[RecebimentoID]],4),"CNSC",TEXT(ConsumoConcreto[[#This Row],[Ordem]],"0000"),UPPER(LEFT(ConsumoConcreto[[#This Row],[Destino]],3)))</f>
        <v>0184CNSC0747RAD</v>
      </c>
      <c r="B314" s="1">
        <v>747</v>
      </c>
      <c r="C314" s="2" t="s">
        <v>2329</v>
      </c>
      <c r="D314" s="2" t="s">
        <v>2016</v>
      </c>
      <c r="E314" s="18">
        <v>7</v>
      </c>
      <c r="F314" s="2" t="s">
        <v>1801</v>
      </c>
      <c r="G314" s="36">
        <v>0.67152777777777783</v>
      </c>
      <c r="H314" s="2" t="s">
        <v>1968</v>
      </c>
      <c r="I3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14" s="22">
        <v>5.5</v>
      </c>
      <c r="K314" s="22">
        <v>5.5</v>
      </c>
      <c r="L314" s="37">
        <v>36892</v>
      </c>
      <c r="M314" s="2" t="s">
        <v>2330</v>
      </c>
      <c r="N314" s="2" t="s">
        <v>2017</v>
      </c>
      <c r="O314" s="2" t="s">
        <v>27</v>
      </c>
      <c r="P314" s="2" t="s">
        <v>26</v>
      </c>
    </row>
    <row r="315" spans="1:16" ht="20.100000000000001" customHeight="1" x14ac:dyDescent="0.25">
      <c r="A315" s="26" t="str">
        <f>CONCATENATE(LEFT(ConsumoConcreto[[#This Row],[RecebimentoID]],4),"CNSC",TEXT(ConsumoConcreto[[#This Row],[Ordem]],"0000"),UPPER(LEFT(ConsumoConcreto[[#This Row],[Destino]],3)))</f>
        <v>0184CNSC0792PAR</v>
      </c>
      <c r="B315" s="1">
        <v>792</v>
      </c>
      <c r="C315" s="2" t="s">
        <v>2331</v>
      </c>
      <c r="D315" s="2" t="s">
        <v>2021</v>
      </c>
      <c r="E315" s="18">
        <v>7</v>
      </c>
      <c r="F315" s="2" t="s">
        <v>25</v>
      </c>
      <c r="G315" s="36">
        <v>0.65902777777777777</v>
      </c>
      <c r="H315" s="2" t="s">
        <v>1965</v>
      </c>
      <c r="I3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15" s="22">
        <v>14.5</v>
      </c>
      <c r="K315" s="22">
        <v>14.5</v>
      </c>
      <c r="L315" s="37">
        <v>36892</v>
      </c>
      <c r="M315" s="2"/>
      <c r="N315" s="2" t="s">
        <v>1966</v>
      </c>
      <c r="O315" s="2" t="s">
        <v>27</v>
      </c>
      <c r="P315" s="2" t="s">
        <v>26</v>
      </c>
    </row>
    <row r="316" spans="1:16" ht="20.100000000000001" customHeight="1" x14ac:dyDescent="0.25">
      <c r="A316" s="26" t="str">
        <f>CONCATENATE(LEFT(ConsumoConcreto[[#This Row],[RecebimentoID]],4),"CNSC",TEXT(ConsumoConcreto[[#This Row],[Ordem]],"0000"),UPPER(LEFT(ConsumoConcreto[[#This Row],[Destino]],3)))</f>
        <v>0184CNSC0779RAD</v>
      </c>
      <c r="B316" s="1">
        <v>779</v>
      </c>
      <c r="C316" s="2" t="s">
        <v>2332</v>
      </c>
      <c r="D316" s="2" t="s">
        <v>2021</v>
      </c>
      <c r="E316" s="18">
        <v>7</v>
      </c>
      <c r="F316" s="2" t="s">
        <v>1801</v>
      </c>
      <c r="G316" s="36">
        <v>0.62152777777777779</v>
      </c>
      <c r="H316" s="2" t="s">
        <v>1968</v>
      </c>
      <c r="I3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16" s="22">
        <v>7</v>
      </c>
      <c r="K316" s="22">
        <v>7</v>
      </c>
      <c r="L316" s="37">
        <v>36892</v>
      </c>
      <c r="M316" s="2"/>
      <c r="N316" s="2" t="s">
        <v>1963</v>
      </c>
      <c r="O316" s="2" t="s">
        <v>27</v>
      </c>
      <c r="P316" s="2" t="s">
        <v>26</v>
      </c>
    </row>
    <row r="317" spans="1:16" ht="20.100000000000001" customHeight="1" x14ac:dyDescent="0.25">
      <c r="A317" s="26" t="str">
        <f>CONCATENATE(LEFT(ConsumoConcreto[[#This Row],[RecebimentoID]],4),"CNSC",TEXT(ConsumoConcreto[[#This Row],[Ordem]],"0000"),UPPER(LEFT(ConsumoConcreto[[#This Row],[Destino]],3)))</f>
        <v>0184CNSC0866PAR</v>
      </c>
      <c r="B317" s="1">
        <v>866</v>
      </c>
      <c r="C317" s="2" t="s">
        <v>2333</v>
      </c>
      <c r="D317" s="2" t="s">
        <v>2024</v>
      </c>
      <c r="E317" s="18">
        <v>7</v>
      </c>
      <c r="F317" s="2" t="s">
        <v>25</v>
      </c>
      <c r="G317" s="36"/>
      <c r="H317" s="2" t="s">
        <v>1965</v>
      </c>
      <c r="I3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317" s="37">
        <v>36892</v>
      </c>
      <c r="M317" s="2"/>
      <c r="N317" s="2" t="s">
        <v>1966</v>
      </c>
      <c r="O317" s="2" t="s">
        <v>27</v>
      </c>
      <c r="P317" s="2" t="s">
        <v>26</v>
      </c>
    </row>
    <row r="318" spans="1:16" ht="20.100000000000001" customHeight="1" x14ac:dyDescent="0.25">
      <c r="A318" s="26" t="str">
        <f>CONCATENATE(LEFT(ConsumoConcreto[[#This Row],[RecebimentoID]],4),"CNSC",TEXT(ConsumoConcreto[[#This Row],[Ordem]],"0000"),UPPER(LEFT(ConsumoConcreto[[#This Row],[Destino]],3)))</f>
        <v>0184CNSC0809RAD</v>
      </c>
      <c r="B318" s="1">
        <v>809</v>
      </c>
      <c r="C318" s="2" t="s">
        <v>2334</v>
      </c>
      <c r="D318" s="2" t="s">
        <v>2024</v>
      </c>
      <c r="E318" s="18">
        <v>7</v>
      </c>
      <c r="F318" s="2" t="s">
        <v>1801</v>
      </c>
      <c r="G318" s="36">
        <v>0.51041666666666663</v>
      </c>
      <c r="H318" s="2" t="s">
        <v>1968</v>
      </c>
      <c r="I3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18" s="22">
        <v>5.5</v>
      </c>
      <c r="K318" s="22">
        <v>5.5</v>
      </c>
      <c r="L318" s="37">
        <v>36892</v>
      </c>
      <c r="M318" s="2"/>
      <c r="N318" s="2" t="s">
        <v>1963</v>
      </c>
      <c r="O318" s="2" t="s">
        <v>27</v>
      </c>
      <c r="P318" s="2" t="s">
        <v>26</v>
      </c>
    </row>
    <row r="319" spans="1:16" ht="20.100000000000001" customHeight="1" x14ac:dyDescent="0.25">
      <c r="A319" s="26" t="str">
        <f>CONCATENATE(LEFT(ConsumoConcreto[[#This Row],[RecebimentoID]],4),"CNSC",TEXT(ConsumoConcreto[[#This Row],[Ordem]],"0000"),UPPER(LEFT(ConsumoConcreto[[#This Row],[Destino]],3)))</f>
        <v>0184CNSC0888PAR</v>
      </c>
      <c r="B319" s="1">
        <v>888</v>
      </c>
      <c r="C319" s="2" t="s">
        <v>2335</v>
      </c>
      <c r="D319" s="2" t="s">
        <v>2027</v>
      </c>
      <c r="E319" s="18">
        <v>7</v>
      </c>
      <c r="F319" s="2" t="s">
        <v>25</v>
      </c>
      <c r="G319" s="36">
        <v>0.74861111111111101</v>
      </c>
      <c r="H319" s="2" t="s">
        <v>1965</v>
      </c>
      <c r="I3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19" s="22">
        <v>15</v>
      </c>
      <c r="K319" s="22">
        <v>15</v>
      </c>
      <c r="L319" s="37">
        <v>36892</v>
      </c>
      <c r="M319" s="2"/>
      <c r="N319" s="2" t="s">
        <v>1966</v>
      </c>
      <c r="O319" s="2" t="s">
        <v>27</v>
      </c>
      <c r="P319" s="2" t="s">
        <v>26</v>
      </c>
    </row>
    <row r="320" spans="1:16" ht="20.100000000000001" customHeight="1" x14ac:dyDescent="0.25">
      <c r="A320" s="26" t="str">
        <f>CONCATENATE(LEFT(ConsumoConcreto[[#This Row],[RecebimentoID]],4),"CNSC",TEXT(ConsumoConcreto[[#This Row],[Ordem]],"0000"),UPPER(LEFT(ConsumoConcreto[[#This Row],[Destino]],3)))</f>
        <v>0184CNSC0873RAD</v>
      </c>
      <c r="B320" s="1">
        <v>873</v>
      </c>
      <c r="C320" s="2" t="s">
        <v>2336</v>
      </c>
      <c r="D320" s="2" t="s">
        <v>2027</v>
      </c>
      <c r="E320" s="18">
        <v>7</v>
      </c>
      <c r="F320" s="2" t="s">
        <v>1801</v>
      </c>
      <c r="G320" s="36">
        <v>0.48472222222222222</v>
      </c>
      <c r="H320" s="2" t="s">
        <v>1968</v>
      </c>
      <c r="I3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20" s="22">
        <v>5.5</v>
      </c>
      <c r="K320" s="22">
        <v>5.5</v>
      </c>
      <c r="L320" s="37">
        <v>36892</v>
      </c>
      <c r="M320" s="2"/>
      <c r="N320" s="2" t="s">
        <v>1963</v>
      </c>
      <c r="O320" s="2" t="s">
        <v>27</v>
      </c>
      <c r="P320" s="2" t="s">
        <v>26</v>
      </c>
    </row>
    <row r="321" spans="1:16" ht="20.100000000000001" customHeight="1" x14ac:dyDescent="0.25">
      <c r="A321" s="26" t="str">
        <f>CONCATENATE(LEFT(ConsumoConcreto[[#This Row],[RecebimentoID]],4),"CNSC",TEXT(ConsumoConcreto[[#This Row],[Ordem]],"0000"),UPPER(LEFT(ConsumoConcreto[[#This Row],[Destino]],3)))</f>
        <v>0184CNSC0920PAR</v>
      </c>
      <c r="B321" s="1">
        <v>920</v>
      </c>
      <c r="C321" s="2" t="s">
        <v>2337</v>
      </c>
      <c r="D321" s="2" t="s">
        <v>2030</v>
      </c>
      <c r="E321" s="18">
        <v>7</v>
      </c>
      <c r="F321" s="2" t="s">
        <v>25</v>
      </c>
      <c r="G321" s="36">
        <v>0.7680555555555556</v>
      </c>
      <c r="H321" s="2" t="s">
        <v>1965</v>
      </c>
      <c r="I3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21" s="22">
        <v>15</v>
      </c>
      <c r="K321" s="22">
        <v>15</v>
      </c>
      <c r="L321" s="37">
        <v>36892</v>
      </c>
      <c r="M321" s="2" t="s">
        <v>2082</v>
      </c>
      <c r="N321" s="2" t="s">
        <v>1966</v>
      </c>
      <c r="O321" s="2" t="s">
        <v>27</v>
      </c>
      <c r="P321" s="2" t="s">
        <v>26</v>
      </c>
    </row>
    <row r="322" spans="1:16" ht="20.100000000000001" customHeight="1" x14ac:dyDescent="0.25">
      <c r="A322" s="26" t="str">
        <f>CONCATENATE(LEFT(ConsumoConcreto[[#This Row],[RecebimentoID]],4),"CNSC",TEXT(ConsumoConcreto[[#This Row],[Ordem]],"0000"),UPPER(LEFT(ConsumoConcreto[[#This Row],[Destino]],3)))</f>
        <v>0184CNSC0902RAD</v>
      </c>
      <c r="B322" s="1">
        <v>902</v>
      </c>
      <c r="C322" s="2" t="s">
        <v>2338</v>
      </c>
      <c r="D322" s="2" t="s">
        <v>2030</v>
      </c>
      <c r="E322" s="18">
        <v>7</v>
      </c>
      <c r="F322" s="2" t="s">
        <v>1801</v>
      </c>
      <c r="G322" s="36"/>
      <c r="H322" s="2" t="s">
        <v>1968</v>
      </c>
      <c r="I3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22" s="22">
        <v>5.78</v>
      </c>
      <c r="K322" s="22">
        <v>5.4809999999999999</v>
      </c>
      <c r="L322" s="37">
        <v>36892</v>
      </c>
      <c r="M322" s="2"/>
      <c r="N322" s="2"/>
      <c r="O322" s="2" t="s">
        <v>27</v>
      </c>
      <c r="P322" s="2" t="s">
        <v>26</v>
      </c>
    </row>
    <row r="323" spans="1:16" ht="20.100000000000001" customHeight="1" x14ac:dyDescent="0.25">
      <c r="A323" s="26" t="str">
        <f>CONCATENATE(LEFT(ConsumoConcreto[[#This Row],[RecebimentoID]],4),"CNSC",TEXT(ConsumoConcreto[[#This Row],[Ordem]],"0000"),UPPER(LEFT(ConsumoConcreto[[#This Row],[Destino]],3)))</f>
        <v>0184CNSC0976PAR</v>
      </c>
      <c r="B323" s="1">
        <v>976</v>
      </c>
      <c r="C323" s="2" t="s">
        <v>2339</v>
      </c>
      <c r="D323" s="2" t="s">
        <v>2033</v>
      </c>
      <c r="E323" s="18">
        <v>7</v>
      </c>
      <c r="F323" s="2" t="s">
        <v>25</v>
      </c>
      <c r="G323" s="36">
        <v>0.76111111111111107</v>
      </c>
      <c r="H323" s="2" t="s">
        <v>1965</v>
      </c>
      <c r="I3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23" s="22">
        <v>14.5</v>
      </c>
      <c r="K323" s="22">
        <v>14.5</v>
      </c>
      <c r="L323" s="37">
        <v>36892</v>
      </c>
      <c r="M323" s="2"/>
      <c r="N323" s="2" t="s">
        <v>1966</v>
      </c>
      <c r="O323" s="2" t="s">
        <v>27</v>
      </c>
      <c r="P323" s="2" t="s">
        <v>26</v>
      </c>
    </row>
    <row r="324" spans="1:16" ht="20.100000000000001" customHeight="1" x14ac:dyDescent="0.25">
      <c r="A324" s="26" t="str">
        <f>CONCATENATE(LEFT(ConsumoConcreto[[#This Row],[RecebimentoID]],4),"CNSC",TEXT(ConsumoConcreto[[#This Row],[Ordem]],"0000"),UPPER(LEFT(ConsumoConcreto[[#This Row],[Destino]],3)))</f>
        <v>0184CNSC0935RAD</v>
      </c>
      <c r="B324" s="1">
        <v>935</v>
      </c>
      <c r="C324" s="2" t="s">
        <v>2340</v>
      </c>
      <c r="D324" s="2" t="s">
        <v>2033</v>
      </c>
      <c r="E324" s="18">
        <v>7</v>
      </c>
      <c r="F324" s="2" t="s">
        <v>1801</v>
      </c>
      <c r="G324" s="36">
        <v>0.60833333333333328</v>
      </c>
      <c r="H324" s="2" t="s">
        <v>1968</v>
      </c>
      <c r="I3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24" s="22">
        <v>5.5</v>
      </c>
      <c r="K324" s="22">
        <v>5.5</v>
      </c>
      <c r="L324" s="37">
        <v>36892</v>
      </c>
      <c r="M324" s="2"/>
      <c r="N324" s="2" t="s">
        <v>1966</v>
      </c>
      <c r="O324" s="2" t="s">
        <v>27</v>
      </c>
      <c r="P324" s="2" t="s">
        <v>26</v>
      </c>
    </row>
    <row r="325" spans="1:16" ht="20.100000000000001" customHeight="1" x14ac:dyDescent="0.25">
      <c r="A325" s="26" t="str">
        <f>CONCATENATE(LEFT(ConsumoConcreto[[#This Row],[RecebimentoID]],4),"CNSC",TEXT(ConsumoConcreto[[#This Row],[Ordem]],"0000"),UPPER(LEFT(ConsumoConcreto[[#This Row],[Destino]],3)))</f>
        <v>0184CNSC1057PAR</v>
      </c>
      <c r="B325" s="1">
        <v>1057</v>
      </c>
      <c r="C325" s="2" t="s">
        <v>2341</v>
      </c>
      <c r="D325" s="2" t="s">
        <v>2036</v>
      </c>
      <c r="E325" s="18">
        <v>7</v>
      </c>
      <c r="F325" s="2" t="s">
        <v>25</v>
      </c>
      <c r="G325" s="36">
        <v>0.77986111111111101</v>
      </c>
      <c r="H325" s="2" t="s">
        <v>1965</v>
      </c>
      <c r="I3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25" s="22">
        <v>14.5</v>
      </c>
      <c r="K325" s="22">
        <v>14.5</v>
      </c>
      <c r="L325" s="37">
        <v>36892</v>
      </c>
      <c r="M325" s="2"/>
      <c r="N325" s="2" t="s">
        <v>1966</v>
      </c>
      <c r="O325" s="2" t="s">
        <v>27</v>
      </c>
      <c r="P325" s="2" t="s">
        <v>26</v>
      </c>
    </row>
    <row r="326" spans="1:16" ht="20.100000000000001" customHeight="1" x14ac:dyDescent="0.25">
      <c r="A326" s="26" t="str">
        <f>CONCATENATE(LEFT(ConsumoConcreto[[#This Row],[RecebimentoID]],4),"CNSC",TEXT(ConsumoConcreto[[#This Row],[Ordem]],"0000"),UPPER(LEFT(ConsumoConcreto[[#This Row],[Destino]],3)))</f>
        <v>0184CNSC1038RAD</v>
      </c>
      <c r="B326" s="1">
        <v>1038</v>
      </c>
      <c r="C326" s="2" t="s">
        <v>2342</v>
      </c>
      <c r="D326" s="2" t="s">
        <v>2036</v>
      </c>
      <c r="E326" s="18">
        <v>7</v>
      </c>
      <c r="F326" s="2" t="s">
        <v>1801</v>
      </c>
      <c r="G326" s="36">
        <v>0.44097222222222227</v>
      </c>
      <c r="H326" s="2" t="s">
        <v>1968</v>
      </c>
      <c r="I3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26" s="22">
        <v>5.5</v>
      </c>
      <c r="K326" s="22">
        <v>5.5</v>
      </c>
      <c r="L326" s="37">
        <v>36892</v>
      </c>
      <c r="M326" s="2"/>
      <c r="N326" s="2" t="s">
        <v>1963</v>
      </c>
      <c r="O326" s="2" t="s">
        <v>27</v>
      </c>
      <c r="P326" s="2" t="s">
        <v>26</v>
      </c>
    </row>
    <row r="327" spans="1:16" ht="20.100000000000001" customHeight="1" x14ac:dyDescent="0.25">
      <c r="A327" s="26" t="str">
        <f>CONCATENATE(LEFT(ConsumoConcreto[[#This Row],[RecebimentoID]],4),"CNSC",TEXT(ConsumoConcreto[[#This Row],[Ordem]],"0000"),UPPER(LEFT(ConsumoConcreto[[#This Row],[Destino]],3)))</f>
        <v>0184CNSC0015PAR</v>
      </c>
      <c r="B327" s="1">
        <v>15</v>
      </c>
      <c r="C327" s="2" t="s">
        <v>2343</v>
      </c>
      <c r="D327" s="2" t="s">
        <v>1961</v>
      </c>
      <c r="E327" s="18">
        <v>8</v>
      </c>
      <c r="F327" s="2" t="s">
        <v>25</v>
      </c>
      <c r="G327" s="36"/>
      <c r="H327" s="2" t="s">
        <v>1965</v>
      </c>
      <c r="I3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27" s="22">
        <v>18</v>
      </c>
      <c r="K327" s="22">
        <v>18</v>
      </c>
      <c r="L327" s="37">
        <v>36892</v>
      </c>
      <c r="M327" s="2"/>
      <c r="N327" s="2" t="s">
        <v>1966</v>
      </c>
      <c r="O327" s="2" t="s">
        <v>27</v>
      </c>
      <c r="P327" s="2" t="s">
        <v>26</v>
      </c>
    </row>
    <row r="328" spans="1:16" ht="20.100000000000001" customHeight="1" x14ac:dyDescent="0.25">
      <c r="A328" s="26" t="str">
        <f>CONCATENATE(LEFT(ConsumoConcreto[[#This Row],[RecebimentoID]],4),"CNSC",TEXT(ConsumoConcreto[[#This Row],[Ordem]],"0000"),UPPER(LEFT(ConsumoConcreto[[#This Row],[Destino]],3)))</f>
        <v>0184CNSC0019PIL</v>
      </c>
      <c r="B328" s="1">
        <v>19</v>
      </c>
      <c r="C328" s="2" t="s">
        <v>2344</v>
      </c>
      <c r="D328" s="2" t="s">
        <v>1961</v>
      </c>
      <c r="E328" s="18">
        <v>8</v>
      </c>
      <c r="F328" s="2" t="s">
        <v>25</v>
      </c>
      <c r="G328" s="36"/>
      <c r="H328" s="2" t="s">
        <v>1962</v>
      </c>
      <c r="I3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28" s="22">
        <v>0.12</v>
      </c>
      <c r="K328" s="22">
        <v>0.1</v>
      </c>
      <c r="L328" s="37">
        <v>36892</v>
      </c>
      <c r="M328" s="2"/>
      <c r="N328" s="2" t="s">
        <v>1963</v>
      </c>
      <c r="O328" s="2" t="s">
        <v>27</v>
      </c>
      <c r="P328" s="2" t="s">
        <v>26</v>
      </c>
    </row>
    <row r="329" spans="1:16" ht="20.100000000000001" customHeight="1" x14ac:dyDescent="0.25">
      <c r="A329" s="26" t="str">
        <f>CONCATENATE(LEFT(ConsumoConcreto[[#This Row],[RecebimentoID]],4),"CNSC",TEXT(ConsumoConcreto[[#This Row],[Ordem]],"0000"),UPPER(LEFT(ConsumoConcreto[[#This Row],[Destino]],3)))</f>
        <v>0184CNSC0008RAD</v>
      </c>
      <c r="B329" s="1">
        <v>8</v>
      </c>
      <c r="C329" s="2" t="s">
        <v>2345</v>
      </c>
      <c r="D329" s="2" t="s">
        <v>1961</v>
      </c>
      <c r="E329" s="18">
        <v>8</v>
      </c>
      <c r="F329" s="2" t="s">
        <v>1801</v>
      </c>
      <c r="G329" s="36"/>
      <c r="H329" s="2" t="s">
        <v>1968</v>
      </c>
      <c r="I3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29" s="22">
        <v>6.5</v>
      </c>
      <c r="K329" s="22">
        <v>6.5</v>
      </c>
      <c r="L329" s="37">
        <v>36892</v>
      </c>
      <c r="M329" s="2"/>
      <c r="N329" s="2"/>
      <c r="O329" s="2" t="s">
        <v>27</v>
      </c>
      <c r="P329" s="2" t="s">
        <v>26</v>
      </c>
    </row>
    <row r="330" spans="1:16" ht="20.100000000000001" customHeight="1" x14ac:dyDescent="0.25">
      <c r="A330" s="26" t="str">
        <f>CONCATENATE(LEFT(ConsumoConcreto[[#This Row],[RecebimentoID]],4),"CNSC",TEXT(ConsumoConcreto[[#This Row],[Ordem]],"0000"),UPPER(LEFT(ConsumoConcreto[[#This Row],[Destino]],3)))</f>
        <v>0184CNSC0071PAR</v>
      </c>
      <c r="B330" s="1">
        <v>71</v>
      </c>
      <c r="C330" s="2" t="s">
        <v>2346</v>
      </c>
      <c r="D330" s="2" t="s">
        <v>1970</v>
      </c>
      <c r="E330" s="18">
        <v>8</v>
      </c>
      <c r="F330" s="2" t="s">
        <v>25</v>
      </c>
      <c r="G330" s="36"/>
      <c r="H330" s="2" t="s">
        <v>1965</v>
      </c>
      <c r="I3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30" s="22">
        <v>15</v>
      </c>
      <c r="K330" s="22">
        <v>14</v>
      </c>
      <c r="L330" s="37">
        <v>36892</v>
      </c>
      <c r="M330" s="2" t="s">
        <v>1971</v>
      </c>
      <c r="N330" s="2" t="s">
        <v>1966</v>
      </c>
      <c r="O330" s="2" t="s">
        <v>27</v>
      </c>
      <c r="P330" s="2" t="s">
        <v>26</v>
      </c>
    </row>
    <row r="331" spans="1:16" ht="20.100000000000001" customHeight="1" x14ac:dyDescent="0.25">
      <c r="A331" s="26" t="str">
        <f>CONCATENATE(LEFT(ConsumoConcreto[[#This Row],[RecebimentoID]],4),"CNSC",TEXT(ConsumoConcreto[[#This Row],[Ordem]],"0000"),UPPER(LEFT(ConsumoConcreto[[#This Row],[Destino]],3)))</f>
        <v>0184CNSC0075PIL</v>
      </c>
      <c r="B331" s="1">
        <v>75</v>
      </c>
      <c r="C331" s="2" t="s">
        <v>2347</v>
      </c>
      <c r="D331" s="2" t="s">
        <v>1970</v>
      </c>
      <c r="E331" s="18">
        <v>8</v>
      </c>
      <c r="F331" s="2" t="s">
        <v>25</v>
      </c>
      <c r="G331" s="36"/>
      <c r="H331" s="2" t="s">
        <v>1962</v>
      </c>
      <c r="I3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31" s="22">
        <v>0.3</v>
      </c>
      <c r="K331" s="22">
        <v>0.1</v>
      </c>
      <c r="L331" s="37">
        <v>36892</v>
      </c>
      <c r="M331" s="2"/>
      <c r="N331" s="2" t="s">
        <v>1963</v>
      </c>
      <c r="O331" s="2" t="s">
        <v>27</v>
      </c>
      <c r="P331" s="2" t="s">
        <v>26</v>
      </c>
    </row>
    <row r="332" spans="1:16" ht="20.100000000000001" customHeight="1" x14ac:dyDescent="0.25">
      <c r="A332" s="26" t="str">
        <f>CONCATENATE(LEFT(ConsumoConcreto[[#This Row],[RecebimentoID]],4),"CNSC",TEXT(ConsumoConcreto[[#This Row],[Ordem]],"0000"),UPPER(LEFT(ConsumoConcreto[[#This Row],[Destino]],3)))</f>
        <v>0184CNSC0029RAD</v>
      </c>
      <c r="B332" s="1">
        <v>29</v>
      </c>
      <c r="C332" s="2" t="s">
        <v>2348</v>
      </c>
      <c r="D332" s="2" t="s">
        <v>1970</v>
      </c>
      <c r="E332" s="18">
        <v>8</v>
      </c>
      <c r="F332" s="2" t="s">
        <v>1801</v>
      </c>
      <c r="G332" s="36"/>
      <c r="H332" s="2" t="s">
        <v>1968</v>
      </c>
      <c r="I3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32" s="22">
        <v>5.5</v>
      </c>
      <c r="K332" s="22">
        <v>5.5</v>
      </c>
      <c r="L332" s="37">
        <v>36892</v>
      </c>
      <c r="M332" s="2"/>
      <c r="N332" s="2"/>
      <c r="O332" s="2" t="s">
        <v>27</v>
      </c>
      <c r="P332" s="2" t="s">
        <v>26</v>
      </c>
    </row>
    <row r="333" spans="1:16" ht="20.100000000000001" customHeight="1" x14ac:dyDescent="0.25">
      <c r="A333" s="26" t="str">
        <f>CONCATENATE(LEFT(ConsumoConcreto[[#This Row],[RecebimentoID]],4),"CNSC",TEXT(ConsumoConcreto[[#This Row],[Ordem]],"0000"),UPPER(LEFT(ConsumoConcreto[[#This Row],[Destino]],3)))</f>
        <v>0184CNSC0133PAR</v>
      </c>
      <c r="B333" s="1">
        <v>133</v>
      </c>
      <c r="C333" s="2" t="s">
        <v>2349</v>
      </c>
      <c r="D333" s="2" t="s">
        <v>1975</v>
      </c>
      <c r="E333" s="18">
        <v>8</v>
      </c>
      <c r="F333" s="2" t="s">
        <v>25</v>
      </c>
      <c r="G333" s="36"/>
      <c r="H333" s="2" t="s">
        <v>1965</v>
      </c>
      <c r="I3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33" s="22">
        <v>14.5</v>
      </c>
      <c r="K333" s="22">
        <v>14</v>
      </c>
      <c r="L333" s="37">
        <v>36892</v>
      </c>
      <c r="M333" s="2"/>
      <c r="N333" s="2" t="s">
        <v>2350</v>
      </c>
      <c r="O333" s="2" t="s">
        <v>27</v>
      </c>
      <c r="P333" s="2" t="s">
        <v>26</v>
      </c>
    </row>
    <row r="334" spans="1:16" ht="20.100000000000001" customHeight="1" x14ac:dyDescent="0.25">
      <c r="A334" s="26" t="str">
        <f>CONCATENATE(LEFT(ConsumoConcreto[[#This Row],[RecebimentoID]],4),"CNSC",TEXT(ConsumoConcreto[[#This Row],[Ordem]],"0000"),UPPER(LEFT(ConsumoConcreto[[#This Row],[Destino]],3)))</f>
        <v>0184CNSC0098RAD</v>
      </c>
      <c r="B334" s="1">
        <v>98</v>
      </c>
      <c r="C334" s="2" t="s">
        <v>2351</v>
      </c>
      <c r="D334" s="2" t="s">
        <v>1975</v>
      </c>
      <c r="E334" s="18">
        <v>8</v>
      </c>
      <c r="F334" s="2" t="s">
        <v>1801</v>
      </c>
      <c r="G334" s="36"/>
      <c r="H334" s="2" t="s">
        <v>1968</v>
      </c>
      <c r="I3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34" s="22">
        <v>5.5</v>
      </c>
      <c r="K334" s="22">
        <v>5.5</v>
      </c>
      <c r="L334" s="37">
        <v>36892</v>
      </c>
      <c r="M334" s="2"/>
      <c r="N334" s="2" t="s">
        <v>1966</v>
      </c>
      <c r="O334" s="2" t="s">
        <v>27</v>
      </c>
      <c r="P334" s="2" t="s">
        <v>26</v>
      </c>
    </row>
    <row r="335" spans="1:16" ht="20.100000000000001" customHeight="1" x14ac:dyDescent="0.25">
      <c r="A335" s="26" t="str">
        <f>CONCATENATE(LEFT(ConsumoConcreto[[#This Row],[RecebimentoID]],4),"CNSC",TEXT(ConsumoConcreto[[#This Row],[Ordem]],"0000"),UPPER(LEFT(ConsumoConcreto[[#This Row],[Destino]],3)))</f>
        <v>0184CNSC0158PIL</v>
      </c>
      <c r="B335" s="1">
        <v>158</v>
      </c>
      <c r="C335" s="2" t="s">
        <v>2352</v>
      </c>
      <c r="D335" s="2" t="s">
        <v>1975</v>
      </c>
      <c r="E335" s="18">
        <v>8</v>
      </c>
      <c r="F335" s="2" t="s">
        <v>1801</v>
      </c>
      <c r="G335" s="36"/>
      <c r="H335" s="2" t="s">
        <v>1962</v>
      </c>
      <c r="I3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35" s="22">
        <v>0.17</v>
      </c>
      <c r="K335" s="22">
        <v>0.1</v>
      </c>
      <c r="L335" s="37">
        <v>36892</v>
      </c>
      <c r="M335" s="2"/>
      <c r="N335" s="2" t="s">
        <v>1963</v>
      </c>
      <c r="O335" s="2" t="s">
        <v>27</v>
      </c>
      <c r="P335" s="2" t="s">
        <v>26</v>
      </c>
    </row>
    <row r="336" spans="1:16" ht="20.100000000000001" customHeight="1" x14ac:dyDescent="0.25">
      <c r="A336" s="26" t="str">
        <f>CONCATENATE(LEFT(ConsumoConcreto[[#This Row],[RecebimentoID]],4),"CNSC",TEXT(ConsumoConcreto[[#This Row],[Ordem]],"0000"),UPPER(LEFT(ConsumoConcreto[[#This Row],[Destino]],3)))</f>
        <v>0184CNSC0216PAR</v>
      </c>
      <c r="B336" s="1">
        <v>216</v>
      </c>
      <c r="C336" s="2" t="s">
        <v>2353</v>
      </c>
      <c r="D336" s="2" t="s">
        <v>1979</v>
      </c>
      <c r="E336" s="18">
        <v>8</v>
      </c>
      <c r="F336" s="2" t="s">
        <v>25</v>
      </c>
      <c r="G336" s="36">
        <v>0.65486111111111112</v>
      </c>
      <c r="H336" s="2" t="s">
        <v>1965</v>
      </c>
      <c r="I3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36" s="22">
        <v>15</v>
      </c>
      <c r="K336" s="22">
        <v>15</v>
      </c>
      <c r="L336" s="37">
        <v>36892</v>
      </c>
      <c r="M336" s="2"/>
      <c r="N336" s="2" t="s">
        <v>1966</v>
      </c>
      <c r="O336" s="2" t="s">
        <v>27</v>
      </c>
      <c r="P336" s="2" t="s">
        <v>26</v>
      </c>
    </row>
    <row r="337" spans="1:16" ht="20.100000000000001" customHeight="1" x14ac:dyDescent="0.25">
      <c r="A337" s="26" t="str">
        <f>CONCATENATE(LEFT(ConsumoConcreto[[#This Row],[RecebimentoID]],4),"CNSC",TEXT(ConsumoConcreto[[#This Row],[Ordem]],"0000"),UPPER(LEFT(ConsumoConcreto[[#This Row],[Destino]],3)))</f>
        <v>0184CNSC0185RAD</v>
      </c>
      <c r="B337" s="1">
        <v>185</v>
      </c>
      <c r="C337" s="2" t="s">
        <v>2354</v>
      </c>
      <c r="D337" s="2" t="s">
        <v>1979</v>
      </c>
      <c r="E337" s="18">
        <v>8</v>
      </c>
      <c r="F337" s="2" t="s">
        <v>1801</v>
      </c>
      <c r="G337" s="36"/>
      <c r="H337" s="2" t="s">
        <v>1968</v>
      </c>
      <c r="I3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37" s="22">
        <v>6.5</v>
      </c>
      <c r="K337" s="22">
        <v>5.5</v>
      </c>
      <c r="L337" s="37">
        <v>36892</v>
      </c>
      <c r="M337" s="2" t="s">
        <v>2252</v>
      </c>
      <c r="N337" s="2" t="s">
        <v>1966</v>
      </c>
      <c r="O337" s="2" t="s">
        <v>27</v>
      </c>
      <c r="P337" s="2" t="s">
        <v>26</v>
      </c>
    </row>
    <row r="338" spans="1:16" ht="20.100000000000001" customHeight="1" x14ac:dyDescent="0.25">
      <c r="A338" s="26" t="str">
        <f>CONCATENATE(LEFT(ConsumoConcreto[[#This Row],[RecebimentoID]],4),"CNSC",TEXT(ConsumoConcreto[[#This Row],[Ordem]],"0000"),UPPER(LEFT(ConsumoConcreto[[#This Row],[Destino]],3)))</f>
        <v>0184CNSC0278PAR</v>
      </c>
      <c r="B338" s="1">
        <v>278</v>
      </c>
      <c r="C338" s="2" t="s">
        <v>2355</v>
      </c>
      <c r="D338" s="2" t="s">
        <v>1985</v>
      </c>
      <c r="E338" s="18">
        <v>8</v>
      </c>
      <c r="F338" s="2" t="s">
        <v>25</v>
      </c>
      <c r="G338" s="36">
        <v>0.87638888888888899</v>
      </c>
      <c r="H338" s="2" t="s">
        <v>1965</v>
      </c>
      <c r="I3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38" s="22">
        <v>18</v>
      </c>
      <c r="K338" s="22">
        <v>18</v>
      </c>
      <c r="L338" s="37">
        <v>36892</v>
      </c>
      <c r="M338" s="2"/>
      <c r="N338" s="2" t="s">
        <v>2017</v>
      </c>
      <c r="O338" s="2" t="s">
        <v>27</v>
      </c>
      <c r="P338" s="2" t="s">
        <v>26</v>
      </c>
    </row>
    <row r="339" spans="1:16" ht="20.100000000000001" customHeight="1" x14ac:dyDescent="0.25">
      <c r="A339" s="26" t="str">
        <f>CONCATENATE(LEFT(ConsumoConcreto[[#This Row],[RecebimentoID]],4),"CNSC",TEXT(ConsumoConcreto[[#This Row],[Ordem]],"0000"),UPPER(LEFT(ConsumoConcreto[[#This Row],[Destino]],3)))</f>
        <v>0184CNSC0301PIL</v>
      </c>
      <c r="B339" s="1">
        <v>301</v>
      </c>
      <c r="C339" s="2" t="s">
        <v>2356</v>
      </c>
      <c r="D339" s="2" t="s">
        <v>1985</v>
      </c>
      <c r="E339" s="18">
        <v>8</v>
      </c>
      <c r="F339" s="2" t="s">
        <v>25</v>
      </c>
      <c r="G339" s="36"/>
      <c r="H339" s="2" t="s">
        <v>1962</v>
      </c>
      <c r="I3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39" s="22">
        <v>0.1</v>
      </c>
      <c r="K339" s="22">
        <v>0.1</v>
      </c>
      <c r="L339" s="37">
        <v>36892</v>
      </c>
      <c r="M339" s="2"/>
      <c r="N339" s="2" t="s">
        <v>1963</v>
      </c>
      <c r="O339" s="2" t="s">
        <v>27</v>
      </c>
      <c r="P339" s="2" t="s">
        <v>26</v>
      </c>
    </row>
    <row r="340" spans="1:16" ht="20.100000000000001" customHeight="1" x14ac:dyDescent="0.25">
      <c r="A340" s="26" t="str">
        <f>CONCATENATE(LEFT(ConsumoConcreto[[#This Row],[RecebimentoID]],4),"CNSC",TEXT(ConsumoConcreto[[#This Row],[Ordem]],"0000"),UPPER(LEFT(ConsumoConcreto[[#This Row],[Destino]],3)))</f>
        <v>0184CNSC0257RAD</v>
      </c>
      <c r="B340" s="1">
        <v>257</v>
      </c>
      <c r="C340" s="2" t="s">
        <v>2357</v>
      </c>
      <c r="D340" s="2" t="s">
        <v>1985</v>
      </c>
      <c r="E340" s="18">
        <v>8</v>
      </c>
      <c r="F340" s="2" t="s">
        <v>1801</v>
      </c>
      <c r="G340" s="36">
        <v>0.64930555555555558</v>
      </c>
      <c r="H340" s="2" t="s">
        <v>1968</v>
      </c>
      <c r="I3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40" s="22">
        <v>7.5</v>
      </c>
      <c r="K340" s="22">
        <v>7.5</v>
      </c>
      <c r="L340" s="37">
        <v>36892</v>
      </c>
      <c r="M340" s="2" t="s">
        <v>2358</v>
      </c>
      <c r="N340" s="2" t="s">
        <v>1963</v>
      </c>
      <c r="O340" s="2" t="s">
        <v>27</v>
      </c>
      <c r="P340" s="2" t="s">
        <v>26</v>
      </c>
    </row>
    <row r="341" spans="1:16" ht="20.100000000000001" customHeight="1" x14ac:dyDescent="0.25">
      <c r="A341" s="26" t="str">
        <f>CONCATENATE(LEFT(ConsumoConcreto[[#This Row],[RecebimentoID]],4),"CNSC",TEXT(ConsumoConcreto[[#This Row],[Ordem]],"0000"),UPPER(LEFT(ConsumoConcreto[[#This Row],[Destino]],3)))</f>
        <v>0184CNSC0322PAR</v>
      </c>
      <c r="B341" s="1">
        <v>322</v>
      </c>
      <c r="C341" s="2" t="s">
        <v>2359</v>
      </c>
      <c r="D341" s="2" t="s">
        <v>1989</v>
      </c>
      <c r="E341" s="18">
        <v>8</v>
      </c>
      <c r="F341" s="2" t="s">
        <v>25</v>
      </c>
      <c r="G341" s="36">
        <v>0.9159722222222223</v>
      </c>
      <c r="H341" s="2" t="s">
        <v>1965</v>
      </c>
      <c r="I3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41" s="22">
        <v>14</v>
      </c>
      <c r="K341" s="22">
        <v>14</v>
      </c>
      <c r="L341" s="37">
        <v>36892</v>
      </c>
      <c r="M341" s="2"/>
      <c r="N341" s="2" t="s">
        <v>1966</v>
      </c>
      <c r="O341" s="2" t="s">
        <v>27</v>
      </c>
      <c r="P341" s="2" t="s">
        <v>26</v>
      </c>
    </row>
    <row r="342" spans="1:16" ht="20.100000000000001" customHeight="1" x14ac:dyDescent="0.25">
      <c r="A342" s="26" t="str">
        <f>CONCATENATE(LEFT(ConsumoConcreto[[#This Row],[RecebimentoID]],4),"CNSC",TEXT(ConsumoConcreto[[#This Row],[Ordem]],"0000"),UPPER(LEFT(ConsumoConcreto[[#This Row],[Destino]],3)))</f>
        <v>0184CNSC0308RAD</v>
      </c>
      <c r="B342" s="1">
        <v>308</v>
      </c>
      <c r="C342" s="2" t="s">
        <v>2360</v>
      </c>
      <c r="D342" s="2" t="s">
        <v>1989</v>
      </c>
      <c r="E342" s="18">
        <v>8</v>
      </c>
      <c r="F342" s="2" t="s">
        <v>1801</v>
      </c>
      <c r="G342" s="36">
        <v>0.43055555555555558</v>
      </c>
      <c r="H342" s="2" t="s">
        <v>1968</v>
      </c>
      <c r="I3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42" s="22">
        <v>5.5</v>
      </c>
      <c r="K342" s="22">
        <v>5.5</v>
      </c>
      <c r="L342" s="37">
        <v>36892</v>
      </c>
      <c r="M342" s="2"/>
      <c r="N342" s="2" t="s">
        <v>1963</v>
      </c>
      <c r="O342" s="2" t="s">
        <v>27</v>
      </c>
      <c r="P342" s="2" t="s">
        <v>26</v>
      </c>
    </row>
    <row r="343" spans="1:16" ht="20.100000000000001" customHeight="1" x14ac:dyDescent="0.25">
      <c r="A343" s="26" t="str">
        <f>CONCATENATE(LEFT(ConsumoConcreto[[#This Row],[RecebimentoID]],4),"CNSC",TEXT(ConsumoConcreto[[#This Row],[Ordem]],"0000"),UPPER(LEFT(ConsumoConcreto[[#This Row],[Destino]],3)))</f>
        <v>0184CNSC0359PAR</v>
      </c>
      <c r="B343" s="1">
        <v>359</v>
      </c>
      <c r="C343" s="2" t="s">
        <v>2361</v>
      </c>
      <c r="D343" s="2" t="s">
        <v>1992</v>
      </c>
      <c r="E343" s="18">
        <v>8</v>
      </c>
      <c r="F343" s="2" t="s">
        <v>25</v>
      </c>
      <c r="G343" s="36">
        <v>0.4201388888888889</v>
      </c>
      <c r="H343" s="2" t="s">
        <v>1965</v>
      </c>
      <c r="I3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43" s="22">
        <v>18.5</v>
      </c>
      <c r="K343" s="22">
        <v>18.5</v>
      </c>
      <c r="L343" s="37">
        <v>36892</v>
      </c>
      <c r="M343" s="2"/>
      <c r="N343" s="2" t="s">
        <v>1966</v>
      </c>
      <c r="O343" s="2" t="s">
        <v>27</v>
      </c>
      <c r="P343" s="2" t="s">
        <v>26</v>
      </c>
    </row>
    <row r="344" spans="1:16" ht="20.100000000000001" customHeight="1" x14ac:dyDescent="0.25">
      <c r="A344" s="26" t="str">
        <f>CONCATENATE(LEFT(ConsumoConcreto[[#This Row],[RecebimentoID]],4),"CNSC",TEXT(ConsumoConcreto[[#This Row],[Ordem]],"0000"),UPPER(LEFT(ConsumoConcreto[[#This Row],[Destino]],3)))</f>
        <v>0184CNSC0337RAD</v>
      </c>
      <c r="B344" s="1">
        <v>337</v>
      </c>
      <c r="C344" s="2" t="s">
        <v>2362</v>
      </c>
      <c r="D344" s="2" t="s">
        <v>1992</v>
      </c>
      <c r="E344" s="18">
        <v>8</v>
      </c>
      <c r="F344" s="2" t="s">
        <v>1801</v>
      </c>
      <c r="G344" s="36">
        <v>0.50347222222222221</v>
      </c>
      <c r="H344" s="2" t="s">
        <v>1968</v>
      </c>
      <c r="I3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44" s="22">
        <v>5.5</v>
      </c>
      <c r="K344" s="22">
        <v>5.5</v>
      </c>
      <c r="L344" s="37">
        <v>36892</v>
      </c>
      <c r="M344" s="2"/>
      <c r="N344" s="2" t="s">
        <v>1963</v>
      </c>
      <c r="O344" s="2" t="s">
        <v>27</v>
      </c>
      <c r="P344" s="2" t="s">
        <v>26</v>
      </c>
    </row>
    <row r="345" spans="1:16" ht="20.100000000000001" customHeight="1" x14ac:dyDescent="0.25">
      <c r="A345" s="26" t="str">
        <f>CONCATENATE(LEFT(ConsumoConcreto[[#This Row],[RecebimentoID]],4),"CNSC",TEXT(ConsumoConcreto[[#This Row],[Ordem]],"0000"),UPPER(LEFT(ConsumoConcreto[[#This Row],[Destino]],3)))</f>
        <v>0184CNSC0405PIL</v>
      </c>
      <c r="B345" s="1">
        <v>405</v>
      </c>
      <c r="C345" s="2" t="s">
        <v>2363</v>
      </c>
      <c r="D345" s="2" t="s">
        <v>1995</v>
      </c>
      <c r="E345" s="18">
        <v>8</v>
      </c>
      <c r="F345" s="2" t="s">
        <v>25</v>
      </c>
      <c r="G345" s="36"/>
      <c r="H345" s="2" t="s">
        <v>1962</v>
      </c>
      <c r="I3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45" s="22">
        <v>0.1</v>
      </c>
      <c r="K345" s="22">
        <v>0.1</v>
      </c>
      <c r="L345" s="37">
        <v>36892</v>
      </c>
      <c r="M345" s="2"/>
      <c r="N345" s="2" t="s">
        <v>1963</v>
      </c>
      <c r="O345" s="2" t="s">
        <v>27</v>
      </c>
      <c r="P345" s="2" t="s">
        <v>26</v>
      </c>
    </row>
    <row r="346" spans="1:16" ht="20.100000000000001" customHeight="1" x14ac:dyDescent="0.25">
      <c r="A346" s="26" t="str">
        <f>CONCATENATE(LEFT(ConsumoConcreto[[#This Row],[RecebimentoID]],4),"CNSC",TEXT(ConsumoConcreto[[#This Row],[Ordem]],"0000"),UPPER(LEFT(ConsumoConcreto[[#This Row],[Destino]],3)))</f>
        <v>0184CNSC0387PAR</v>
      </c>
      <c r="B346" s="1">
        <v>387</v>
      </c>
      <c r="C346" s="2" t="s">
        <v>2364</v>
      </c>
      <c r="D346" s="2" t="s">
        <v>1995</v>
      </c>
      <c r="E346" s="18">
        <v>8</v>
      </c>
      <c r="F346" s="2" t="s">
        <v>25</v>
      </c>
      <c r="G346" s="36">
        <v>0.40902777777777777</v>
      </c>
      <c r="H346" s="2" t="s">
        <v>1965</v>
      </c>
      <c r="I3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46" s="22">
        <v>18.5</v>
      </c>
      <c r="K346" s="22">
        <v>18.5</v>
      </c>
      <c r="L346" s="37">
        <v>36892</v>
      </c>
      <c r="M346" s="2"/>
      <c r="N346" s="2" t="s">
        <v>1966</v>
      </c>
      <c r="O346" s="2" t="s">
        <v>27</v>
      </c>
      <c r="P346" s="2" t="s">
        <v>26</v>
      </c>
    </row>
    <row r="347" spans="1:16" ht="20.100000000000001" customHeight="1" x14ac:dyDescent="0.25">
      <c r="A347" s="26" t="str">
        <f>CONCATENATE(LEFT(ConsumoConcreto[[#This Row],[RecebimentoID]],4),"CNSC",TEXT(ConsumoConcreto[[#This Row],[Ordem]],"0000"),UPPER(LEFT(ConsumoConcreto[[#This Row],[Destino]],3)))</f>
        <v>0184CNSC0364RAD</v>
      </c>
      <c r="B347" s="1">
        <v>364</v>
      </c>
      <c r="C347" s="2" t="s">
        <v>2365</v>
      </c>
      <c r="D347" s="2" t="s">
        <v>1995</v>
      </c>
      <c r="E347" s="18">
        <v>8</v>
      </c>
      <c r="F347" s="2" t="s">
        <v>1801</v>
      </c>
      <c r="G347" s="36">
        <v>0.72916666666666663</v>
      </c>
      <c r="H347" s="2" t="s">
        <v>1968</v>
      </c>
      <c r="I3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47" s="22">
        <v>7</v>
      </c>
      <c r="K347" s="22">
        <v>7</v>
      </c>
      <c r="L347" s="37">
        <v>36892</v>
      </c>
      <c r="M347" s="2"/>
      <c r="N347" s="2" t="s">
        <v>1963</v>
      </c>
      <c r="O347" s="2" t="s">
        <v>27</v>
      </c>
      <c r="P347" s="2" t="s">
        <v>26</v>
      </c>
    </row>
    <row r="348" spans="1:16" ht="20.100000000000001" customHeight="1" x14ac:dyDescent="0.25">
      <c r="A348" s="26" t="str">
        <f>CONCATENATE(LEFT(ConsumoConcreto[[#This Row],[RecebimentoID]],4),"CNSC",TEXT(ConsumoConcreto[[#This Row],[Ordem]],"0000"),UPPER(LEFT(ConsumoConcreto[[#This Row],[Destino]],3)))</f>
        <v>0184CNSC0432PAR</v>
      </c>
      <c r="B348" s="1">
        <v>432</v>
      </c>
      <c r="C348" s="2" t="s">
        <v>2366</v>
      </c>
      <c r="D348" s="2" t="s">
        <v>1999</v>
      </c>
      <c r="E348" s="18">
        <v>8</v>
      </c>
      <c r="F348" s="2" t="s">
        <v>25</v>
      </c>
      <c r="G348" s="36">
        <v>0.47916666666666669</v>
      </c>
      <c r="H348" s="2" t="s">
        <v>1965</v>
      </c>
      <c r="I3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48" s="22">
        <v>14</v>
      </c>
      <c r="K348" s="22">
        <v>14</v>
      </c>
      <c r="L348" s="37">
        <v>36892</v>
      </c>
      <c r="M348" s="2"/>
      <c r="N348" s="2" t="s">
        <v>1966</v>
      </c>
      <c r="O348" s="2" t="s">
        <v>27</v>
      </c>
      <c r="P348" s="2" t="s">
        <v>26</v>
      </c>
    </row>
    <row r="349" spans="1:16" ht="20.100000000000001" customHeight="1" x14ac:dyDescent="0.25">
      <c r="A349" s="26" t="str">
        <f>CONCATENATE(LEFT(ConsumoConcreto[[#This Row],[RecebimentoID]],4),"CNSC",TEXT(ConsumoConcreto[[#This Row],[Ordem]],"0000"),UPPER(LEFT(ConsumoConcreto[[#This Row],[Destino]],3)))</f>
        <v>0184CNSC0423RAD</v>
      </c>
      <c r="B349" s="1">
        <v>423</v>
      </c>
      <c r="C349" s="2" t="s">
        <v>2367</v>
      </c>
      <c r="D349" s="2" t="s">
        <v>1999</v>
      </c>
      <c r="E349" s="18">
        <v>8</v>
      </c>
      <c r="F349" s="2" t="s">
        <v>1801</v>
      </c>
      <c r="G349" s="36">
        <v>0.67499999999999993</v>
      </c>
      <c r="H349" s="2" t="s">
        <v>1968</v>
      </c>
      <c r="I3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49" s="22">
        <v>5.5</v>
      </c>
      <c r="K349" s="22">
        <v>5.5</v>
      </c>
      <c r="L349" s="37">
        <v>36892</v>
      </c>
      <c r="M349" s="2"/>
      <c r="N349" s="2" t="s">
        <v>1963</v>
      </c>
      <c r="O349" s="2" t="s">
        <v>27</v>
      </c>
      <c r="P349" s="2" t="s">
        <v>26</v>
      </c>
    </row>
    <row r="350" spans="1:16" ht="20.100000000000001" customHeight="1" x14ac:dyDescent="0.25">
      <c r="A350" s="26" t="str">
        <f>CONCATENATE(LEFT(ConsumoConcreto[[#This Row],[RecebimentoID]],4),"CNSC",TEXT(ConsumoConcreto[[#This Row],[Ordem]],"0000"),UPPER(LEFT(ConsumoConcreto[[#This Row],[Destino]],3)))</f>
        <v>0184CNSC0460PAR</v>
      </c>
      <c r="B350" s="1">
        <v>460</v>
      </c>
      <c r="C350" s="2" t="s">
        <v>2368</v>
      </c>
      <c r="D350" s="2" t="s">
        <v>2002</v>
      </c>
      <c r="E350" s="18">
        <v>8</v>
      </c>
      <c r="F350" s="2" t="s">
        <v>25</v>
      </c>
      <c r="G350" s="36">
        <v>0.9375</v>
      </c>
      <c r="H350" s="2" t="s">
        <v>1965</v>
      </c>
      <c r="I3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50" s="22">
        <v>14</v>
      </c>
      <c r="K350" s="22">
        <v>14</v>
      </c>
      <c r="L350" s="37">
        <v>36892</v>
      </c>
      <c r="M350" s="2"/>
      <c r="N350" s="2" t="s">
        <v>1966</v>
      </c>
      <c r="O350" s="2" t="s">
        <v>27</v>
      </c>
      <c r="P350" s="2" t="s">
        <v>26</v>
      </c>
    </row>
    <row r="351" spans="1:16" ht="20.100000000000001" customHeight="1" x14ac:dyDescent="0.25">
      <c r="A351" s="26" t="str">
        <f>CONCATENATE(LEFT(ConsumoConcreto[[#This Row],[RecebimentoID]],4),"CNSC",TEXT(ConsumoConcreto[[#This Row],[Ordem]],"0000"),UPPER(LEFT(ConsumoConcreto[[#This Row],[Destino]],3)))</f>
        <v>0184CNSC0447RAD</v>
      </c>
      <c r="B351" s="1">
        <v>447</v>
      </c>
      <c r="C351" s="2" t="s">
        <v>2369</v>
      </c>
      <c r="D351" s="2" t="s">
        <v>2002</v>
      </c>
      <c r="E351" s="18">
        <v>8</v>
      </c>
      <c r="F351" s="2" t="s">
        <v>1801</v>
      </c>
      <c r="G351" s="36">
        <v>0.5625</v>
      </c>
      <c r="H351" s="2" t="s">
        <v>1968</v>
      </c>
      <c r="I3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51" s="22">
        <v>5.5</v>
      </c>
      <c r="K351" s="22">
        <v>5.5</v>
      </c>
      <c r="L351" s="37">
        <v>36892</v>
      </c>
      <c r="M351" s="2"/>
      <c r="N351" s="2" t="s">
        <v>1963</v>
      </c>
      <c r="O351" s="2" t="s">
        <v>27</v>
      </c>
      <c r="P351" s="2" t="s">
        <v>26</v>
      </c>
    </row>
    <row r="352" spans="1:16" ht="20.100000000000001" customHeight="1" x14ac:dyDescent="0.25">
      <c r="A352" s="26" t="str">
        <f>CONCATENATE(LEFT(ConsumoConcreto[[#This Row],[RecebimentoID]],4),"CNSC",TEXT(ConsumoConcreto[[#This Row],[Ordem]],"0000"),UPPER(LEFT(ConsumoConcreto[[#This Row],[Destino]],3)))</f>
        <v>0184CNSC0503PAR</v>
      </c>
      <c r="B352" s="1">
        <v>503</v>
      </c>
      <c r="C352" s="2" t="s">
        <v>2370</v>
      </c>
      <c r="D352" s="2" t="s">
        <v>2005</v>
      </c>
      <c r="E352" s="18">
        <v>8</v>
      </c>
      <c r="F352" s="2" t="s">
        <v>25</v>
      </c>
      <c r="G352" s="36">
        <v>0.68680555555555556</v>
      </c>
      <c r="H352" s="2" t="s">
        <v>1965</v>
      </c>
      <c r="I3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52" s="22">
        <v>14.5</v>
      </c>
      <c r="K352" s="22">
        <v>14.5</v>
      </c>
      <c r="L352" s="37">
        <v>36892</v>
      </c>
      <c r="M352" s="2"/>
      <c r="N352" s="2" t="s">
        <v>1966</v>
      </c>
      <c r="O352" s="2" t="s">
        <v>27</v>
      </c>
      <c r="P352" s="2" t="s">
        <v>26</v>
      </c>
    </row>
    <row r="353" spans="1:16" ht="20.100000000000001" customHeight="1" x14ac:dyDescent="0.25">
      <c r="A353" s="26" t="str">
        <f>CONCATENATE(LEFT(ConsumoConcreto[[#This Row],[RecebimentoID]],4),"CNSC",TEXT(ConsumoConcreto[[#This Row],[Ordem]],"0000"),UPPER(LEFT(ConsumoConcreto[[#This Row],[Destino]],3)))</f>
        <v>0184CNSC0472RAD</v>
      </c>
      <c r="B353" s="1">
        <v>472</v>
      </c>
      <c r="C353" s="2" t="s">
        <v>2371</v>
      </c>
      <c r="D353" s="2" t="s">
        <v>2005</v>
      </c>
      <c r="E353" s="18">
        <v>8</v>
      </c>
      <c r="F353" s="2" t="s">
        <v>1801</v>
      </c>
      <c r="G353" s="36">
        <v>0.50694444444444442</v>
      </c>
      <c r="H353" s="2" t="s">
        <v>1968</v>
      </c>
      <c r="I3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53" s="22">
        <v>5.5</v>
      </c>
      <c r="K353" s="22">
        <v>5.5</v>
      </c>
      <c r="L353" s="37">
        <v>36892</v>
      </c>
      <c r="M353" s="2"/>
      <c r="N353" s="2" t="s">
        <v>1963</v>
      </c>
      <c r="O353" s="2" t="s">
        <v>27</v>
      </c>
      <c r="P353" s="2" t="s">
        <v>26</v>
      </c>
    </row>
    <row r="354" spans="1:16" ht="20.100000000000001" customHeight="1" x14ac:dyDescent="0.25">
      <c r="A354" s="26" t="str">
        <f>CONCATENATE(LEFT(ConsumoConcreto[[#This Row],[RecebimentoID]],4),"CNSC",TEXT(ConsumoConcreto[[#This Row],[Ordem]],"0000"),UPPER(LEFT(ConsumoConcreto[[#This Row],[Destino]],3)))</f>
        <v>0184CNSC0581PAR</v>
      </c>
      <c r="B354" s="1">
        <v>581</v>
      </c>
      <c r="C354" s="2" t="s">
        <v>2372</v>
      </c>
      <c r="D354" s="2" t="s">
        <v>2007</v>
      </c>
      <c r="E354" s="18">
        <v>8</v>
      </c>
      <c r="F354" s="2" t="s">
        <v>25</v>
      </c>
      <c r="G354" s="36">
        <v>0.66666666666666663</v>
      </c>
      <c r="H354" s="2" t="s">
        <v>1965</v>
      </c>
      <c r="I3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54" s="22">
        <v>18</v>
      </c>
      <c r="K354" s="22">
        <v>18</v>
      </c>
      <c r="L354" s="37">
        <v>36892</v>
      </c>
      <c r="M354" s="2"/>
      <c r="N354" s="2" t="s">
        <v>1966</v>
      </c>
      <c r="O354" s="2" t="s">
        <v>27</v>
      </c>
      <c r="P354" s="2" t="s">
        <v>26</v>
      </c>
    </row>
    <row r="355" spans="1:16" ht="20.100000000000001" customHeight="1" x14ac:dyDescent="0.25">
      <c r="A355" s="26" t="str">
        <f>CONCATENATE(LEFT(ConsumoConcreto[[#This Row],[RecebimentoID]],4),"CNSC",TEXT(ConsumoConcreto[[#This Row],[Ordem]],"0000"),UPPER(LEFT(ConsumoConcreto[[#This Row],[Destino]],3)))</f>
        <v>0184CNSC0567RAD</v>
      </c>
      <c r="B355" s="1">
        <v>567</v>
      </c>
      <c r="C355" s="2" t="s">
        <v>2373</v>
      </c>
      <c r="D355" s="2" t="s">
        <v>2007</v>
      </c>
      <c r="E355" s="18">
        <v>8</v>
      </c>
      <c r="F355" s="2" t="s">
        <v>1801</v>
      </c>
      <c r="G355" s="36"/>
      <c r="H355" s="2" t="s">
        <v>1968</v>
      </c>
      <c r="I3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55" s="22">
        <v>7</v>
      </c>
      <c r="K355" s="22">
        <v>7</v>
      </c>
      <c r="L355" s="37">
        <v>36892</v>
      </c>
      <c r="M355" s="2"/>
      <c r="N355" s="2" t="s">
        <v>1963</v>
      </c>
      <c r="O355" s="2" t="s">
        <v>27</v>
      </c>
      <c r="P355" s="2" t="s">
        <v>26</v>
      </c>
    </row>
    <row r="356" spans="1:16" ht="20.100000000000001" customHeight="1" x14ac:dyDescent="0.25">
      <c r="A356" s="26" t="str">
        <f>CONCATENATE(LEFT(ConsumoConcreto[[#This Row],[RecebimentoID]],4),"CNSC",TEXT(ConsumoConcreto[[#This Row],[Ordem]],"0000"),UPPER(LEFT(ConsumoConcreto[[#This Row],[Destino]],3)))</f>
        <v>0184CNSC0641PAR</v>
      </c>
      <c r="B356" s="1">
        <v>641</v>
      </c>
      <c r="C356" s="2" t="s">
        <v>2374</v>
      </c>
      <c r="D356" s="2" t="s">
        <v>2010</v>
      </c>
      <c r="E356" s="18">
        <v>8</v>
      </c>
      <c r="F356" s="2" t="s">
        <v>25</v>
      </c>
      <c r="G356" s="36">
        <v>0.70972222222222225</v>
      </c>
      <c r="H356" s="2" t="s">
        <v>1965</v>
      </c>
      <c r="I3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56" s="22">
        <v>14.5</v>
      </c>
      <c r="K356" s="22">
        <v>14</v>
      </c>
      <c r="L356" s="37">
        <v>36892</v>
      </c>
      <c r="M356" s="2"/>
      <c r="N356" s="2" t="s">
        <v>1966</v>
      </c>
      <c r="O356" s="2" t="s">
        <v>27</v>
      </c>
      <c r="P356" s="2" t="s">
        <v>26</v>
      </c>
    </row>
    <row r="357" spans="1:16" ht="20.100000000000001" customHeight="1" x14ac:dyDescent="0.25">
      <c r="A357" s="26" t="str">
        <f>CONCATENATE(LEFT(ConsumoConcreto[[#This Row],[RecebimentoID]],4),"CNSC",TEXT(ConsumoConcreto[[#This Row],[Ordem]],"0000"),UPPER(LEFT(ConsumoConcreto[[#This Row],[Destino]],3)))</f>
        <v>0184CNSC0603RAD</v>
      </c>
      <c r="B357" s="1">
        <v>603</v>
      </c>
      <c r="C357" s="2" t="s">
        <v>2375</v>
      </c>
      <c r="D357" s="2" t="s">
        <v>2010</v>
      </c>
      <c r="E357" s="18">
        <v>8</v>
      </c>
      <c r="F357" s="2" t="s">
        <v>1801</v>
      </c>
      <c r="G357" s="36">
        <v>0.625</v>
      </c>
      <c r="H357" s="2" t="s">
        <v>1968</v>
      </c>
      <c r="I3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57" s="22">
        <v>5.5</v>
      </c>
      <c r="K357" s="22">
        <v>5.5</v>
      </c>
      <c r="L357" s="37">
        <v>36892</v>
      </c>
      <c r="M357" s="2"/>
      <c r="N357" s="2" t="s">
        <v>1966</v>
      </c>
      <c r="O357" s="2" t="s">
        <v>27</v>
      </c>
      <c r="P357" s="2" t="s">
        <v>26</v>
      </c>
    </row>
    <row r="358" spans="1:16" ht="20.100000000000001" customHeight="1" x14ac:dyDescent="0.25">
      <c r="A358" s="26" t="str">
        <f>CONCATENATE(LEFT(ConsumoConcreto[[#This Row],[RecebimentoID]],4),"CNSC",TEXT(ConsumoConcreto[[#This Row],[Ordem]],"0000"),UPPER(LEFT(ConsumoConcreto[[#This Row],[Destino]],3)))</f>
        <v>0184CNSC0728PAR</v>
      </c>
      <c r="B358" s="1">
        <v>728</v>
      </c>
      <c r="C358" s="2" t="s">
        <v>2376</v>
      </c>
      <c r="D358" s="2" t="s">
        <v>2013</v>
      </c>
      <c r="E358" s="18">
        <v>8</v>
      </c>
      <c r="F358" s="2" t="s">
        <v>25</v>
      </c>
      <c r="G358" s="36">
        <v>0.72291666666666676</v>
      </c>
      <c r="H358" s="2" t="s">
        <v>1965</v>
      </c>
      <c r="I3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58" s="22">
        <v>14</v>
      </c>
      <c r="K358" s="22">
        <v>14</v>
      </c>
      <c r="L358" s="37">
        <v>36892</v>
      </c>
      <c r="M358" s="2"/>
      <c r="N358" s="2" t="s">
        <v>1966</v>
      </c>
      <c r="O358" s="2" t="s">
        <v>27</v>
      </c>
      <c r="P358" s="2" t="s">
        <v>26</v>
      </c>
    </row>
    <row r="359" spans="1:16" ht="20.100000000000001" customHeight="1" x14ac:dyDescent="0.25">
      <c r="A359" s="26" t="str">
        <f>CONCATENATE(LEFT(ConsumoConcreto[[#This Row],[RecebimentoID]],4),"CNSC",TEXT(ConsumoConcreto[[#This Row],[Ordem]],"0000"),UPPER(LEFT(ConsumoConcreto[[#This Row],[Destino]],3)))</f>
        <v>0184CNSC0712RAD</v>
      </c>
      <c r="B359" s="1">
        <v>712</v>
      </c>
      <c r="C359" s="2" t="s">
        <v>2377</v>
      </c>
      <c r="D359" s="2" t="s">
        <v>2013</v>
      </c>
      <c r="E359" s="18">
        <v>8</v>
      </c>
      <c r="F359" s="2" t="s">
        <v>1801</v>
      </c>
      <c r="G359" s="36">
        <v>0.52083333333333337</v>
      </c>
      <c r="H359" s="2" t="s">
        <v>1968</v>
      </c>
      <c r="I3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59" s="22">
        <v>5.5</v>
      </c>
      <c r="K359" s="22">
        <v>5.4809999999999999</v>
      </c>
      <c r="L359" s="37">
        <v>36892</v>
      </c>
      <c r="M359" s="2" t="s">
        <v>2378</v>
      </c>
      <c r="N359" s="2" t="s">
        <v>1963</v>
      </c>
      <c r="O359" s="2" t="s">
        <v>27</v>
      </c>
      <c r="P359" s="2" t="s">
        <v>26</v>
      </c>
    </row>
    <row r="360" spans="1:16" ht="20.100000000000001" customHeight="1" x14ac:dyDescent="0.25">
      <c r="A360" s="26" t="str">
        <f>CONCATENATE(LEFT(ConsumoConcreto[[#This Row],[RecebimentoID]],4),"CNSC",TEXT(ConsumoConcreto[[#This Row],[Ordem]],"0000"),UPPER(LEFT(ConsumoConcreto[[#This Row],[Destino]],3)))</f>
        <v>0184CNSC0765PAR</v>
      </c>
      <c r="B360" s="1">
        <v>765</v>
      </c>
      <c r="C360" s="2" t="s">
        <v>2379</v>
      </c>
      <c r="D360" s="2" t="s">
        <v>2016</v>
      </c>
      <c r="E360" s="18">
        <v>8</v>
      </c>
      <c r="F360" s="2" t="s">
        <v>25</v>
      </c>
      <c r="G360" s="36">
        <v>0.85625000000000007</v>
      </c>
      <c r="H360" s="2" t="s">
        <v>1965</v>
      </c>
      <c r="I3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60" s="22">
        <v>18.5</v>
      </c>
      <c r="K360" s="22">
        <v>18.5</v>
      </c>
      <c r="L360" s="37">
        <v>36892</v>
      </c>
      <c r="M360" s="2"/>
      <c r="N360" s="2" t="s">
        <v>2017</v>
      </c>
      <c r="O360" s="2" t="s">
        <v>27</v>
      </c>
      <c r="P360" s="2" t="s">
        <v>26</v>
      </c>
    </row>
    <row r="361" spans="1:16" ht="20.100000000000001" customHeight="1" x14ac:dyDescent="0.25">
      <c r="A361" s="26" t="str">
        <f>CONCATENATE(LEFT(ConsumoConcreto[[#This Row],[RecebimentoID]],4),"CNSC",TEXT(ConsumoConcreto[[#This Row],[Ordem]],"0000"),UPPER(LEFT(ConsumoConcreto[[#This Row],[Destino]],3)))</f>
        <v>0184CNSC0755RAD</v>
      </c>
      <c r="B361" s="1">
        <v>755</v>
      </c>
      <c r="C361" s="2" t="s">
        <v>2380</v>
      </c>
      <c r="D361" s="2" t="s">
        <v>2016</v>
      </c>
      <c r="E361" s="18">
        <v>8</v>
      </c>
      <c r="F361" s="2" t="s">
        <v>1801</v>
      </c>
      <c r="G361" s="36">
        <v>0.4069444444444445</v>
      </c>
      <c r="H361" s="2" t="s">
        <v>1968</v>
      </c>
      <c r="I3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61" s="22">
        <v>7</v>
      </c>
      <c r="K361" s="22">
        <v>7</v>
      </c>
      <c r="L361" s="37">
        <v>36892</v>
      </c>
      <c r="M361" s="2" t="s">
        <v>2381</v>
      </c>
      <c r="N361" s="2" t="s">
        <v>1963</v>
      </c>
      <c r="O361" s="2" t="s">
        <v>27</v>
      </c>
      <c r="P361" s="2" t="s">
        <v>26</v>
      </c>
    </row>
    <row r="362" spans="1:16" ht="20.100000000000001" customHeight="1" x14ac:dyDescent="0.25">
      <c r="A362" s="26" t="str">
        <f>CONCATENATE(LEFT(ConsumoConcreto[[#This Row],[RecebimentoID]],4),"CNSC",TEXT(ConsumoConcreto[[#This Row],[Ordem]],"0000"),UPPER(LEFT(ConsumoConcreto[[#This Row],[Destino]],3)))</f>
        <v>0184CNSC0790PAR</v>
      </c>
      <c r="B362" s="1">
        <v>790</v>
      </c>
      <c r="C362" s="2" t="s">
        <v>2382</v>
      </c>
      <c r="D362" s="2" t="s">
        <v>2021</v>
      </c>
      <c r="E362" s="18">
        <v>8</v>
      </c>
      <c r="F362" s="2" t="s">
        <v>25</v>
      </c>
      <c r="G362" s="36">
        <v>0.78333333333333333</v>
      </c>
      <c r="H362" s="2" t="s">
        <v>1965</v>
      </c>
      <c r="I3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62" s="22">
        <v>14.5</v>
      </c>
      <c r="K362" s="22">
        <v>14.5</v>
      </c>
      <c r="L362" s="37">
        <v>36892</v>
      </c>
      <c r="M362" s="2"/>
      <c r="N362" s="2" t="s">
        <v>1966</v>
      </c>
      <c r="O362" s="2" t="s">
        <v>27</v>
      </c>
      <c r="P362" s="2" t="s">
        <v>26</v>
      </c>
    </row>
    <row r="363" spans="1:16" ht="20.100000000000001" customHeight="1" x14ac:dyDescent="0.25">
      <c r="A363" s="26" t="str">
        <f>CONCATENATE(LEFT(ConsumoConcreto[[#This Row],[RecebimentoID]],4),"CNSC",TEXT(ConsumoConcreto[[#This Row],[Ordem]],"0000"),UPPER(LEFT(ConsumoConcreto[[#This Row],[Destino]],3)))</f>
        <v>0184CNSC0796RAD</v>
      </c>
      <c r="B363" s="1">
        <v>796</v>
      </c>
      <c r="C363" s="2" t="s">
        <v>2383</v>
      </c>
      <c r="D363" s="2" t="s">
        <v>2021</v>
      </c>
      <c r="E363" s="18">
        <v>8</v>
      </c>
      <c r="F363" s="2" t="s">
        <v>1801</v>
      </c>
      <c r="G363" s="36"/>
      <c r="H363" s="2" t="s">
        <v>1968</v>
      </c>
      <c r="I3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L363" s="37">
        <v>36892</v>
      </c>
      <c r="M363" s="2"/>
      <c r="N363" s="2"/>
      <c r="O363" s="2" t="s">
        <v>27</v>
      </c>
      <c r="P363" s="2" t="s">
        <v>26</v>
      </c>
    </row>
    <row r="364" spans="1:16" ht="20.100000000000001" customHeight="1" x14ac:dyDescent="0.25">
      <c r="A364" s="26" t="str">
        <f>CONCATENATE(LEFT(ConsumoConcreto[[#This Row],[RecebimentoID]],4),"CNSC",TEXT(ConsumoConcreto[[#This Row],[Ordem]],"0000"),UPPER(LEFT(ConsumoConcreto[[#This Row],[Destino]],3)))</f>
        <v>0184CNSC0839PAR</v>
      </c>
      <c r="B364" s="1">
        <v>839</v>
      </c>
      <c r="C364" s="2" t="s">
        <v>2384</v>
      </c>
      <c r="D364" s="2" t="s">
        <v>2024</v>
      </c>
      <c r="E364" s="18">
        <v>8</v>
      </c>
      <c r="F364" s="2" t="s">
        <v>25</v>
      </c>
      <c r="G364" s="36">
        <v>0.88958333333333339</v>
      </c>
      <c r="H364" s="2" t="s">
        <v>1965</v>
      </c>
      <c r="I3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64" s="22">
        <v>16</v>
      </c>
      <c r="K364" s="22">
        <v>16</v>
      </c>
      <c r="L364" s="37">
        <v>36892</v>
      </c>
      <c r="M364" s="2"/>
      <c r="N364" s="2" t="s">
        <v>1966</v>
      </c>
      <c r="O364" s="2" t="s">
        <v>27</v>
      </c>
      <c r="P364" s="2" t="s">
        <v>26</v>
      </c>
    </row>
    <row r="365" spans="1:16" ht="20.100000000000001" customHeight="1" x14ac:dyDescent="0.25">
      <c r="A365" s="26" t="str">
        <f>CONCATENATE(LEFT(ConsumoConcreto[[#This Row],[RecebimentoID]],4),"CNSC",TEXT(ConsumoConcreto[[#This Row],[Ordem]],"0000"),UPPER(LEFT(ConsumoConcreto[[#This Row],[Destino]],3)))</f>
        <v>0184CNSC0805RAD</v>
      </c>
      <c r="B365" s="1">
        <v>805</v>
      </c>
      <c r="C365" s="2" t="s">
        <v>2385</v>
      </c>
      <c r="D365" s="2" t="s">
        <v>2024</v>
      </c>
      <c r="E365" s="18">
        <v>8</v>
      </c>
      <c r="F365" s="2" t="s">
        <v>1801</v>
      </c>
      <c r="G365" s="36">
        <v>0.42708333333333331</v>
      </c>
      <c r="H365" s="2" t="s">
        <v>1968</v>
      </c>
      <c r="I3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65" s="22">
        <v>5.5</v>
      </c>
      <c r="K365" s="22">
        <v>5.5</v>
      </c>
      <c r="L365" s="37">
        <v>36892</v>
      </c>
      <c r="M365" s="2"/>
      <c r="N365" s="2" t="s">
        <v>1963</v>
      </c>
      <c r="O365" s="2" t="s">
        <v>27</v>
      </c>
      <c r="P365" s="2" t="s">
        <v>26</v>
      </c>
    </row>
    <row r="366" spans="1:16" ht="20.100000000000001" customHeight="1" x14ac:dyDescent="0.25">
      <c r="A366" s="26" t="str">
        <f>CONCATENATE(LEFT(ConsumoConcreto[[#This Row],[RecebimentoID]],4),"CNSC",TEXT(ConsumoConcreto[[#This Row],[Ordem]],"0000"),UPPER(LEFT(ConsumoConcreto[[#This Row],[Destino]],3)))</f>
        <v>0184CNSC0921PAR</v>
      </c>
      <c r="B366" s="1">
        <v>921</v>
      </c>
      <c r="C366" s="2" t="s">
        <v>2386</v>
      </c>
      <c r="D366" s="2" t="s">
        <v>2030</v>
      </c>
      <c r="E366" s="18">
        <v>8</v>
      </c>
      <c r="F366" s="2" t="s">
        <v>25</v>
      </c>
      <c r="G366" s="36">
        <v>0.80972222222222223</v>
      </c>
      <c r="H366" s="2" t="s">
        <v>1965</v>
      </c>
      <c r="I3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66" s="22">
        <v>14.5</v>
      </c>
      <c r="K366" s="22">
        <v>14.5</v>
      </c>
      <c r="L366" s="37">
        <v>36892</v>
      </c>
      <c r="M366" s="2"/>
      <c r="N366" s="2" t="s">
        <v>1966</v>
      </c>
      <c r="O366" s="2" t="s">
        <v>27</v>
      </c>
      <c r="P366" s="2" t="s">
        <v>26</v>
      </c>
    </row>
    <row r="367" spans="1:16" ht="20.100000000000001" customHeight="1" x14ac:dyDescent="0.25">
      <c r="A367" s="26" t="str">
        <f>CONCATENATE(LEFT(ConsumoConcreto[[#This Row],[RecebimentoID]],4),"CNSC",TEXT(ConsumoConcreto[[#This Row],[Ordem]],"0000"),UPPER(LEFT(ConsumoConcreto[[#This Row],[Destino]],3)))</f>
        <v>0184CNSC0903RAD</v>
      </c>
      <c r="B367" s="1">
        <v>903</v>
      </c>
      <c r="C367" s="2" t="s">
        <v>2387</v>
      </c>
      <c r="D367" s="2" t="s">
        <v>2030</v>
      </c>
      <c r="E367" s="18">
        <v>8</v>
      </c>
      <c r="F367" s="2" t="s">
        <v>1801</v>
      </c>
      <c r="G367" s="36"/>
      <c r="H367" s="2" t="s">
        <v>1968</v>
      </c>
      <c r="I3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67" s="22">
        <v>5.78</v>
      </c>
      <c r="K367" s="22">
        <v>5.4809999999999999</v>
      </c>
      <c r="L367" s="37">
        <v>36892</v>
      </c>
      <c r="M367" s="2"/>
      <c r="N367" s="2"/>
      <c r="O367" s="2" t="s">
        <v>27</v>
      </c>
      <c r="P367" s="2" t="s">
        <v>26</v>
      </c>
    </row>
    <row r="368" spans="1:16" ht="20.100000000000001" customHeight="1" x14ac:dyDescent="0.25">
      <c r="A368" s="26" t="str">
        <f>CONCATENATE(LEFT(ConsumoConcreto[[#This Row],[RecebimentoID]],4),"CNSC",TEXT(ConsumoConcreto[[#This Row],[Ordem]],"0000"),UPPER(LEFT(ConsumoConcreto[[#This Row],[Destino]],3)))</f>
        <v>0184CNSC0973PAR</v>
      </c>
      <c r="B368" s="1">
        <v>973</v>
      </c>
      <c r="C368" s="2" t="s">
        <v>2388</v>
      </c>
      <c r="D368" s="2" t="s">
        <v>2033</v>
      </c>
      <c r="E368" s="18">
        <v>8</v>
      </c>
      <c r="F368" s="2" t="s">
        <v>25</v>
      </c>
      <c r="G368" s="36">
        <v>0.83333333333333337</v>
      </c>
      <c r="H368" s="2" t="s">
        <v>1965</v>
      </c>
      <c r="I3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68" s="22">
        <v>14.5</v>
      </c>
      <c r="K368" s="22">
        <v>14.5</v>
      </c>
      <c r="L368" s="37">
        <v>36892</v>
      </c>
      <c r="M368" s="2"/>
      <c r="N368" s="2" t="s">
        <v>1966</v>
      </c>
      <c r="O368" s="2" t="s">
        <v>27</v>
      </c>
      <c r="P368" s="2" t="s">
        <v>26</v>
      </c>
    </row>
    <row r="369" spans="1:16" ht="20.100000000000001" customHeight="1" x14ac:dyDescent="0.25">
      <c r="A369" s="26" t="str">
        <f>CONCATENATE(LEFT(ConsumoConcreto[[#This Row],[RecebimentoID]],4),"CNSC",TEXT(ConsumoConcreto[[#This Row],[Ordem]],"0000"),UPPER(LEFT(ConsumoConcreto[[#This Row],[Destino]],3)))</f>
        <v>0184CNSC0949RAD</v>
      </c>
      <c r="B369" s="1">
        <v>949</v>
      </c>
      <c r="C369" s="2" t="s">
        <v>2389</v>
      </c>
      <c r="D369" s="2" t="s">
        <v>2033</v>
      </c>
      <c r="E369" s="18">
        <v>8</v>
      </c>
      <c r="F369" s="2" t="s">
        <v>1801</v>
      </c>
      <c r="G369" s="36">
        <v>0.59861111111111109</v>
      </c>
      <c r="H369" s="2" t="s">
        <v>1968</v>
      </c>
      <c r="I3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69" s="22">
        <v>5.5</v>
      </c>
      <c r="K369" s="22">
        <v>5.5</v>
      </c>
      <c r="L369" s="37">
        <v>36892</v>
      </c>
      <c r="M369" s="2" t="s">
        <v>2289</v>
      </c>
      <c r="N369" s="2" t="s">
        <v>1963</v>
      </c>
      <c r="O369" s="2" t="s">
        <v>27</v>
      </c>
      <c r="P369" s="2" t="s">
        <v>26</v>
      </c>
    </row>
    <row r="370" spans="1:16" ht="20.100000000000001" customHeight="1" x14ac:dyDescent="0.25">
      <c r="A370" s="26" t="str">
        <f>CONCATENATE(LEFT(ConsumoConcreto[[#This Row],[RecebimentoID]],4),"CNSC",TEXT(ConsumoConcreto[[#This Row],[Ordem]],"0000"),UPPER(LEFT(ConsumoConcreto[[#This Row],[Destino]],3)))</f>
        <v>0184CNSC1058PAR</v>
      </c>
      <c r="B370" s="1">
        <v>1058</v>
      </c>
      <c r="C370" s="2" t="s">
        <v>2390</v>
      </c>
      <c r="D370" s="2" t="s">
        <v>2036</v>
      </c>
      <c r="E370" s="18">
        <v>8</v>
      </c>
      <c r="F370" s="2" t="s">
        <v>25</v>
      </c>
      <c r="G370" s="36">
        <v>0.73888888888888893</v>
      </c>
      <c r="H370" s="2" t="s">
        <v>1965</v>
      </c>
      <c r="I3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70" s="22">
        <v>15</v>
      </c>
      <c r="K370" s="22">
        <v>15</v>
      </c>
      <c r="L370" s="37">
        <v>36892</v>
      </c>
      <c r="M370" s="2"/>
      <c r="N370" s="2" t="s">
        <v>1966</v>
      </c>
      <c r="O370" s="2" t="s">
        <v>27</v>
      </c>
      <c r="P370" s="2" t="s">
        <v>26</v>
      </c>
    </row>
    <row r="371" spans="1:16" ht="20.100000000000001" customHeight="1" x14ac:dyDescent="0.25">
      <c r="A371" s="26" t="str">
        <f>CONCATENATE(LEFT(ConsumoConcreto[[#This Row],[RecebimentoID]],4),"CNSC",TEXT(ConsumoConcreto[[#This Row],[Ordem]],"0000"),UPPER(LEFT(ConsumoConcreto[[#This Row],[Destino]],3)))</f>
        <v>0184CNSC1013RAD</v>
      </c>
      <c r="B371" s="1">
        <v>1013</v>
      </c>
      <c r="C371" s="2" t="s">
        <v>2391</v>
      </c>
      <c r="D371" s="2" t="s">
        <v>2036</v>
      </c>
      <c r="E371" s="18">
        <v>8</v>
      </c>
      <c r="F371" s="2" t="s">
        <v>1801</v>
      </c>
      <c r="G371" s="36">
        <v>0.58263888888888882</v>
      </c>
      <c r="H371" s="2" t="s">
        <v>1968</v>
      </c>
      <c r="I3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71" s="22">
        <v>5.5</v>
      </c>
      <c r="K371" s="22">
        <v>5.5</v>
      </c>
      <c r="L371" s="37">
        <v>36892</v>
      </c>
      <c r="M371" s="2"/>
      <c r="N371" s="2" t="s">
        <v>1963</v>
      </c>
      <c r="O371" s="2" t="s">
        <v>27</v>
      </c>
      <c r="P371" s="2" t="s">
        <v>26</v>
      </c>
    </row>
    <row r="372" spans="1:16" ht="20.100000000000001" customHeight="1" x14ac:dyDescent="0.25">
      <c r="A372" s="26" t="str">
        <f>CONCATENATE(LEFT(ConsumoConcreto[[#This Row],[RecebimentoID]],4),"CNSC",TEXT(ConsumoConcreto[[#This Row],[Ordem]],"0000"),UPPER(LEFT(ConsumoConcreto[[#This Row],[Destino]],3)))</f>
        <v>0184CNSC0056PAR</v>
      </c>
      <c r="B372" s="1">
        <v>56</v>
      </c>
      <c r="C372" s="2" t="s">
        <v>2392</v>
      </c>
      <c r="D372" s="2" t="s">
        <v>1970</v>
      </c>
      <c r="E372" s="18">
        <v>9</v>
      </c>
      <c r="F372" s="2" t="s">
        <v>25</v>
      </c>
      <c r="G372" s="36"/>
      <c r="H372" s="2" t="s">
        <v>1965</v>
      </c>
      <c r="I3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72" s="22">
        <v>14.5</v>
      </c>
      <c r="K372" s="22">
        <v>14.5</v>
      </c>
      <c r="L372" s="37">
        <v>36892</v>
      </c>
      <c r="M372" s="2"/>
      <c r="N372" s="2" t="s">
        <v>1966</v>
      </c>
      <c r="O372" s="2" t="s">
        <v>27</v>
      </c>
      <c r="P372" s="2" t="s">
        <v>26</v>
      </c>
    </row>
    <row r="373" spans="1:16" ht="20.100000000000001" customHeight="1" x14ac:dyDescent="0.25">
      <c r="A373" s="26" t="str">
        <f>CONCATENATE(LEFT(ConsumoConcreto[[#This Row],[RecebimentoID]],4),"CNSC",TEXT(ConsumoConcreto[[#This Row],[Ordem]],"0000"),UPPER(LEFT(ConsumoConcreto[[#This Row],[Destino]],3)))</f>
        <v>0184CNSC0088PIL</v>
      </c>
      <c r="B373" s="1">
        <v>88</v>
      </c>
      <c r="C373" s="2" t="s">
        <v>2393</v>
      </c>
      <c r="D373" s="2" t="s">
        <v>1970</v>
      </c>
      <c r="E373" s="18">
        <v>9</v>
      </c>
      <c r="F373" s="2" t="s">
        <v>25</v>
      </c>
      <c r="G373" s="36"/>
      <c r="H373" s="2" t="s">
        <v>1962</v>
      </c>
      <c r="I3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73" s="22">
        <v>0.1</v>
      </c>
      <c r="K373" s="22">
        <v>0.1</v>
      </c>
      <c r="L373" s="37">
        <v>36892</v>
      </c>
      <c r="M373" s="2"/>
      <c r="N373" s="2" t="s">
        <v>1963</v>
      </c>
      <c r="O373" s="2" t="s">
        <v>27</v>
      </c>
      <c r="P373" s="2" t="s">
        <v>26</v>
      </c>
    </row>
    <row r="374" spans="1:16" ht="20.100000000000001" customHeight="1" x14ac:dyDescent="0.25">
      <c r="A374" s="26" t="str">
        <f>CONCATENATE(LEFT(ConsumoConcreto[[#This Row],[RecebimentoID]],4),"CNSC",TEXT(ConsumoConcreto[[#This Row],[Ordem]],"0000"),UPPER(LEFT(ConsumoConcreto[[#This Row],[Destino]],3)))</f>
        <v>0184CNSC0039RAD</v>
      </c>
      <c r="B374" s="1">
        <v>39</v>
      </c>
      <c r="C374" s="2" t="s">
        <v>2394</v>
      </c>
      <c r="D374" s="2" t="s">
        <v>1970</v>
      </c>
      <c r="E374" s="18">
        <v>9</v>
      </c>
      <c r="F374" s="2" t="s">
        <v>1801</v>
      </c>
      <c r="G374" s="36"/>
      <c r="H374" s="2" t="s">
        <v>1968</v>
      </c>
      <c r="I3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74" s="22">
        <v>5.5</v>
      </c>
      <c r="K374" s="22">
        <v>5.5</v>
      </c>
      <c r="L374" s="37">
        <v>36892</v>
      </c>
      <c r="M374" s="2"/>
      <c r="N374" s="2"/>
      <c r="O374" s="2" t="s">
        <v>27</v>
      </c>
      <c r="P374" s="2" t="s">
        <v>26</v>
      </c>
    </row>
    <row r="375" spans="1:16" ht="20.100000000000001" customHeight="1" x14ac:dyDescent="0.25">
      <c r="A375" s="26" t="str">
        <f>CONCATENATE(LEFT(ConsumoConcreto[[#This Row],[RecebimentoID]],4),"CNSC",TEXT(ConsumoConcreto[[#This Row],[Ordem]],"0000"),UPPER(LEFT(ConsumoConcreto[[#This Row],[Destino]],3)))</f>
        <v>0184CNSC0152PAR</v>
      </c>
      <c r="B375" s="1">
        <v>152</v>
      </c>
      <c r="C375" s="2" t="s">
        <v>2395</v>
      </c>
      <c r="D375" s="2" t="s">
        <v>1975</v>
      </c>
      <c r="E375" s="18">
        <v>9</v>
      </c>
      <c r="F375" s="2" t="s">
        <v>25</v>
      </c>
      <c r="G375" s="36">
        <v>0.69444444444444453</v>
      </c>
      <c r="H375" s="2" t="s">
        <v>1965</v>
      </c>
      <c r="I3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75" s="22">
        <v>15</v>
      </c>
      <c r="K375" s="22">
        <v>15</v>
      </c>
      <c r="L375" s="37">
        <v>36892</v>
      </c>
      <c r="M375" s="2"/>
      <c r="N375" s="2" t="s">
        <v>1966</v>
      </c>
      <c r="O375" s="2" t="s">
        <v>27</v>
      </c>
      <c r="P375" s="2" t="s">
        <v>26</v>
      </c>
    </row>
    <row r="376" spans="1:16" ht="20.100000000000001" customHeight="1" x14ac:dyDescent="0.25">
      <c r="A376" s="26" t="str">
        <f>CONCATENATE(LEFT(ConsumoConcreto[[#This Row],[RecebimentoID]],4),"CNSC",TEXT(ConsumoConcreto[[#This Row],[Ordem]],"0000"),UPPER(LEFT(ConsumoConcreto[[#This Row],[Destino]],3)))</f>
        <v>0184CNSC0113RAD</v>
      </c>
      <c r="B376" s="1">
        <v>113</v>
      </c>
      <c r="C376" s="2" t="s">
        <v>2396</v>
      </c>
      <c r="D376" s="2" t="s">
        <v>1975</v>
      </c>
      <c r="E376" s="18">
        <v>9</v>
      </c>
      <c r="F376" s="2" t="s">
        <v>1801</v>
      </c>
      <c r="G376" s="36"/>
      <c r="H376" s="2" t="s">
        <v>1968</v>
      </c>
      <c r="I3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76" s="22">
        <v>5.5</v>
      </c>
      <c r="K376" s="22">
        <v>5.5</v>
      </c>
      <c r="L376" s="37">
        <v>36892</v>
      </c>
      <c r="M376" s="2"/>
      <c r="N376" s="2" t="s">
        <v>1966</v>
      </c>
      <c r="O376" s="2" t="s">
        <v>27</v>
      </c>
      <c r="P376" s="2" t="s">
        <v>26</v>
      </c>
    </row>
    <row r="377" spans="1:16" ht="20.100000000000001" customHeight="1" x14ac:dyDescent="0.25">
      <c r="A377" s="26" t="str">
        <f>CONCATENATE(LEFT(ConsumoConcreto[[#This Row],[RecebimentoID]],4),"CNSC",TEXT(ConsumoConcreto[[#This Row],[Ordem]],"0000"),UPPER(LEFT(ConsumoConcreto[[#This Row],[Destino]],3)))</f>
        <v>0184CNSC0241PAR</v>
      </c>
      <c r="B377" s="1">
        <v>241</v>
      </c>
      <c r="C377" s="2" t="s">
        <v>2397</v>
      </c>
      <c r="D377" s="2" t="s">
        <v>1979</v>
      </c>
      <c r="E377" s="18">
        <v>9</v>
      </c>
      <c r="F377" s="2" t="s">
        <v>25</v>
      </c>
      <c r="G377" s="36">
        <v>0.82986111111111116</v>
      </c>
      <c r="H377" s="2" t="s">
        <v>1965</v>
      </c>
      <c r="I3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77" s="22">
        <v>14.5</v>
      </c>
      <c r="K377" s="22">
        <v>14.5</v>
      </c>
      <c r="L377" s="37">
        <v>36892</v>
      </c>
      <c r="M377" s="2"/>
      <c r="N377" s="2" t="s">
        <v>1966</v>
      </c>
      <c r="O377" s="2" t="s">
        <v>27</v>
      </c>
      <c r="P377" s="2" t="s">
        <v>26</v>
      </c>
    </row>
    <row r="378" spans="1:16" ht="20.100000000000001" customHeight="1" x14ac:dyDescent="0.25">
      <c r="A378" s="26" t="str">
        <f>CONCATENATE(LEFT(ConsumoConcreto[[#This Row],[RecebimentoID]],4),"CNSC",TEXT(ConsumoConcreto[[#This Row],[Ordem]],"0000"),UPPER(LEFT(ConsumoConcreto[[#This Row],[Destino]],3)))</f>
        <v>0184CNSC0190RAD</v>
      </c>
      <c r="B378" s="1">
        <v>190</v>
      </c>
      <c r="C378" s="2" t="s">
        <v>2398</v>
      </c>
      <c r="D378" s="2" t="s">
        <v>1979</v>
      </c>
      <c r="E378" s="18">
        <v>9</v>
      </c>
      <c r="F378" s="2" t="s">
        <v>1801</v>
      </c>
      <c r="G378" s="36"/>
      <c r="H378" s="2" t="s">
        <v>1968</v>
      </c>
      <c r="I3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78" s="22">
        <v>6</v>
      </c>
      <c r="K378" s="22">
        <v>5.5</v>
      </c>
      <c r="L378" s="37">
        <v>36892</v>
      </c>
      <c r="M378" s="2" t="s">
        <v>2252</v>
      </c>
      <c r="N378" s="2" t="s">
        <v>1966</v>
      </c>
      <c r="O378" s="2" t="s">
        <v>27</v>
      </c>
      <c r="P378" s="2" t="s">
        <v>26</v>
      </c>
    </row>
    <row r="379" spans="1:16" ht="20.100000000000001" customHeight="1" x14ac:dyDescent="0.25">
      <c r="A379" s="26" t="str">
        <f>CONCATENATE(LEFT(ConsumoConcreto[[#This Row],[RecebimentoID]],4),"CNSC",TEXT(ConsumoConcreto[[#This Row],[Ordem]],"0000"),UPPER(LEFT(ConsumoConcreto[[#This Row],[Destino]],3)))</f>
        <v>0184CNSC0280PAR</v>
      </c>
      <c r="B379" s="1">
        <v>280</v>
      </c>
      <c r="C379" s="2" t="s">
        <v>2399</v>
      </c>
      <c r="D379" s="2" t="s">
        <v>1985</v>
      </c>
      <c r="E379" s="18">
        <v>9</v>
      </c>
      <c r="F379" s="2" t="s">
        <v>25</v>
      </c>
      <c r="G379" s="36">
        <v>0.84027777777777779</v>
      </c>
      <c r="H379" s="2" t="s">
        <v>1965</v>
      </c>
      <c r="I3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79" s="22">
        <v>14.5</v>
      </c>
      <c r="K379" s="22">
        <v>14.5</v>
      </c>
      <c r="L379" s="37">
        <v>36892</v>
      </c>
      <c r="M379" s="2"/>
      <c r="N379" s="2" t="s">
        <v>2017</v>
      </c>
      <c r="O379" s="2" t="s">
        <v>27</v>
      </c>
      <c r="P379" s="2" t="s">
        <v>26</v>
      </c>
    </row>
    <row r="380" spans="1:16" ht="20.100000000000001" customHeight="1" x14ac:dyDescent="0.25">
      <c r="A380" s="26" t="str">
        <f>CONCATENATE(LEFT(ConsumoConcreto[[#This Row],[RecebimentoID]],4),"CNSC",TEXT(ConsumoConcreto[[#This Row],[Ordem]],"0000"),UPPER(LEFT(ConsumoConcreto[[#This Row],[Destino]],3)))</f>
        <v>0184CNSC0268RAD</v>
      </c>
      <c r="B380" s="1">
        <v>268</v>
      </c>
      <c r="C380" s="2" t="s">
        <v>2400</v>
      </c>
      <c r="D380" s="2" t="s">
        <v>1985</v>
      </c>
      <c r="E380" s="18">
        <v>9</v>
      </c>
      <c r="F380" s="2" t="s">
        <v>1801</v>
      </c>
      <c r="G380" s="36">
        <v>0.43055555555555558</v>
      </c>
      <c r="H380" s="2" t="s">
        <v>1968</v>
      </c>
      <c r="I3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80" s="22">
        <v>5.5</v>
      </c>
      <c r="K380" s="22">
        <v>5.5</v>
      </c>
      <c r="L380" s="37">
        <v>36892</v>
      </c>
      <c r="M380" s="2"/>
      <c r="N380" s="2" t="s">
        <v>1963</v>
      </c>
      <c r="O380" s="2" t="s">
        <v>27</v>
      </c>
      <c r="P380" s="2" t="s">
        <v>26</v>
      </c>
    </row>
    <row r="381" spans="1:16" ht="20.100000000000001" customHeight="1" x14ac:dyDescent="0.25">
      <c r="A381" s="26" t="str">
        <f>CONCATENATE(LEFT(ConsumoConcreto[[#This Row],[RecebimentoID]],4),"CNSC",TEXT(ConsumoConcreto[[#This Row],[Ordem]],"0000"),UPPER(LEFT(ConsumoConcreto[[#This Row],[Destino]],3)))</f>
        <v>0184CNSC0296PIL</v>
      </c>
      <c r="B381" s="1">
        <v>296</v>
      </c>
      <c r="C381" s="2" t="s">
        <v>2401</v>
      </c>
      <c r="D381" s="2" t="s">
        <v>1985</v>
      </c>
      <c r="E381" s="18">
        <v>9</v>
      </c>
      <c r="F381" s="2" t="s">
        <v>1801</v>
      </c>
      <c r="G381" s="36">
        <v>0.5</v>
      </c>
      <c r="H381" s="2" t="s">
        <v>1962</v>
      </c>
      <c r="I3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81" s="22">
        <v>0.1</v>
      </c>
      <c r="K381" s="22">
        <v>0.1</v>
      </c>
      <c r="L381" s="37">
        <v>36892</v>
      </c>
      <c r="M381" s="2"/>
      <c r="N381" s="2" t="s">
        <v>1963</v>
      </c>
      <c r="O381" s="2" t="s">
        <v>27</v>
      </c>
      <c r="P381" s="2" t="s">
        <v>26</v>
      </c>
    </row>
    <row r="382" spans="1:16" ht="20.100000000000001" customHeight="1" x14ac:dyDescent="0.25">
      <c r="A382" s="26" t="str">
        <f>CONCATENATE(LEFT(ConsumoConcreto[[#This Row],[RecebimentoID]],4),"CNSC",TEXT(ConsumoConcreto[[#This Row],[Ordem]],"0000"),UPPER(LEFT(ConsumoConcreto[[#This Row],[Destino]],3)))</f>
        <v>0184CNSC0328PAR</v>
      </c>
      <c r="B382" s="1">
        <v>328</v>
      </c>
      <c r="C382" s="2" t="s">
        <v>2402</v>
      </c>
      <c r="D382" s="2" t="s">
        <v>1989</v>
      </c>
      <c r="E382" s="18">
        <v>9</v>
      </c>
      <c r="F382" s="2" t="s">
        <v>25</v>
      </c>
      <c r="G382" s="36">
        <v>0.89513888888888893</v>
      </c>
      <c r="H382" s="2" t="s">
        <v>1965</v>
      </c>
      <c r="I3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82" s="22">
        <v>18.5</v>
      </c>
      <c r="K382" s="22">
        <v>18.5</v>
      </c>
      <c r="L382" s="37">
        <v>36892</v>
      </c>
      <c r="M382" s="2"/>
      <c r="N382" s="2" t="s">
        <v>1966</v>
      </c>
      <c r="O382" s="2" t="s">
        <v>27</v>
      </c>
      <c r="P382" s="2" t="s">
        <v>26</v>
      </c>
    </row>
    <row r="383" spans="1:16" ht="20.100000000000001" customHeight="1" x14ac:dyDescent="0.25">
      <c r="A383" s="26" t="str">
        <f>CONCATENATE(LEFT(ConsumoConcreto[[#This Row],[RecebimentoID]],4),"CNSC",TEXT(ConsumoConcreto[[#This Row],[Ordem]],"0000"),UPPER(LEFT(ConsumoConcreto[[#This Row],[Destino]],3)))</f>
        <v>0184CNSC0316RAD</v>
      </c>
      <c r="B383" s="1">
        <v>316</v>
      </c>
      <c r="C383" s="2" t="s">
        <v>2403</v>
      </c>
      <c r="D383" s="2" t="s">
        <v>1989</v>
      </c>
      <c r="E383" s="18">
        <v>9</v>
      </c>
      <c r="F383" s="2" t="s">
        <v>1801</v>
      </c>
      <c r="G383" s="36">
        <v>0.67708333333333337</v>
      </c>
      <c r="H383" s="2" t="s">
        <v>1968</v>
      </c>
      <c r="I3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83" s="22">
        <v>7</v>
      </c>
      <c r="K383" s="22">
        <v>7</v>
      </c>
      <c r="L383" s="37">
        <v>36892</v>
      </c>
      <c r="M383" s="2"/>
      <c r="N383" s="2" t="s">
        <v>1963</v>
      </c>
      <c r="O383" s="2" t="s">
        <v>27</v>
      </c>
      <c r="P383" s="2" t="s">
        <v>26</v>
      </c>
    </row>
    <row r="384" spans="1:16" ht="20.100000000000001" customHeight="1" x14ac:dyDescent="0.25">
      <c r="A384" s="26" t="str">
        <f>CONCATENATE(LEFT(ConsumoConcreto[[#This Row],[RecebimentoID]],4),"CNSC",TEXT(ConsumoConcreto[[#This Row],[Ordem]],"0000"),UPPER(LEFT(ConsumoConcreto[[#This Row],[Destino]],3)))</f>
        <v>0184CNSC0351PAR</v>
      </c>
      <c r="B384" s="1">
        <v>351</v>
      </c>
      <c r="C384" s="2" t="s">
        <v>2404</v>
      </c>
      <c r="D384" s="2" t="s">
        <v>1992</v>
      </c>
      <c r="E384" s="18">
        <v>9</v>
      </c>
      <c r="F384" s="2" t="s">
        <v>25</v>
      </c>
      <c r="G384" s="36">
        <v>0.98958333333333337</v>
      </c>
      <c r="H384" s="2" t="s">
        <v>1965</v>
      </c>
      <c r="I3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84" s="22">
        <v>14</v>
      </c>
      <c r="K384" s="22">
        <v>14</v>
      </c>
      <c r="L384" s="37">
        <v>36892</v>
      </c>
      <c r="M384" s="2"/>
      <c r="N384" s="2" t="s">
        <v>1966</v>
      </c>
      <c r="O384" s="2" t="s">
        <v>27</v>
      </c>
      <c r="P384" s="2" t="s">
        <v>26</v>
      </c>
    </row>
    <row r="385" spans="1:16" ht="20.100000000000001" customHeight="1" x14ac:dyDescent="0.25">
      <c r="A385" s="26" t="str">
        <f>CONCATENATE(LEFT(ConsumoConcreto[[#This Row],[RecebimentoID]],4),"CNSC",TEXT(ConsumoConcreto[[#This Row],[Ordem]],"0000"),UPPER(LEFT(ConsumoConcreto[[#This Row],[Destino]],3)))</f>
        <v>0184CNSC0338RAD</v>
      </c>
      <c r="B385" s="1">
        <v>338</v>
      </c>
      <c r="C385" s="2" t="s">
        <v>2405</v>
      </c>
      <c r="D385" s="2" t="s">
        <v>1992</v>
      </c>
      <c r="E385" s="18">
        <v>9</v>
      </c>
      <c r="F385" s="2" t="s">
        <v>1801</v>
      </c>
      <c r="G385" s="36">
        <v>0.70833333333333337</v>
      </c>
      <c r="H385" s="2" t="s">
        <v>1968</v>
      </c>
      <c r="I3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85" s="22">
        <v>5.5</v>
      </c>
      <c r="K385" s="22">
        <v>5.5</v>
      </c>
      <c r="L385" s="37">
        <v>36892</v>
      </c>
      <c r="M385" s="2"/>
      <c r="N385" s="2" t="s">
        <v>2017</v>
      </c>
      <c r="O385" s="2" t="s">
        <v>27</v>
      </c>
      <c r="P385" s="2" t="s">
        <v>26</v>
      </c>
    </row>
    <row r="386" spans="1:16" ht="20.100000000000001" customHeight="1" x14ac:dyDescent="0.25">
      <c r="A386" s="26" t="str">
        <f>CONCATENATE(LEFT(ConsumoConcreto[[#This Row],[RecebimentoID]],4),"CNSC",TEXT(ConsumoConcreto[[#This Row],[Ordem]],"0000"),UPPER(LEFT(ConsumoConcreto[[#This Row],[Destino]],3)))</f>
        <v>0184CNSC0401PIL</v>
      </c>
      <c r="B386" s="1">
        <v>401</v>
      </c>
      <c r="C386" s="2" t="s">
        <v>2406</v>
      </c>
      <c r="D386" s="2" t="s">
        <v>1995</v>
      </c>
      <c r="E386" s="18">
        <v>9</v>
      </c>
      <c r="F386" s="2" t="s">
        <v>25</v>
      </c>
      <c r="G386" s="36"/>
      <c r="H386" s="2" t="s">
        <v>1962</v>
      </c>
      <c r="I3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386" s="22">
        <v>0.1</v>
      </c>
      <c r="K386" s="22">
        <v>0.1</v>
      </c>
      <c r="L386" s="37">
        <v>36892</v>
      </c>
      <c r="M386" s="2"/>
      <c r="N386" s="2" t="s">
        <v>1963</v>
      </c>
      <c r="O386" s="2" t="s">
        <v>27</v>
      </c>
      <c r="P386" s="2" t="s">
        <v>26</v>
      </c>
    </row>
    <row r="387" spans="1:16" ht="20.100000000000001" customHeight="1" x14ac:dyDescent="0.25">
      <c r="A387" s="26" t="str">
        <f>CONCATENATE(LEFT(ConsumoConcreto[[#This Row],[RecebimentoID]],4),"CNSC",TEXT(ConsumoConcreto[[#This Row],[Ordem]],"0000"),UPPER(LEFT(ConsumoConcreto[[#This Row],[Destino]],3)))</f>
        <v>0184CNSC0388PAR</v>
      </c>
      <c r="B387" s="1">
        <v>388</v>
      </c>
      <c r="C387" s="2" t="s">
        <v>2407</v>
      </c>
      <c r="D387" s="2" t="s">
        <v>1995</v>
      </c>
      <c r="E387" s="18">
        <v>9</v>
      </c>
      <c r="F387" s="2" t="s">
        <v>25</v>
      </c>
      <c r="G387" s="36">
        <v>0.87708333333333333</v>
      </c>
      <c r="H387" s="2" t="s">
        <v>1965</v>
      </c>
      <c r="I3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87" s="22">
        <v>14</v>
      </c>
      <c r="K387" s="22">
        <v>14</v>
      </c>
      <c r="L387" s="37">
        <v>36892</v>
      </c>
      <c r="M387" s="2"/>
      <c r="N387" s="2" t="s">
        <v>1966</v>
      </c>
      <c r="O387" s="2" t="s">
        <v>27</v>
      </c>
      <c r="P387" s="2" t="s">
        <v>26</v>
      </c>
    </row>
    <row r="388" spans="1:16" ht="20.100000000000001" customHeight="1" x14ac:dyDescent="0.25">
      <c r="A388" s="26" t="str">
        <f>CONCATENATE(LEFT(ConsumoConcreto[[#This Row],[RecebimentoID]],4),"CNSC",TEXT(ConsumoConcreto[[#This Row],[Ordem]],"0000"),UPPER(LEFT(ConsumoConcreto[[#This Row],[Destino]],3)))</f>
        <v>0184CNSC0378RAD</v>
      </c>
      <c r="B388" s="1">
        <v>378</v>
      </c>
      <c r="C388" s="2" t="s">
        <v>2408</v>
      </c>
      <c r="D388" s="2" t="s">
        <v>1995</v>
      </c>
      <c r="E388" s="18">
        <v>9</v>
      </c>
      <c r="F388" s="2" t="s">
        <v>1801</v>
      </c>
      <c r="G388" s="36">
        <v>0.46527777777777773</v>
      </c>
      <c r="H388" s="2" t="s">
        <v>1968</v>
      </c>
      <c r="I3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388" s="22">
        <v>5.5</v>
      </c>
      <c r="K388" s="22">
        <v>5.5</v>
      </c>
      <c r="L388" s="37">
        <v>36892</v>
      </c>
      <c r="M388" s="2"/>
      <c r="N388" s="2" t="s">
        <v>1963</v>
      </c>
      <c r="O388" s="2" t="s">
        <v>27</v>
      </c>
      <c r="P388" s="2" t="s">
        <v>26</v>
      </c>
    </row>
    <row r="389" spans="1:16" ht="20.100000000000001" customHeight="1" x14ac:dyDescent="0.25">
      <c r="A389" s="26" t="str">
        <f>CONCATENATE(LEFT(ConsumoConcreto[[#This Row],[RecebimentoID]],4),"CNSC",TEXT(ConsumoConcreto[[#This Row],[Ordem]],"0000"),UPPER(LEFT(ConsumoConcreto[[#This Row],[Destino]],3)))</f>
        <v>0184CNSC0433PAR</v>
      </c>
      <c r="B389" s="1">
        <v>433</v>
      </c>
      <c r="C389" s="2" t="s">
        <v>2409</v>
      </c>
      <c r="D389" s="2" t="s">
        <v>1999</v>
      </c>
      <c r="E389" s="18">
        <v>9</v>
      </c>
      <c r="F389" s="2" t="s">
        <v>25</v>
      </c>
      <c r="G389" s="36">
        <v>0.39861111111111108</v>
      </c>
      <c r="H389" s="2" t="s">
        <v>1965</v>
      </c>
      <c r="I3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89" s="22">
        <v>18.5</v>
      </c>
      <c r="K389" s="22">
        <v>18.5</v>
      </c>
      <c r="L389" s="37">
        <v>36892</v>
      </c>
      <c r="M389" s="2"/>
      <c r="N389" s="2" t="s">
        <v>1966</v>
      </c>
      <c r="O389" s="2" t="s">
        <v>27</v>
      </c>
      <c r="P389" s="2" t="s">
        <v>26</v>
      </c>
    </row>
    <row r="390" spans="1:16" ht="20.100000000000001" customHeight="1" x14ac:dyDescent="0.25">
      <c r="A390" s="26" t="str">
        <f>CONCATENATE(LEFT(ConsumoConcreto[[#This Row],[RecebimentoID]],4),"CNSC",TEXT(ConsumoConcreto[[#This Row],[Ordem]],"0000"),UPPER(LEFT(ConsumoConcreto[[#This Row],[Destino]],3)))</f>
        <v>0184CNSC0417RAD</v>
      </c>
      <c r="B390" s="1">
        <v>417</v>
      </c>
      <c r="C390" s="2" t="s">
        <v>2410</v>
      </c>
      <c r="D390" s="2" t="s">
        <v>1999</v>
      </c>
      <c r="E390" s="18">
        <v>9</v>
      </c>
      <c r="F390" s="2" t="s">
        <v>1801</v>
      </c>
      <c r="G390" s="36">
        <v>0.62361111111111112</v>
      </c>
      <c r="H390" s="2" t="s">
        <v>1968</v>
      </c>
      <c r="I3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90" s="22">
        <v>7</v>
      </c>
      <c r="K390" s="22">
        <v>7</v>
      </c>
      <c r="L390" s="37">
        <v>36892</v>
      </c>
      <c r="M390" s="2"/>
      <c r="N390" s="2" t="s">
        <v>2017</v>
      </c>
      <c r="O390" s="2" t="s">
        <v>27</v>
      </c>
      <c r="P390" s="2" t="s">
        <v>26</v>
      </c>
    </row>
    <row r="391" spans="1:16" ht="20.100000000000001" customHeight="1" x14ac:dyDescent="0.25">
      <c r="A391" s="26" t="str">
        <f>CONCATENATE(LEFT(ConsumoConcreto[[#This Row],[RecebimentoID]],4),"CNSC",TEXT(ConsumoConcreto[[#This Row],[Ordem]],"0000"),UPPER(LEFT(ConsumoConcreto[[#This Row],[Destino]],3)))</f>
        <v>0184CNSC0464PAR</v>
      </c>
      <c r="B391" s="1">
        <v>464</v>
      </c>
      <c r="C391" s="2" t="s">
        <v>2411</v>
      </c>
      <c r="D391" s="2" t="s">
        <v>2002</v>
      </c>
      <c r="E391" s="18">
        <v>9</v>
      </c>
      <c r="F391" s="2" t="s">
        <v>25</v>
      </c>
      <c r="G391" s="36">
        <v>0.80208333333333337</v>
      </c>
      <c r="H391" s="2" t="s">
        <v>1965</v>
      </c>
      <c r="I3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91" s="22">
        <v>18</v>
      </c>
      <c r="K391" s="22">
        <v>18</v>
      </c>
      <c r="L391" s="37">
        <v>36892</v>
      </c>
      <c r="M391" s="2"/>
      <c r="N391" s="2" t="s">
        <v>1966</v>
      </c>
      <c r="O391" s="2" t="s">
        <v>27</v>
      </c>
      <c r="P391" s="2" t="s">
        <v>26</v>
      </c>
    </row>
    <row r="392" spans="1:16" ht="20.100000000000001" customHeight="1" x14ac:dyDescent="0.25">
      <c r="A392" s="26" t="str">
        <f>CONCATENATE(LEFT(ConsumoConcreto[[#This Row],[RecebimentoID]],4),"CNSC",TEXT(ConsumoConcreto[[#This Row],[Ordem]],"0000"),UPPER(LEFT(ConsumoConcreto[[#This Row],[Destino]],3)))</f>
        <v>0184CNSC0451RAD</v>
      </c>
      <c r="B392" s="1">
        <v>451</v>
      </c>
      <c r="C392" s="2" t="s">
        <v>2412</v>
      </c>
      <c r="D392" s="2" t="s">
        <v>2002</v>
      </c>
      <c r="E392" s="18">
        <v>9</v>
      </c>
      <c r="F392" s="2" t="s">
        <v>1801</v>
      </c>
      <c r="G392" s="36">
        <v>0.4375</v>
      </c>
      <c r="H392" s="2" t="s">
        <v>1968</v>
      </c>
      <c r="I3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92" s="22">
        <v>7</v>
      </c>
      <c r="K392" s="22">
        <v>7</v>
      </c>
      <c r="L392" s="37">
        <v>36892</v>
      </c>
      <c r="M392" s="2"/>
      <c r="N392" s="2" t="s">
        <v>1963</v>
      </c>
      <c r="O392" s="2" t="s">
        <v>27</v>
      </c>
      <c r="P392" s="2" t="s">
        <v>26</v>
      </c>
    </row>
    <row r="393" spans="1:16" ht="20.100000000000001" customHeight="1" x14ac:dyDescent="0.25">
      <c r="A393" s="26" t="str">
        <f>CONCATENATE(LEFT(ConsumoConcreto[[#This Row],[RecebimentoID]],4),"CNSC",TEXT(ConsumoConcreto[[#This Row],[Ordem]],"0000"),UPPER(LEFT(ConsumoConcreto[[#This Row],[Destino]],3)))</f>
        <v>0184CNSC0518PAR</v>
      </c>
      <c r="B393" s="1">
        <v>518</v>
      </c>
      <c r="C393" s="2" t="s">
        <v>2413</v>
      </c>
      <c r="D393" s="2" t="s">
        <v>2005</v>
      </c>
      <c r="E393" s="18">
        <v>9</v>
      </c>
      <c r="F393" s="2" t="s">
        <v>25</v>
      </c>
      <c r="G393" s="36">
        <v>0.7909722222222223</v>
      </c>
      <c r="H393" s="2" t="s">
        <v>1965</v>
      </c>
      <c r="I3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93" s="22">
        <v>18</v>
      </c>
      <c r="K393" s="22">
        <v>18</v>
      </c>
      <c r="L393" s="37">
        <v>36892</v>
      </c>
      <c r="M393" s="2"/>
      <c r="N393" s="2" t="s">
        <v>1966</v>
      </c>
      <c r="O393" s="2" t="s">
        <v>27</v>
      </c>
      <c r="P393" s="2" t="s">
        <v>26</v>
      </c>
    </row>
    <row r="394" spans="1:16" ht="20.100000000000001" customHeight="1" x14ac:dyDescent="0.25">
      <c r="A394" s="26" t="str">
        <f>CONCATENATE(LEFT(ConsumoConcreto[[#This Row],[RecebimentoID]],4),"CNSC",TEXT(ConsumoConcreto[[#This Row],[Ordem]],"0000"),UPPER(LEFT(ConsumoConcreto[[#This Row],[Destino]],3)))</f>
        <v>0184CNSC0482RAD</v>
      </c>
      <c r="B394" s="1">
        <v>482</v>
      </c>
      <c r="C394" s="2" t="s">
        <v>2414</v>
      </c>
      <c r="D394" s="2" t="s">
        <v>2005</v>
      </c>
      <c r="E394" s="18">
        <v>9</v>
      </c>
      <c r="F394" s="2" t="s">
        <v>1801</v>
      </c>
      <c r="G394" s="36">
        <v>0.49305555555555558</v>
      </c>
      <c r="H394" s="2" t="s">
        <v>1968</v>
      </c>
      <c r="I3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94" s="22">
        <v>7</v>
      </c>
      <c r="K394" s="22">
        <v>7</v>
      </c>
      <c r="L394" s="37">
        <v>36892</v>
      </c>
      <c r="M394" s="2"/>
      <c r="N394" s="2" t="s">
        <v>1963</v>
      </c>
      <c r="O394" s="2" t="s">
        <v>27</v>
      </c>
      <c r="P394" s="2" t="s">
        <v>26</v>
      </c>
    </row>
    <row r="395" spans="1:16" ht="20.100000000000001" customHeight="1" x14ac:dyDescent="0.25">
      <c r="A395" s="26" t="str">
        <f>CONCATENATE(LEFT(ConsumoConcreto[[#This Row],[RecebimentoID]],4),"CNSC",TEXT(ConsumoConcreto[[#This Row],[Ordem]],"0000"),UPPER(LEFT(ConsumoConcreto[[#This Row],[Destino]],3)))</f>
        <v>0184CNSC0572PAR</v>
      </c>
      <c r="B395" s="1">
        <v>572</v>
      </c>
      <c r="C395" s="2" t="s">
        <v>2415</v>
      </c>
      <c r="D395" s="2" t="s">
        <v>2007</v>
      </c>
      <c r="E395" s="18">
        <v>9</v>
      </c>
      <c r="F395" s="2" t="s">
        <v>25</v>
      </c>
      <c r="G395" s="36">
        <v>0.8125</v>
      </c>
      <c r="H395" s="2" t="s">
        <v>1965</v>
      </c>
      <c r="I3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95" s="22">
        <v>18</v>
      </c>
      <c r="K395" s="22">
        <v>18</v>
      </c>
      <c r="L395" s="37">
        <v>36892</v>
      </c>
      <c r="M395" s="2"/>
      <c r="N395" s="2" t="s">
        <v>1966</v>
      </c>
      <c r="O395" s="2" t="s">
        <v>27</v>
      </c>
      <c r="P395" s="2" t="s">
        <v>26</v>
      </c>
    </row>
    <row r="396" spans="1:16" ht="20.100000000000001" customHeight="1" x14ac:dyDescent="0.25">
      <c r="A396" s="26" t="str">
        <f>CONCATENATE(LEFT(ConsumoConcreto[[#This Row],[RecebimentoID]],4),"CNSC",TEXT(ConsumoConcreto[[#This Row],[Ordem]],"0000"),UPPER(LEFT(ConsumoConcreto[[#This Row],[Destino]],3)))</f>
        <v>0184CNSC0553RAD</v>
      </c>
      <c r="B396" s="1">
        <v>553</v>
      </c>
      <c r="C396" s="2" t="s">
        <v>2416</v>
      </c>
      <c r="D396" s="2" t="s">
        <v>2007</v>
      </c>
      <c r="E396" s="18">
        <v>9</v>
      </c>
      <c r="F396" s="2" t="s">
        <v>1801</v>
      </c>
      <c r="G396" s="36"/>
      <c r="H396" s="2" t="s">
        <v>1968</v>
      </c>
      <c r="I3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96" s="22">
        <v>7</v>
      </c>
      <c r="K396" s="22">
        <v>7</v>
      </c>
      <c r="L396" s="37">
        <v>36892</v>
      </c>
      <c r="M396" s="2"/>
      <c r="N396" s="2" t="s">
        <v>1963</v>
      </c>
      <c r="O396" s="2" t="s">
        <v>27</v>
      </c>
      <c r="P396" s="2" t="s">
        <v>26</v>
      </c>
    </row>
    <row r="397" spans="1:16" ht="20.100000000000001" customHeight="1" x14ac:dyDescent="0.25">
      <c r="A397" s="26" t="str">
        <f>CONCATENATE(LEFT(ConsumoConcreto[[#This Row],[RecebimentoID]],4),"CNSC",TEXT(ConsumoConcreto[[#This Row],[Ordem]],"0000"),UPPER(LEFT(ConsumoConcreto[[#This Row],[Destino]],3)))</f>
        <v>0184CNSC0623PAR</v>
      </c>
      <c r="B397" s="1">
        <v>623</v>
      </c>
      <c r="C397" s="2" t="s">
        <v>2417</v>
      </c>
      <c r="D397" s="2" t="s">
        <v>2010</v>
      </c>
      <c r="E397" s="18">
        <v>9</v>
      </c>
      <c r="F397" s="2" t="s">
        <v>25</v>
      </c>
      <c r="G397" s="36">
        <v>0.81527777777777777</v>
      </c>
      <c r="H397" s="2" t="s">
        <v>1965</v>
      </c>
      <c r="I3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397" s="22">
        <v>19</v>
      </c>
      <c r="K397" s="22">
        <v>19</v>
      </c>
      <c r="L397" s="37">
        <v>36892</v>
      </c>
      <c r="M397" s="2" t="s">
        <v>2418</v>
      </c>
      <c r="N397" s="2" t="s">
        <v>1966</v>
      </c>
      <c r="O397" s="2" t="s">
        <v>27</v>
      </c>
      <c r="P397" s="2" t="s">
        <v>26</v>
      </c>
    </row>
    <row r="398" spans="1:16" ht="20.100000000000001" customHeight="1" x14ac:dyDescent="0.25">
      <c r="A398" s="26" t="str">
        <f>CONCATENATE(LEFT(ConsumoConcreto[[#This Row],[RecebimentoID]],4),"CNSC",TEXT(ConsumoConcreto[[#This Row],[Ordem]],"0000"),UPPER(LEFT(ConsumoConcreto[[#This Row],[Destino]],3)))</f>
        <v>0184CNSC0599RAD</v>
      </c>
      <c r="B398" s="1">
        <v>599</v>
      </c>
      <c r="C398" s="2" t="s">
        <v>2419</v>
      </c>
      <c r="D398" s="2" t="s">
        <v>2010</v>
      </c>
      <c r="E398" s="18">
        <v>9</v>
      </c>
      <c r="F398" s="2" t="s">
        <v>1801</v>
      </c>
      <c r="G398" s="36">
        <v>0.45208333333333334</v>
      </c>
      <c r="H398" s="2" t="s">
        <v>1968</v>
      </c>
      <c r="I3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398" s="22">
        <v>7</v>
      </c>
      <c r="K398" s="22">
        <v>7</v>
      </c>
      <c r="L398" s="37">
        <v>36892</v>
      </c>
      <c r="M398" s="2"/>
      <c r="N398" s="2" t="s">
        <v>1963</v>
      </c>
      <c r="O398" s="2" t="s">
        <v>27</v>
      </c>
      <c r="P398" s="2" t="s">
        <v>26</v>
      </c>
    </row>
    <row r="399" spans="1:16" ht="20.100000000000001" customHeight="1" x14ac:dyDescent="0.25">
      <c r="A399" s="26" t="str">
        <f>CONCATENATE(LEFT(ConsumoConcreto[[#This Row],[RecebimentoID]],4),"CNSC",TEXT(ConsumoConcreto[[#This Row],[Ordem]],"0000"),UPPER(LEFT(ConsumoConcreto[[#This Row],[Destino]],3)))</f>
        <v>0184CNSC0691PAR</v>
      </c>
      <c r="B399" s="1">
        <v>691</v>
      </c>
      <c r="C399" s="2" t="s">
        <v>2420</v>
      </c>
      <c r="D399" s="2" t="s">
        <v>2013</v>
      </c>
      <c r="E399" s="18">
        <v>9</v>
      </c>
      <c r="F399" s="2" t="s">
        <v>25</v>
      </c>
      <c r="G399" s="36">
        <v>0.86597222222222225</v>
      </c>
      <c r="H399" s="2" t="s">
        <v>1965</v>
      </c>
      <c r="I3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399" s="22">
        <v>15.5</v>
      </c>
      <c r="K399" s="22">
        <v>15.5</v>
      </c>
      <c r="L399" s="37">
        <v>36892</v>
      </c>
      <c r="M399" s="2" t="s">
        <v>2082</v>
      </c>
      <c r="N399" s="2" t="s">
        <v>1966</v>
      </c>
      <c r="O399" s="2" t="s">
        <v>27</v>
      </c>
      <c r="P399" s="2" t="s">
        <v>26</v>
      </c>
    </row>
    <row r="400" spans="1:16" ht="20.100000000000001" customHeight="1" x14ac:dyDescent="0.25">
      <c r="A400" s="26" t="str">
        <f>CONCATENATE(LEFT(ConsumoConcreto[[#This Row],[RecebimentoID]],4),"CNSC",TEXT(ConsumoConcreto[[#This Row],[Ordem]],"0000"),UPPER(LEFT(ConsumoConcreto[[#This Row],[Destino]],3)))</f>
        <v>0184CNSC0672RAD</v>
      </c>
      <c r="B400" s="1">
        <v>672</v>
      </c>
      <c r="C400" s="2" t="s">
        <v>2421</v>
      </c>
      <c r="D400" s="2" t="s">
        <v>2013</v>
      </c>
      <c r="E400" s="18">
        <v>9</v>
      </c>
      <c r="F400" s="2" t="s">
        <v>1801</v>
      </c>
      <c r="G400" s="36"/>
      <c r="H400" s="2" t="s">
        <v>1968</v>
      </c>
      <c r="I4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00" s="22">
        <v>6</v>
      </c>
      <c r="K400" s="22">
        <v>5.4809999999999999</v>
      </c>
      <c r="L400" s="37">
        <v>36892</v>
      </c>
      <c r="M400" s="2"/>
      <c r="N400" s="2"/>
      <c r="O400" s="2" t="s">
        <v>27</v>
      </c>
      <c r="P400" s="2" t="s">
        <v>26</v>
      </c>
    </row>
    <row r="401" spans="1:16" ht="20.100000000000001" customHeight="1" x14ac:dyDescent="0.25">
      <c r="A401" s="26" t="str">
        <f>CONCATENATE(LEFT(ConsumoConcreto[[#This Row],[RecebimentoID]],4),"CNSC",TEXT(ConsumoConcreto[[#This Row],[Ordem]],"0000"),UPPER(LEFT(ConsumoConcreto[[#This Row],[Destino]],3)))</f>
        <v>0184CNSC0767PAR</v>
      </c>
      <c r="B401" s="1">
        <v>767</v>
      </c>
      <c r="C401" s="2" t="s">
        <v>2422</v>
      </c>
      <c r="D401" s="2" t="s">
        <v>2016</v>
      </c>
      <c r="E401" s="18">
        <v>9</v>
      </c>
      <c r="F401" s="2" t="s">
        <v>25</v>
      </c>
      <c r="G401" s="36">
        <v>0.81041666666666667</v>
      </c>
      <c r="H401" s="2" t="s">
        <v>1965</v>
      </c>
      <c r="I4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01" s="22">
        <v>14.5</v>
      </c>
      <c r="K401" s="22">
        <v>14.5</v>
      </c>
      <c r="L401" s="37">
        <v>36892</v>
      </c>
      <c r="M401" s="2"/>
      <c r="N401" s="2" t="s">
        <v>2017</v>
      </c>
      <c r="O401" s="2" t="s">
        <v>27</v>
      </c>
      <c r="P401" s="2" t="s">
        <v>26</v>
      </c>
    </row>
    <row r="402" spans="1:16" ht="20.100000000000001" customHeight="1" x14ac:dyDescent="0.25">
      <c r="A402" s="26" t="str">
        <f>CONCATENATE(LEFT(ConsumoConcreto[[#This Row],[RecebimentoID]],4),"CNSC",TEXT(ConsumoConcreto[[#This Row],[Ordem]],"0000"),UPPER(LEFT(ConsumoConcreto[[#This Row],[Destino]],3)))</f>
        <v>0184CNSC0748RAD</v>
      </c>
      <c r="B402" s="1">
        <v>748</v>
      </c>
      <c r="C402" s="2" t="s">
        <v>2423</v>
      </c>
      <c r="D402" s="2" t="s">
        <v>2016</v>
      </c>
      <c r="E402" s="18">
        <v>9</v>
      </c>
      <c r="F402" s="2" t="s">
        <v>1801</v>
      </c>
      <c r="G402" s="36">
        <v>0.6875</v>
      </c>
      <c r="H402" s="2" t="s">
        <v>1968</v>
      </c>
      <c r="I4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02" s="22">
        <v>5.5</v>
      </c>
      <c r="K402" s="22">
        <v>5.5</v>
      </c>
      <c r="L402" s="37">
        <v>36892</v>
      </c>
      <c r="M402" s="2"/>
      <c r="N402" s="2" t="s">
        <v>2017</v>
      </c>
      <c r="O402" s="2" t="s">
        <v>27</v>
      </c>
      <c r="P402" s="2" t="s">
        <v>26</v>
      </c>
    </row>
    <row r="403" spans="1:16" ht="20.100000000000001" customHeight="1" x14ac:dyDescent="0.25">
      <c r="A403" s="26" t="str">
        <f>CONCATENATE(LEFT(ConsumoConcreto[[#This Row],[RecebimentoID]],4),"CNSC",TEXT(ConsumoConcreto[[#This Row],[Ordem]],"0000"),UPPER(LEFT(ConsumoConcreto[[#This Row],[Destino]],3)))</f>
        <v>0184CNSC0801PAR</v>
      </c>
      <c r="B403" s="1">
        <v>801</v>
      </c>
      <c r="C403" s="2" t="s">
        <v>2424</v>
      </c>
      <c r="D403" s="2" t="s">
        <v>2021</v>
      </c>
      <c r="E403" s="18">
        <v>9</v>
      </c>
      <c r="F403" s="2" t="s">
        <v>25</v>
      </c>
      <c r="G403" s="36"/>
      <c r="H403" s="2" t="s">
        <v>1965</v>
      </c>
      <c r="I4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L403" s="37">
        <v>36892</v>
      </c>
      <c r="M403" s="2"/>
      <c r="N403" s="2" t="s">
        <v>1966</v>
      </c>
      <c r="O403" s="2" t="s">
        <v>27</v>
      </c>
      <c r="P403" s="2" t="s">
        <v>26</v>
      </c>
    </row>
    <row r="404" spans="1:16" ht="20.100000000000001" customHeight="1" x14ac:dyDescent="0.25">
      <c r="A404" s="26" t="str">
        <f>CONCATENATE(LEFT(ConsumoConcreto[[#This Row],[RecebimentoID]],4),"CNSC",TEXT(ConsumoConcreto[[#This Row],[Ordem]],"0000"),UPPER(LEFT(ConsumoConcreto[[#This Row],[Destino]],3)))</f>
        <v>0184CNSC0780RAD</v>
      </c>
      <c r="B404" s="1">
        <v>780</v>
      </c>
      <c r="C404" s="2" t="s">
        <v>2425</v>
      </c>
      <c r="D404" s="2" t="s">
        <v>2021</v>
      </c>
      <c r="E404" s="18">
        <v>9</v>
      </c>
      <c r="F404" s="2" t="s">
        <v>1801</v>
      </c>
      <c r="G404" s="36">
        <v>0.4861111111111111</v>
      </c>
      <c r="H404" s="2" t="s">
        <v>1968</v>
      </c>
      <c r="I4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04" s="22">
        <v>7</v>
      </c>
      <c r="K404" s="22">
        <v>7</v>
      </c>
      <c r="L404" s="37">
        <v>36892</v>
      </c>
      <c r="M404" s="2"/>
      <c r="N404" s="2" t="s">
        <v>1963</v>
      </c>
      <c r="O404" s="2" t="s">
        <v>27</v>
      </c>
      <c r="P404" s="2" t="s">
        <v>26</v>
      </c>
    </row>
    <row r="405" spans="1:16" ht="20.100000000000001" customHeight="1" x14ac:dyDescent="0.25">
      <c r="A405" s="26" t="str">
        <f>CONCATENATE(LEFT(ConsumoConcreto[[#This Row],[RecebimentoID]],4),"CNSC",TEXT(ConsumoConcreto[[#This Row],[Ordem]],"0000"),UPPER(LEFT(ConsumoConcreto[[#This Row],[Destino]],3)))</f>
        <v>0184CNSC0854PAR</v>
      </c>
      <c r="B405" s="1">
        <v>854</v>
      </c>
      <c r="C405" s="2" t="s">
        <v>2426</v>
      </c>
      <c r="D405" s="2" t="s">
        <v>2024</v>
      </c>
      <c r="E405" s="18">
        <v>9</v>
      </c>
      <c r="F405" s="2" t="s">
        <v>25</v>
      </c>
      <c r="G405" s="36">
        <v>0.72916666666666663</v>
      </c>
      <c r="H405" s="2" t="s">
        <v>1965</v>
      </c>
      <c r="I4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05" s="22">
        <v>14.5</v>
      </c>
      <c r="K405" s="22">
        <v>14.5</v>
      </c>
      <c r="L405" s="37">
        <v>36892</v>
      </c>
      <c r="M405" s="2"/>
      <c r="N405" s="2" t="s">
        <v>1966</v>
      </c>
      <c r="O405" s="2" t="s">
        <v>27</v>
      </c>
      <c r="P405" s="2" t="s">
        <v>26</v>
      </c>
    </row>
    <row r="406" spans="1:16" ht="20.100000000000001" customHeight="1" x14ac:dyDescent="0.25">
      <c r="A406" s="26" t="str">
        <f>CONCATENATE(LEFT(ConsumoConcreto[[#This Row],[RecebimentoID]],4),"CNSC",TEXT(ConsumoConcreto[[#This Row],[Ordem]],"0000"),UPPER(LEFT(ConsumoConcreto[[#This Row],[Destino]],3)))</f>
        <v>0184CNSC0810RAD</v>
      </c>
      <c r="B406" s="1">
        <v>810</v>
      </c>
      <c r="C406" s="2" t="s">
        <v>2427</v>
      </c>
      <c r="D406" s="2" t="s">
        <v>2024</v>
      </c>
      <c r="E406" s="18">
        <v>9</v>
      </c>
      <c r="F406" s="2" t="s">
        <v>1801</v>
      </c>
      <c r="G406" s="36">
        <v>0.54166666666666663</v>
      </c>
      <c r="H406" s="2" t="s">
        <v>1968</v>
      </c>
      <c r="I4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06" s="22">
        <v>5.5</v>
      </c>
      <c r="K406" s="22">
        <v>5.5</v>
      </c>
      <c r="L406" s="37">
        <v>36892</v>
      </c>
      <c r="M406" s="2"/>
      <c r="N406" s="2" t="s">
        <v>1963</v>
      </c>
      <c r="O406" s="2" t="s">
        <v>27</v>
      </c>
      <c r="P406" s="2" t="s">
        <v>26</v>
      </c>
    </row>
    <row r="407" spans="1:16" ht="20.100000000000001" customHeight="1" x14ac:dyDescent="0.25">
      <c r="A407" s="26" t="str">
        <f>CONCATENATE(LEFT(ConsumoConcreto[[#This Row],[RecebimentoID]],4),"CNSC",TEXT(ConsumoConcreto[[#This Row],[Ordem]],"0000"),UPPER(LEFT(ConsumoConcreto[[#This Row],[Destino]],3)))</f>
        <v>0184CNSC0890PAR</v>
      </c>
      <c r="B407" s="1">
        <v>890</v>
      </c>
      <c r="C407" s="2" t="s">
        <v>2428</v>
      </c>
      <c r="D407" s="2" t="s">
        <v>2027</v>
      </c>
      <c r="E407" s="18">
        <v>9</v>
      </c>
      <c r="F407" s="2" t="s">
        <v>25</v>
      </c>
      <c r="G407" s="36">
        <v>0.77916666666666667</v>
      </c>
      <c r="H407" s="2" t="s">
        <v>1965</v>
      </c>
      <c r="I4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07" s="22">
        <v>14.5</v>
      </c>
      <c r="K407" s="22">
        <v>14.5</v>
      </c>
      <c r="L407" s="37">
        <v>36892</v>
      </c>
      <c r="M407" s="2"/>
      <c r="N407" s="2" t="s">
        <v>1966</v>
      </c>
      <c r="O407" s="2" t="s">
        <v>27</v>
      </c>
      <c r="P407" s="2" t="s">
        <v>26</v>
      </c>
    </row>
    <row r="408" spans="1:16" ht="20.100000000000001" customHeight="1" x14ac:dyDescent="0.25">
      <c r="A408" s="26" t="str">
        <f>CONCATENATE(LEFT(ConsumoConcreto[[#This Row],[RecebimentoID]],4),"CNSC",TEXT(ConsumoConcreto[[#This Row],[Ordem]],"0000"),UPPER(LEFT(ConsumoConcreto[[#This Row],[Destino]],3)))</f>
        <v>0184CNSC0874RAD</v>
      </c>
      <c r="B408" s="1">
        <v>874</v>
      </c>
      <c r="C408" s="2" t="s">
        <v>2429</v>
      </c>
      <c r="D408" s="2" t="s">
        <v>2027</v>
      </c>
      <c r="E408" s="18">
        <v>9</v>
      </c>
      <c r="F408" s="2" t="s">
        <v>1801</v>
      </c>
      <c r="G408" s="36">
        <v>0.46527777777777773</v>
      </c>
      <c r="H408" s="2" t="s">
        <v>1968</v>
      </c>
      <c r="I4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08" s="22">
        <v>5.5</v>
      </c>
      <c r="K408" s="22">
        <v>5.5</v>
      </c>
      <c r="L408" s="37">
        <v>36892</v>
      </c>
      <c r="M408" s="2"/>
      <c r="N408" s="2" t="s">
        <v>1963</v>
      </c>
      <c r="O408" s="2" t="s">
        <v>27</v>
      </c>
      <c r="P408" s="2" t="s">
        <v>26</v>
      </c>
    </row>
    <row r="409" spans="1:16" ht="20.100000000000001" customHeight="1" x14ac:dyDescent="0.25">
      <c r="A409" s="26" t="str">
        <f>CONCATENATE(LEFT(ConsumoConcreto[[#This Row],[RecebimentoID]],4),"CNSC",TEXT(ConsumoConcreto[[#This Row],[Ordem]],"0000"),UPPER(LEFT(ConsumoConcreto[[#This Row],[Destino]],3)))</f>
        <v>0184CNSC0919PAR</v>
      </c>
      <c r="B409" s="1">
        <v>919</v>
      </c>
      <c r="C409" s="2" t="s">
        <v>2430</v>
      </c>
      <c r="D409" s="2" t="s">
        <v>2030</v>
      </c>
      <c r="E409" s="18">
        <v>9</v>
      </c>
      <c r="F409" s="2" t="s">
        <v>1780</v>
      </c>
      <c r="G409" s="36">
        <v>0.68055555555555547</v>
      </c>
      <c r="H409" s="2" t="s">
        <v>1965</v>
      </c>
      <c r="I4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09" s="22">
        <v>15</v>
      </c>
      <c r="K409" s="22">
        <v>13.946199999999999</v>
      </c>
      <c r="L409" s="37">
        <v>36892</v>
      </c>
      <c r="M409" s="2" t="s">
        <v>2082</v>
      </c>
      <c r="N409" s="2" t="s">
        <v>1966</v>
      </c>
      <c r="O409" s="2" t="s">
        <v>27</v>
      </c>
      <c r="P409" s="2" t="s">
        <v>26</v>
      </c>
    </row>
    <row r="410" spans="1:16" ht="20.100000000000001" customHeight="1" x14ac:dyDescent="0.25">
      <c r="A410" s="26" t="str">
        <f>CONCATENATE(LEFT(ConsumoConcreto[[#This Row],[RecebimentoID]],4),"CNSC",TEXT(ConsumoConcreto[[#This Row],[Ordem]],"0000"),UPPER(LEFT(ConsumoConcreto[[#This Row],[Destino]],3)))</f>
        <v>0184CNSC0904RAD</v>
      </c>
      <c r="B410" s="1">
        <v>904</v>
      </c>
      <c r="C410" s="2" t="s">
        <v>2431</v>
      </c>
      <c r="D410" s="2" t="s">
        <v>2030</v>
      </c>
      <c r="E410" s="18">
        <v>9</v>
      </c>
      <c r="F410" s="2" t="s">
        <v>1801</v>
      </c>
      <c r="G410" s="36"/>
      <c r="H410" s="2" t="s">
        <v>1968</v>
      </c>
      <c r="I4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10" s="22">
        <v>5.78</v>
      </c>
      <c r="K410" s="22">
        <v>5.4809999999999999</v>
      </c>
      <c r="L410" s="37">
        <v>36892</v>
      </c>
      <c r="M410" s="2"/>
      <c r="N410" s="2"/>
      <c r="O410" s="2" t="s">
        <v>27</v>
      </c>
      <c r="P410" s="2" t="s">
        <v>26</v>
      </c>
    </row>
    <row r="411" spans="1:16" ht="20.100000000000001" customHeight="1" x14ac:dyDescent="0.25">
      <c r="A411" s="26" t="str">
        <f>CONCATENATE(LEFT(ConsumoConcreto[[#This Row],[RecebimentoID]],4),"CNSC",TEXT(ConsumoConcreto[[#This Row],[Ordem]],"0000"),UPPER(LEFT(ConsumoConcreto[[#This Row],[Destino]],3)))</f>
        <v>0184CNSC0975PAR</v>
      </c>
      <c r="B411" s="1">
        <v>975</v>
      </c>
      <c r="C411" s="2" t="s">
        <v>2432</v>
      </c>
      <c r="D411" s="2" t="s">
        <v>2033</v>
      </c>
      <c r="E411" s="18">
        <v>9</v>
      </c>
      <c r="F411" s="2" t="s">
        <v>25</v>
      </c>
      <c r="G411" s="36">
        <v>0.72916666666666663</v>
      </c>
      <c r="H411" s="2" t="s">
        <v>1965</v>
      </c>
      <c r="I4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11" s="22">
        <v>14.5</v>
      </c>
      <c r="K411" s="22">
        <v>14.5</v>
      </c>
      <c r="L411" s="37">
        <v>36892</v>
      </c>
      <c r="M411" s="2"/>
      <c r="N411" s="2" t="s">
        <v>1966</v>
      </c>
      <c r="O411" s="2" t="s">
        <v>27</v>
      </c>
      <c r="P411" s="2" t="s">
        <v>26</v>
      </c>
    </row>
    <row r="412" spans="1:16" ht="20.100000000000001" customHeight="1" x14ac:dyDescent="0.25">
      <c r="A412" s="26" t="str">
        <f>CONCATENATE(LEFT(ConsumoConcreto[[#This Row],[RecebimentoID]],4),"CNSC",TEXT(ConsumoConcreto[[#This Row],[Ordem]],"0000"),UPPER(LEFT(ConsumoConcreto[[#This Row],[Destino]],3)))</f>
        <v>0184CNSC0936RAD</v>
      </c>
      <c r="B412" s="1">
        <v>936</v>
      </c>
      <c r="C412" s="2" t="s">
        <v>2433</v>
      </c>
      <c r="D412" s="2" t="s">
        <v>2033</v>
      </c>
      <c r="E412" s="18">
        <v>9</v>
      </c>
      <c r="F412" s="2" t="s">
        <v>1801</v>
      </c>
      <c r="G412" s="36">
        <v>0.60833333333333328</v>
      </c>
      <c r="H412" s="2" t="s">
        <v>1968</v>
      </c>
      <c r="I4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12" s="22">
        <v>5.5</v>
      </c>
      <c r="K412" s="22">
        <v>5.5</v>
      </c>
      <c r="L412" s="37">
        <v>36892</v>
      </c>
      <c r="M412" s="2"/>
      <c r="N412" s="2" t="s">
        <v>1966</v>
      </c>
      <c r="O412" s="2" t="s">
        <v>27</v>
      </c>
      <c r="P412" s="2" t="s">
        <v>26</v>
      </c>
    </row>
    <row r="413" spans="1:16" ht="20.100000000000001" customHeight="1" x14ac:dyDescent="0.25">
      <c r="A413" s="26" t="str">
        <f>CONCATENATE(LEFT(ConsumoConcreto[[#This Row],[RecebimentoID]],4),"CNSC",TEXT(ConsumoConcreto[[#This Row],[Ordem]],"0000"),UPPER(LEFT(ConsumoConcreto[[#This Row],[Destino]],3)))</f>
        <v>0184CNSC1059PAR</v>
      </c>
      <c r="B413" s="1">
        <v>1059</v>
      </c>
      <c r="C413" s="2" t="s">
        <v>2434</v>
      </c>
      <c r="D413" s="2" t="s">
        <v>2036</v>
      </c>
      <c r="E413" s="18">
        <v>9</v>
      </c>
      <c r="F413" s="2" t="s">
        <v>25</v>
      </c>
      <c r="G413" s="36">
        <v>0.8125</v>
      </c>
      <c r="H413" s="2" t="s">
        <v>1965</v>
      </c>
      <c r="I4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13" s="22">
        <v>14.5</v>
      </c>
      <c r="K413" s="22">
        <v>14.5</v>
      </c>
      <c r="L413" s="37">
        <v>36892</v>
      </c>
      <c r="M413" s="2"/>
      <c r="N413" s="2" t="s">
        <v>1966</v>
      </c>
      <c r="O413" s="2" t="s">
        <v>27</v>
      </c>
      <c r="P413" s="2" t="s">
        <v>26</v>
      </c>
    </row>
    <row r="414" spans="1:16" ht="20.100000000000001" customHeight="1" x14ac:dyDescent="0.25">
      <c r="A414" s="26" t="str">
        <f>CONCATENATE(LEFT(ConsumoConcreto[[#This Row],[RecebimentoID]],4),"CNSC",TEXT(ConsumoConcreto[[#This Row],[Ordem]],"0000"),UPPER(LEFT(ConsumoConcreto[[#This Row],[Destino]],3)))</f>
        <v>0184CNSC1039RAD</v>
      </c>
      <c r="B414" s="1">
        <v>1039</v>
      </c>
      <c r="C414" s="2" t="s">
        <v>2435</v>
      </c>
      <c r="D414" s="2" t="s">
        <v>2036</v>
      </c>
      <c r="E414" s="18">
        <v>9</v>
      </c>
      <c r="F414" s="2" t="s">
        <v>1801</v>
      </c>
      <c r="G414" s="36">
        <v>0.49652777777777773</v>
      </c>
      <c r="H414" s="2" t="s">
        <v>1968</v>
      </c>
      <c r="I4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14" s="22">
        <v>5.5</v>
      </c>
      <c r="K414" s="22">
        <v>5.5</v>
      </c>
      <c r="L414" s="37">
        <v>36892</v>
      </c>
      <c r="M414" s="2"/>
      <c r="N414" s="2" t="s">
        <v>1963</v>
      </c>
      <c r="O414" s="2" t="s">
        <v>27</v>
      </c>
      <c r="P414" s="2" t="s">
        <v>26</v>
      </c>
    </row>
    <row r="415" spans="1:16" ht="20.100000000000001" customHeight="1" x14ac:dyDescent="0.25">
      <c r="A415" s="26" t="str">
        <f>CONCATENATE(LEFT(ConsumoConcreto[[#This Row],[RecebimentoID]],4),"CNSC",TEXT(ConsumoConcreto[[#This Row],[Ordem]],"0000"),UPPER(LEFT(ConsumoConcreto[[#This Row],[Destino]],3)))</f>
        <v>0184CNSC0069PAR</v>
      </c>
      <c r="B415" s="1">
        <v>69</v>
      </c>
      <c r="C415" s="2" t="s">
        <v>2436</v>
      </c>
      <c r="D415" s="2" t="s">
        <v>1970</v>
      </c>
      <c r="E415" s="18">
        <v>10</v>
      </c>
      <c r="F415" s="2" t="s">
        <v>25</v>
      </c>
      <c r="G415" s="36"/>
      <c r="H415" s="2" t="s">
        <v>1965</v>
      </c>
      <c r="I4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15" s="22">
        <v>14.5</v>
      </c>
      <c r="K415" s="22">
        <v>14.5</v>
      </c>
      <c r="L415" s="37">
        <v>36892</v>
      </c>
      <c r="M415" s="2"/>
      <c r="N415" s="2" t="s">
        <v>1966</v>
      </c>
      <c r="O415" s="2" t="s">
        <v>27</v>
      </c>
      <c r="P415" s="2" t="s">
        <v>26</v>
      </c>
    </row>
    <row r="416" spans="1:16" ht="20.100000000000001" customHeight="1" x14ac:dyDescent="0.25">
      <c r="A416" s="26" t="str">
        <f>CONCATENATE(LEFT(ConsumoConcreto[[#This Row],[RecebimentoID]],4),"CNSC",TEXT(ConsumoConcreto[[#This Row],[Ordem]],"0000"),UPPER(LEFT(ConsumoConcreto[[#This Row],[Destino]],3)))</f>
        <v>0184CNSC0076PIL</v>
      </c>
      <c r="B416" s="1">
        <v>76</v>
      </c>
      <c r="C416" s="2" t="s">
        <v>2437</v>
      </c>
      <c r="D416" s="2" t="s">
        <v>1970</v>
      </c>
      <c r="E416" s="18">
        <v>10</v>
      </c>
      <c r="F416" s="2" t="s">
        <v>25</v>
      </c>
      <c r="G416" s="36"/>
      <c r="H416" s="2" t="s">
        <v>1962</v>
      </c>
      <c r="I4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416" s="22">
        <v>0.3</v>
      </c>
      <c r="K416" s="22">
        <v>0.1</v>
      </c>
      <c r="L416" s="37">
        <v>36892</v>
      </c>
      <c r="M416" s="2"/>
      <c r="N416" s="2" t="s">
        <v>1963</v>
      </c>
      <c r="O416" s="2" t="s">
        <v>27</v>
      </c>
      <c r="P416" s="2" t="s">
        <v>26</v>
      </c>
    </row>
    <row r="417" spans="1:16" ht="20.100000000000001" customHeight="1" x14ac:dyDescent="0.25">
      <c r="A417" s="26" t="str">
        <f>CONCATENATE(LEFT(ConsumoConcreto[[#This Row],[RecebimentoID]],4),"CNSC",TEXT(ConsumoConcreto[[#This Row],[Ordem]],"0000"),UPPER(LEFT(ConsumoConcreto[[#This Row],[Destino]],3)))</f>
        <v>0184CNSC0030RAD</v>
      </c>
      <c r="B417" s="1">
        <v>30</v>
      </c>
      <c r="C417" s="2" t="s">
        <v>2438</v>
      </c>
      <c r="D417" s="2" t="s">
        <v>1970</v>
      </c>
      <c r="E417" s="18">
        <v>10</v>
      </c>
      <c r="F417" s="2" t="s">
        <v>1801</v>
      </c>
      <c r="G417" s="36"/>
      <c r="H417" s="2" t="s">
        <v>1968</v>
      </c>
      <c r="I4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17" s="22">
        <v>5.5</v>
      </c>
      <c r="K417" s="22">
        <v>5.5</v>
      </c>
      <c r="L417" s="37">
        <v>36892</v>
      </c>
      <c r="M417" s="2"/>
      <c r="N417" s="2"/>
      <c r="O417" s="2" t="s">
        <v>27</v>
      </c>
      <c r="P417" s="2" t="s">
        <v>26</v>
      </c>
    </row>
    <row r="418" spans="1:16" ht="20.100000000000001" customHeight="1" x14ac:dyDescent="0.25">
      <c r="A418" s="26" t="str">
        <f>CONCATENATE(LEFT(ConsumoConcreto[[#This Row],[RecebimentoID]],4),"CNSC",TEXT(ConsumoConcreto[[#This Row],[Ordem]],"0000"),UPPER(LEFT(ConsumoConcreto[[#This Row],[Destino]],3)))</f>
        <v>0184CNSC0135PAR</v>
      </c>
      <c r="B418" s="1">
        <v>135</v>
      </c>
      <c r="C418" s="2" t="s">
        <v>2439</v>
      </c>
      <c r="D418" s="2" t="s">
        <v>1975</v>
      </c>
      <c r="E418" s="18">
        <v>10</v>
      </c>
      <c r="F418" s="2" t="s">
        <v>25</v>
      </c>
      <c r="G418" s="36"/>
      <c r="H418" s="2" t="s">
        <v>1965</v>
      </c>
      <c r="I4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18" s="22">
        <v>14.5</v>
      </c>
      <c r="K418" s="22">
        <v>14</v>
      </c>
      <c r="L418" s="37">
        <v>36892</v>
      </c>
      <c r="M418" s="2"/>
      <c r="N418" s="2" t="s">
        <v>1966</v>
      </c>
      <c r="O418" s="2" t="s">
        <v>27</v>
      </c>
      <c r="P418" s="2" t="s">
        <v>26</v>
      </c>
    </row>
    <row r="419" spans="1:16" ht="20.100000000000001" customHeight="1" x14ac:dyDescent="0.25">
      <c r="A419" s="26" t="str">
        <f>CONCATENATE(LEFT(ConsumoConcreto[[#This Row],[RecebimentoID]],4),"CNSC",TEXT(ConsumoConcreto[[#This Row],[Ordem]],"0000"),UPPER(LEFT(ConsumoConcreto[[#This Row],[Destino]],3)))</f>
        <v>0184CNSC0099RAD</v>
      </c>
      <c r="B419" s="1">
        <v>99</v>
      </c>
      <c r="C419" s="2" t="s">
        <v>2440</v>
      </c>
      <c r="D419" s="2" t="s">
        <v>1975</v>
      </c>
      <c r="E419" s="18">
        <v>10</v>
      </c>
      <c r="F419" s="2" t="s">
        <v>1801</v>
      </c>
      <c r="G419" s="36"/>
      <c r="H419" s="2" t="s">
        <v>1968</v>
      </c>
      <c r="I4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19" s="22">
        <v>5.5</v>
      </c>
      <c r="K419" s="22">
        <v>5.5</v>
      </c>
      <c r="L419" s="37">
        <v>36892</v>
      </c>
      <c r="M419" s="2"/>
      <c r="N419" s="2" t="s">
        <v>1966</v>
      </c>
      <c r="O419" s="2" t="s">
        <v>27</v>
      </c>
      <c r="P419" s="2" t="s">
        <v>26</v>
      </c>
    </row>
    <row r="420" spans="1:16" ht="20.100000000000001" customHeight="1" x14ac:dyDescent="0.25">
      <c r="A420" s="26" t="str">
        <f>CONCATENATE(LEFT(ConsumoConcreto[[#This Row],[RecebimentoID]],4),"CNSC",TEXT(ConsumoConcreto[[#This Row],[Ordem]],"0000"),UPPER(LEFT(ConsumoConcreto[[#This Row],[Destino]],3)))</f>
        <v>0184CNSC0159PIL</v>
      </c>
      <c r="B420" s="1">
        <v>159</v>
      </c>
      <c r="C420" s="2" t="s">
        <v>2441</v>
      </c>
      <c r="D420" s="2" t="s">
        <v>1975</v>
      </c>
      <c r="E420" s="18">
        <v>10</v>
      </c>
      <c r="F420" s="2" t="s">
        <v>1801</v>
      </c>
      <c r="G420" s="36"/>
      <c r="H420" s="2" t="s">
        <v>1962</v>
      </c>
      <c r="I4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420" s="22">
        <v>0.17</v>
      </c>
      <c r="K420" s="22">
        <v>0.1</v>
      </c>
      <c r="L420" s="37">
        <v>36892</v>
      </c>
      <c r="M420" s="2"/>
      <c r="N420" s="2" t="s">
        <v>1963</v>
      </c>
      <c r="O420" s="2" t="s">
        <v>27</v>
      </c>
      <c r="P420" s="2" t="s">
        <v>26</v>
      </c>
    </row>
    <row r="421" spans="1:16" ht="20.100000000000001" customHeight="1" x14ac:dyDescent="0.25">
      <c r="A421" s="26" t="str">
        <f>CONCATENATE(LEFT(ConsumoConcreto[[#This Row],[RecebimentoID]],4),"CNSC",TEXT(ConsumoConcreto[[#This Row],[Ordem]],"0000"),UPPER(LEFT(ConsumoConcreto[[#This Row],[Destino]],3)))</f>
        <v>0184CNSC0217PAR</v>
      </c>
      <c r="B421" s="1">
        <v>217</v>
      </c>
      <c r="C421" s="2" t="s">
        <v>2442</v>
      </c>
      <c r="D421" s="2" t="s">
        <v>1979</v>
      </c>
      <c r="E421" s="18">
        <v>10</v>
      </c>
      <c r="F421" s="2" t="s">
        <v>25</v>
      </c>
      <c r="G421" s="36">
        <v>0.83333333333333337</v>
      </c>
      <c r="H421" s="2" t="s">
        <v>1965</v>
      </c>
      <c r="I4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21" s="22">
        <v>15</v>
      </c>
      <c r="K421" s="22">
        <v>15</v>
      </c>
      <c r="L421" s="37">
        <v>36892</v>
      </c>
      <c r="M421" s="2"/>
      <c r="N421" s="2" t="s">
        <v>1966</v>
      </c>
      <c r="O421" s="2" t="s">
        <v>27</v>
      </c>
      <c r="P421" s="2" t="s">
        <v>26</v>
      </c>
    </row>
    <row r="422" spans="1:16" ht="20.100000000000001" customHeight="1" x14ac:dyDescent="0.25">
      <c r="A422" s="26" t="str">
        <f>CONCATENATE(LEFT(ConsumoConcreto[[#This Row],[RecebimentoID]],4),"CNSC",TEXT(ConsumoConcreto[[#This Row],[Ordem]],"0000"),UPPER(LEFT(ConsumoConcreto[[#This Row],[Destino]],3)))</f>
        <v>0184CNSC0186RAD</v>
      </c>
      <c r="B422" s="1">
        <v>186</v>
      </c>
      <c r="C422" s="2" t="s">
        <v>2443</v>
      </c>
      <c r="D422" s="2" t="s">
        <v>1979</v>
      </c>
      <c r="E422" s="18">
        <v>10</v>
      </c>
      <c r="F422" s="2" t="s">
        <v>1801</v>
      </c>
      <c r="G422" s="36"/>
      <c r="H422" s="2" t="s">
        <v>1968</v>
      </c>
      <c r="I4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22" s="22">
        <v>6.5</v>
      </c>
      <c r="K422" s="22">
        <v>5.5</v>
      </c>
      <c r="L422" s="37">
        <v>36892</v>
      </c>
      <c r="M422" s="2" t="s">
        <v>2252</v>
      </c>
      <c r="N422" s="2" t="s">
        <v>1966</v>
      </c>
      <c r="O422" s="2" t="s">
        <v>27</v>
      </c>
      <c r="P422" s="2" t="s">
        <v>26</v>
      </c>
    </row>
    <row r="423" spans="1:16" ht="20.100000000000001" customHeight="1" x14ac:dyDescent="0.25">
      <c r="A423" s="26" t="str">
        <f>CONCATENATE(LEFT(ConsumoConcreto[[#This Row],[RecebimentoID]],4),"CNSC",TEXT(ConsumoConcreto[[#This Row],[Ordem]],"0000"),UPPER(LEFT(ConsumoConcreto[[#This Row],[Destino]],3)))</f>
        <v>0184CNSC0281PAR</v>
      </c>
      <c r="B423" s="1">
        <v>281</v>
      </c>
      <c r="C423" s="2" t="s">
        <v>2444</v>
      </c>
      <c r="D423" s="2" t="s">
        <v>1985</v>
      </c>
      <c r="E423" s="18">
        <v>10</v>
      </c>
      <c r="F423" s="2" t="s">
        <v>25</v>
      </c>
      <c r="G423" s="36">
        <v>0.9291666666666667</v>
      </c>
      <c r="H423" s="2" t="s">
        <v>1965</v>
      </c>
      <c r="I4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23" s="22">
        <v>18</v>
      </c>
      <c r="K423" s="22">
        <v>18</v>
      </c>
      <c r="L423" s="37">
        <v>36892</v>
      </c>
      <c r="M423" s="2" t="s">
        <v>2445</v>
      </c>
      <c r="N423" s="2" t="s">
        <v>2017</v>
      </c>
      <c r="O423" s="2" t="s">
        <v>27</v>
      </c>
      <c r="P423" s="2" t="s">
        <v>26</v>
      </c>
    </row>
    <row r="424" spans="1:16" ht="20.100000000000001" customHeight="1" x14ac:dyDescent="0.25">
      <c r="A424" s="26" t="str">
        <f>CONCATENATE(LEFT(ConsumoConcreto[[#This Row],[RecebimentoID]],4),"CNSC",TEXT(ConsumoConcreto[[#This Row],[Ordem]],"0000"),UPPER(LEFT(ConsumoConcreto[[#This Row],[Destino]],3)))</f>
        <v>0184CNSC0258RAD</v>
      </c>
      <c r="B424" s="1">
        <v>258</v>
      </c>
      <c r="C424" s="2" t="s">
        <v>2446</v>
      </c>
      <c r="D424" s="2" t="s">
        <v>1985</v>
      </c>
      <c r="E424" s="18">
        <v>10</v>
      </c>
      <c r="F424" s="2" t="s">
        <v>1801</v>
      </c>
      <c r="G424" s="36">
        <v>0.74375000000000002</v>
      </c>
      <c r="H424" s="2" t="s">
        <v>1968</v>
      </c>
      <c r="I4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24" s="22">
        <v>7</v>
      </c>
      <c r="K424" s="22">
        <v>7</v>
      </c>
      <c r="L424" s="37">
        <v>36892</v>
      </c>
      <c r="M424" s="2"/>
      <c r="N424" s="2" t="s">
        <v>1963</v>
      </c>
      <c r="O424" s="2" t="s">
        <v>27</v>
      </c>
      <c r="P424" s="2" t="s">
        <v>26</v>
      </c>
    </row>
    <row r="425" spans="1:16" ht="20.100000000000001" customHeight="1" x14ac:dyDescent="0.25">
      <c r="A425" s="26" t="str">
        <f>CONCATENATE(LEFT(ConsumoConcreto[[#This Row],[RecebimentoID]],4),"CNSC",TEXT(ConsumoConcreto[[#This Row],[Ordem]],"0000"),UPPER(LEFT(ConsumoConcreto[[#This Row],[Destino]],3)))</f>
        <v>0184CNSC0321PAR</v>
      </c>
      <c r="B425" s="1">
        <v>321</v>
      </c>
      <c r="C425" s="2" t="s">
        <v>2447</v>
      </c>
      <c r="D425" s="2" t="s">
        <v>1989</v>
      </c>
      <c r="E425" s="18">
        <v>10</v>
      </c>
      <c r="F425" s="2" t="s">
        <v>25</v>
      </c>
      <c r="G425" s="36">
        <v>0.59027777777777779</v>
      </c>
      <c r="H425" s="2" t="s">
        <v>1965</v>
      </c>
      <c r="I4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25" s="22">
        <v>14.5</v>
      </c>
      <c r="K425" s="22">
        <v>14.5</v>
      </c>
      <c r="L425" s="37">
        <v>36892</v>
      </c>
      <c r="M425" s="2"/>
      <c r="N425" s="2" t="s">
        <v>1966</v>
      </c>
      <c r="O425" s="2" t="s">
        <v>27</v>
      </c>
      <c r="P425" s="2" t="s">
        <v>26</v>
      </c>
    </row>
    <row r="426" spans="1:16" ht="20.100000000000001" customHeight="1" x14ac:dyDescent="0.25">
      <c r="A426" s="26" t="str">
        <f>CONCATENATE(LEFT(ConsumoConcreto[[#This Row],[RecebimentoID]],4),"CNSC",TEXT(ConsumoConcreto[[#This Row],[Ordem]],"0000"),UPPER(LEFT(ConsumoConcreto[[#This Row],[Destino]],3)))</f>
        <v>0184CNSC0309RAD</v>
      </c>
      <c r="B426" s="1">
        <v>309</v>
      </c>
      <c r="C426" s="2" t="s">
        <v>2448</v>
      </c>
      <c r="D426" s="2" t="s">
        <v>1989</v>
      </c>
      <c r="E426" s="18">
        <v>10</v>
      </c>
      <c r="F426" s="2" t="s">
        <v>1801</v>
      </c>
      <c r="G426" s="36">
        <v>0.50694444444444442</v>
      </c>
      <c r="H426" s="2" t="s">
        <v>1968</v>
      </c>
      <c r="I4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26" s="22">
        <v>5.5</v>
      </c>
      <c r="K426" s="22">
        <v>5.5</v>
      </c>
      <c r="L426" s="37">
        <v>36892</v>
      </c>
      <c r="M426" s="2"/>
      <c r="N426" s="2" t="s">
        <v>1963</v>
      </c>
      <c r="O426" s="2" t="s">
        <v>27</v>
      </c>
      <c r="P426" s="2" t="s">
        <v>26</v>
      </c>
    </row>
    <row r="427" spans="1:16" ht="20.100000000000001" customHeight="1" x14ac:dyDescent="0.25">
      <c r="A427" s="26" t="str">
        <f>CONCATENATE(LEFT(ConsumoConcreto[[#This Row],[RecebimentoID]],4),"CNSC",TEXT(ConsumoConcreto[[#This Row],[Ordem]],"0000"),UPPER(LEFT(ConsumoConcreto[[#This Row],[Destino]],3)))</f>
        <v>0184CNSC0357PAR</v>
      </c>
      <c r="B427" s="1">
        <v>357</v>
      </c>
      <c r="C427" s="2" t="s">
        <v>2449</v>
      </c>
      <c r="D427" s="2" t="s">
        <v>1992</v>
      </c>
      <c r="E427" s="18">
        <v>10</v>
      </c>
      <c r="F427" s="2" t="s">
        <v>25</v>
      </c>
      <c r="G427" s="36">
        <v>0.65277777777777779</v>
      </c>
      <c r="H427" s="2" t="s">
        <v>1965</v>
      </c>
      <c r="I4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27" s="22">
        <v>14.5</v>
      </c>
      <c r="K427" s="22">
        <v>14.5</v>
      </c>
      <c r="L427" s="37">
        <v>36892</v>
      </c>
      <c r="M427" s="2"/>
      <c r="N427" s="2" t="s">
        <v>1966</v>
      </c>
      <c r="O427" s="2" t="s">
        <v>27</v>
      </c>
      <c r="P427" s="2" t="s">
        <v>26</v>
      </c>
    </row>
    <row r="428" spans="1:16" ht="20.100000000000001" customHeight="1" x14ac:dyDescent="0.25">
      <c r="A428" s="26" t="str">
        <f>CONCATENATE(LEFT(ConsumoConcreto[[#This Row],[RecebimentoID]],4),"CNSC",TEXT(ConsumoConcreto[[#This Row],[Ordem]],"0000"),UPPER(LEFT(ConsumoConcreto[[#This Row],[Destino]],3)))</f>
        <v>0184CNSC0339RAD</v>
      </c>
      <c r="B428" s="1">
        <v>339</v>
      </c>
      <c r="C428" s="2" t="s">
        <v>2450</v>
      </c>
      <c r="D428" s="2" t="s">
        <v>1992</v>
      </c>
      <c r="E428" s="18">
        <v>10</v>
      </c>
      <c r="F428" s="2" t="s">
        <v>1801</v>
      </c>
      <c r="G428" s="36">
        <v>0.56180555555555556</v>
      </c>
      <c r="H428" s="2" t="s">
        <v>1968</v>
      </c>
      <c r="I4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28" s="22">
        <v>5.5</v>
      </c>
      <c r="K428" s="22">
        <v>5.5</v>
      </c>
      <c r="L428" s="37">
        <v>36892</v>
      </c>
      <c r="M428" s="2" t="s">
        <v>2451</v>
      </c>
      <c r="N428" s="2" t="s">
        <v>2017</v>
      </c>
      <c r="O428" s="2" t="s">
        <v>27</v>
      </c>
      <c r="P428" s="2" t="s">
        <v>26</v>
      </c>
    </row>
    <row r="429" spans="1:16" ht="20.100000000000001" customHeight="1" x14ac:dyDescent="0.25">
      <c r="A429" s="26" t="str">
        <f>CONCATENATE(LEFT(ConsumoConcreto[[#This Row],[RecebimentoID]],4),"CNSC",TEXT(ConsumoConcreto[[#This Row],[Ordem]],"0000"),UPPER(LEFT(ConsumoConcreto[[#This Row],[Destino]],3)))</f>
        <v>0184CNSC0406PIL</v>
      </c>
      <c r="B429" s="1">
        <v>406</v>
      </c>
      <c r="C429" s="2" t="s">
        <v>2452</v>
      </c>
      <c r="D429" s="2" t="s">
        <v>1995</v>
      </c>
      <c r="E429" s="18">
        <v>10</v>
      </c>
      <c r="F429" s="2" t="s">
        <v>25</v>
      </c>
      <c r="G429" s="36"/>
      <c r="H429" s="2" t="s">
        <v>1962</v>
      </c>
      <c r="I4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429" s="22">
        <v>0.1</v>
      </c>
      <c r="K429" s="22">
        <v>0.1</v>
      </c>
      <c r="L429" s="37">
        <v>36892</v>
      </c>
      <c r="M429" s="2"/>
      <c r="N429" s="2" t="s">
        <v>1963</v>
      </c>
      <c r="O429" s="2" t="s">
        <v>27</v>
      </c>
      <c r="P429" s="2" t="s">
        <v>26</v>
      </c>
    </row>
    <row r="430" spans="1:16" ht="20.100000000000001" customHeight="1" x14ac:dyDescent="0.25">
      <c r="A430" s="26" t="str">
        <f>CONCATENATE(LEFT(ConsumoConcreto[[#This Row],[RecebimentoID]],4),"CNSC",TEXT(ConsumoConcreto[[#This Row],[Ordem]],"0000"),UPPER(LEFT(ConsumoConcreto[[#This Row],[Destino]],3)))</f>
        <v>0184CNSC0389PAR</v>
      </c>
      <c r="B430" s="1">
        <v>389</v>
      </c>
      <c r="C430" s="2" t="s">
        <v>2453</v>
      </c>
      <c r="D430" s="2" t="s">
        <v>1995</v>
      </c>
      <c r="E430" s="18">
        <v>10</v>
      </c>
      <c r="F430" s="2" t="s">
        <v>25</v>
      </c>
      <c r="G430" s="36">
        <v>0.8125</v>
      </c>
      <c r="H430" s="2" t="s">
        <v>1965</v>
      </c>
      <c r="I4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30" s="22">
        <v>18.5</v>
      </c>
      <c r="K430" s="22">
        <v>18.5</v>
      </c>
      <c r="L430" s="37">
        <v>36892</v>
      </c>
      <c r="M430" s="2"/>
      <c r="N430" s="2" t="s">
        <v>1966</v>
      </c>
      <c r="O430" s="2" t="s">
        <v>27</v>
      </c>
      <c r="P430" s="2" t="s">
        <v>26</v>
      </c>
    </row>
    <row r="431" spans="1:16" ht="20.100000000000001" customHeight="1" x14ac:dyDescent="0.25">
      <c r="A431" s="26" t="str">
        <f>CONCATENATE(LEFT(ConsumoConcreto[[#This Row],[RecebimentoID]],4),"CNSC",TEXT(ConsumoConcreto[[#This Row],[Ordem]],"0000"),UPPER(LEFT(ConsumoConcreto[[#This Row],[Destino]],3)))</f>
        <v>0184CNSC0367RAD</v>
      </c>
      <c r="B431" s="1">
        <v>367</v>
      </c>
      <c r="C431" s="2" t="s">
        <v>2454</v>
      </c>
      <c r="D431" s="2" t="s">
        <v>1995</v>
      </c>
      <c r="E431" s="18">
        <v>10</v>
      </c>
      <c r="F431" s="2" t="s">
        <v>1801</v>
      </c>
      <c r="G431" s="36">
        <v>0.49722222222222223</v>
      </c>
      <c r="H431" s="2" t="s">
        <v>1968</v>
      </c>
      <c r="I4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31" s="22">
        <v>7</v>
      </c>
      <c r="K431" s="22">
        <v>7</v>
      </c>
      <c r="L431" s="37">
        <v>36892</v>
      </c>
      <c r="M431" s="2"/>
      <c r="N431" s="2" t="s">
        <v>1963</v>
      </c>
      <c r="O431" s="2" t="s">
        <v>27</v>
      </c>
      <c r="P431" s="2" t="s">
        <v>26</v>
      </c>
    </row>
    <row r="432" spans="1:16" ht="20.100000000000001" customHeight="1" x14ac:dyDescent="0.25">
      <c r="A432" s="26" t="str">
        <f>CONCATENATE(LEFT(ConsumoConcreto[[#This Row],[RecebimentoID]],4),"CNSC",TEXT(ConsumoConcreto[[#This Row],[Ordem]],"0000"),UPPER(LEFT(ConsumoConcreto[[#This Row],[Destino]],3)))</f>
        <v>0184CNSC0431PAR</v>
      </c>
      <c r="B432" s="1">
        <v>431</v>
      </c>
      <c r="C432" s="2" t="s">
        <v>2455</v>
      </c>
      <c r="D432" s="2" t="s">
        <v>1999</v>
      </c>
      <c r="E432" s="18">
        <v>10</v>
      </c>
      <c r="F432" s="2" t="s">
        <v>25</v>
      </c>
      <c r="G432" s="36">
        <v>0.75138888888888899</v>
      </c>
      <c r="H432" s="2" t="s">
        <v>1965</v>
      </c>
      <c r="I4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32" s="22">
        <v>14.5</v>
      </c>
      <c r="K432" s="22">
        <v>14.5</v>
      </c>
      <c r="L432" s="37">
        <v>36892</v>
      </c>
      <c r="M432" s="2"/>
      <c r="N432" s="2" t="s">
        <v>1966</v>
      </c>
      <c r="O432" s="2" t="s">
        <v>27</v>
      </c>
      <c r="P432" s="2" t="s">
        <v>26</v>
      </c>
    </row>
    <row r="433" spans="1:16" ht="20.100000000000001" customHeight="1" x14ac:dyDescent="0.25">
      <c r="A433" s="26" t="str">
        <f>CONCATENATE(LEFT(ConsumoConcreto[[#This Row],[RecebimentoID]],4),"CNSC",TEXT(ConsumoConcreto[[#This Row],[Ordem]],"0000"),UPPER(LEFT(ConsumoConcreto[[#This Row],[Destino]],3)))</f>
        <v>0184CNSC0424RAD</v>
      </c>
      <c r="B433" s="1">
        <v>424</v>
      </c>
      <c r="C433" s="2" t="s">
        <v>2456</v>
      </c>
      <c r="D433" s="2" t="s">
        <v>1999</v>
      </c>
      <c r="E433" s="18">
        <v>10</v>
      </c>
      <c r="F433" s="2" t="s">
        <v>1801</v>
      </c>
      <c r="G433" s="36">
        <v>0.72916666666666663</v>
      </c>
      <c r="H433" s="2" t="s">
        <v>1968</v>
      </c>
      <c r="I4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33" s="22">
        <v>5.5</v>
      </c>
      <c r="K433" s="22">
        <v>5</v>
      </c>
      <c r="L433" s="37">
        <v>36892</v>
      </c>
      <c r="M433" s="2" t="s">
        <v>2457</v>
      </c>
      <c r="N433" s="2" t="s">
        <v>1963</v>
      </c>
      <c r="O433" s="2" t="s">
        <v>27</v>
      </c>
      <c r="P433" s="2" t="s">
        <v>26</v>
      </c>
    </row>
    <row r="434" spans="1:16" ht="20.100000000000001" customHeight="1" x14ac:dyDescent="0.25">
      <c r="A434" s="26" t="str">
        <f>CONCATENATE(LEFT(ConsumoConcreto[[#This Row],[RecebimentoID]],4),"CNSC",TEXT(ConsumoConcreto[[#This Row],[Ordem]],"0000"),UPPER(LEFT(ConsumoConcreto[[#This Row],[Destino]],3)))</f>
        <v>0184CNSC0462PAR</v>
      </c>
      <c r="B434" s="1">
        <v>462</v>
      </c>
      <c r="C434" s="2" t="s">
        <v>2458</v>
      </c>
      <c r="D434" s="2" t="s">
        <v>2002</v>
      </c>
      <c r="E434" s="18">
        <v>10</v>
      </c>
      <c r="F434" s="2" t="s">
        <v>25</v>
      </c>
      <c r="G434" s="36">
        <v>0.79861111111111116</v>
      </c>
      <c r="H434" s="2" t="s">
        <v>1965</v>
      </c>
      <c r="I4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34" s="22">
        <v>14</v>
      </c>
      <c r="K434" s="22">
        <v>14</v>
      </c>
      <c r="L434" s="37">
        <v>36892</v>
      </c>
      <c r="M434" s="2"/>
      <c r="N434" s="2" t="s">
        <v>1966</v>
      </c>
      <c r="O434" s="2" t="s">
        <v>27</v>
      </c>
      <c r="P434" s="2" t="s">
        <v>26</v>
      </c>
    </row>
    <row r="435" spans="1:16" ht="20.100000000000001" customHeight="1" x14ac:dyDescent="0.25">
      <c r="A435" s="26" t="str">
        <f>CONCATENATE(LEFT(ConsumoConcreto[[#This Row],[RecebimentoID]],4),"CNSC",TEXT(ConsumoConcreto[[#This Row],[Ordem]],"0000"),UPPER(LEFT(ConsumoConcreto[[#This Row],[Destino]],3)))</f>
        <v>0184CNSC0443RAD</v>
      </c>
      <c r="B435" s="1">
        <v>443</v>
      </c>
      <c r="C435" s="2" t="s">
        <v>2459</v>
      </c>
      <c r="D435" s="2" t="s">
        <v>2002</v>
      </c>
      <c r="E435" s="18">
        <v>10</v>
      </c>
      <c r="F435" s="2" t="s">
        <v>1801</v>
      </c>
      <c r="G435" s="36">
        <v>0.69097222222222221</v>
      </c>
      <c r="H435" s="2" t="s">
        <v>1968</v>
      </c>
      <c r="I4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35" s="22">
        <v>5.5</v>
      </c>
      <c r="K435" s="22">
        <v>5.5</v>
      </c>
      <c r="L435" s="37">
        <v>36892</v>
      </c>
      <c r="M435" s="2"/>
      <c r="N435" s="2" t="s">
        <v>1963</v>
      </c>
      <c r="O435" s="2" t="s">
        <v>27</v>
      </c>
      <c r="P435" s="2" t="s">
        <v>26</v>
      </c>
    </row>
    <row r="436" spans="1:16" ht="20.100000000000001" customHeight="1" x14ac:dyDescent="0.25">
      <c r="A436" s="26" t="str">
        <f>CONCATENATE(LEFT(ConsumoConcreto[[#This Row],[RecebimentoID]],4),"CNSC",TEXT(ConsumoConcreto[[#This Row],[Ordem]],"0000"),UPPER(LEFT(ConsumoConcreto[[#This Row],[Destino]],3)))</f>
        <v>0184CNSC0504PAR</v>
      </c>
      <c r="B436" s="1">
        <v>504</v>
      </c>
      <c r="C436" s="2" t="s">
        <v>2460</v>
      </c>
      <c r="D436" s="2" t="s">
        <v>2005</v>
      </c>
      <c r="E436" s="18">
        <v>10</v>
      </c>
      <c r="F436" s="2" t="s">
        <v>25</v>
      </c>
      <c r="G436" s="36">
        <v>0.85902777777777783</v>
      </c>
      <c r="H436" s="2" t="s">
        <v>1965</v>
      </c>
      <c r="I4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36" s="22">
        <v>14.5</v>
      </c>
      <c r="K436" s="22">
        <v>14.5</v>
      </c>
      <c r="L436" s="37">
        <v>36892</v>
      </c>
      <c r="M436" s="2"/>
      <c r="N436" s="2" t="s">
        <v>1966</v>
      </c>
      <c r="O436" s="2" t="s">
        <v>27</v>
      </c>
      <c r="P436" s="2" t="s">
        <v>26</v>
      </c>
    </row>
    <row r="437" spans="1:16" ht="20.100000000000001" customHeight="1" x14ac:dyDescent="0.25">
      <c r="A437" s="26" t="str">
        <f>CONCATENATE(LEFT(ConsumoConcreto[[#This Row],[RecebimentoID]],4),"CNSC",TEXT(ConsumoConcreto[[#This Row],[Ordem]],"0000"),UPPER(LEFT(ConsumoConcreto[[#This Row],[Destino]],3)))</f>
        <v>0184CNSC0473RAD</v>
      </c>
      <c r="B437" s="1">
        <v>473</v>
      </c>
      <c r="C437" s="2" t="s">
        <v>2461</v>
      </c>
      <c r="D437" s="2" t="s">
        <v>2005</v>
      </c>
      <c r="E437" s="18">
        <v>10</v>
      </c>
      <c r="F437" s="2" t="s">
        <v>1801</v>
      </c>
      <c r="G437" s="36">
        <v>0.59583333333333333</v>
      </c>
      <c r="H437" s="2" t="s">
        <v>1968</v>
      </c>
      <c r="I4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37" s="22">
        <v>5.5</v>
      </c>
      <c r="K437" s="22">
        <v>5.5</v>
      </c>
      <c r="L437" s="37">
        <v>36892</v>
      </c>
      <c r="M437" s="2"/>
      <c r="N437" s="2" t="s">
        <v>1963</v>
      </c>
      <c r="O437" s="2" t="s">
        <v>27</v>
      </c>
      <c r="P437" s="2" t="s">
        <v>26</v>
      </c>
    </row>
    <row r="438" spans="1:16" ht="20.100000000000001" customHeight="1" x14ac:dyDescent="0.25">
      <c r="A438" s="26" t="str">
        <f>CONCATENATE(LEFT(ConsumoConcreto[[#This Row],[RecebimentoID]],4),"CNSC",TEXT(ConsumoConcreto[[#This Row],[Ordem]],"0000"),UPPER(LEFT(ConsumoConcreto[[#This Row],[Destino]],3)))</f>
        <v>0184CNSC0582PAR</v>
      </c>
      <c r="B438" s="1">
        <v>582</v>
      </c>
      <c r="C438" s="2" t="s">
        <v>2462</v>
      </c>
      <c r="D438" s="2" t="s">
        <v>2007</v>
      </c>
      <c r="E438" s="18">
        <v>10</v>
      </c>
      <c r="F438" s="2" t="s">
        <v>25</v>
      </c>
      <c r="G438" s="36">
        <v>0.84375</v>
      </c>
      <c r="H438" s="2" t="s">
        <v>1965</v>
      </c>
      <c r="I4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38" s="22">
        <v>16.5</v>
      </c>
      <c r="K438" s="22">
        <v>16.5</v>
      </c>
      <c r="L438" s="37">
        <v>36892</v>
      </c>
      <c r="M438" s="2" t="s">
        <v>2463</v>
      </c>
      <c r="N438" s="2" t="s">
        <v>1966</v>
      </c>
      <c r="O438" s="2" t="s">
        <v>27</v>
      </c>
      <c r="P438" s="2" t="s">
        <v>26</v>
      </c>
    </row>
    <row r="439" spans="1:16" ht="20.100000000000001" customHeight="1" x14ac:dyDescent="0.25">
      <c r="A439" s="26" t="str">
        <f>CONCATENATE(LEFT(ConsumoConcreto[[#This Row],[RecebimentoID]],4),"CNSC",TEXT(ConsumoConcreto[[#This Row],[Ordem]],"0000"),UPPER(LEFT(ConsumoConcreto[[#This Row],[Destino]],3)))</f>
        <v>0184CNSC0560RAD</v>
      </c>
      <c r="B439" s="1">
        <v>560</v>
      </c>
      <c r="C439" s="2" t="s">
        <v>2464</v>
      </c>
      <c r="D439" s="2" t="s">
        <v>2007</v>
      </c>
      <c r="E439" s="18">
        <v>10</v>
      </c>
      <c r="F439" s="2" t="s">
        <v>1801</v>
      </c>
      <c r="G439" s="36"/>
      <c r="H439" s="2" t="s">
        <v>1968</v>
      </c>
      <c r="I4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39" s="22">
        <v>5.5</v>
      </c>
      <c r="K439" s="22">
        <v>5.5</v>
      </c>
      <c r="L439" s="37">
        <v>36892</v>
      </c>
      <c r="M439" s="2"/>
      <c r="N439" s="2" t="s">
        <v>1963</v>
      </c>
      <c r="O439" s="2" t="s">
        <v>27</v>
      </c>
      <c r="P439" s="2" t="s">
        <v>26</v>
      </c>
    </row>
    <row r="440" spans="1:16" ht="20.100000000000001" customHeight="1" x14ac:dyDescent="0.25">
      <c r="A440" s="26" t="str">
        <f>CONCATENATE(LEFT(ConsumoConcreto[[#This Row],[RecebimentoID]],4),"CNSC",TEXT(ConsumoConcreto[[#This Row],[Ordem]],"0000"),UPPER(LEFT(ConsumoConcreto[[#This Row],[Destino]],3)))</f>
        <v>0184CNSC0642PAR</v>
      </c>
      <c r="B440" s="1">
        <v>642</v>
      </c>
      <c r="C440" s="2" t="s">
        <v>2465</v>
      </c>
      <c r="D440" s="2" t="s">
        <v>2010</v>
      </c>
      <c r="E440" s="18">
        <v>10</v>
      </c>
      <c r="F440" s="2" t="s">
        <v>25</v>
      </c>
      <c r="G440" s="36">
        <v>0.73819444444444438</v>
      </c>
      <c r="H440" s="2" t="s">
        <v>1965</v>
      </c>
      <c r="I4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40" s="22">
        <v>14.5</v>
      </c>
      <c r="K440" s="22">
        <v>14</v>
      </c>
      <c r="L440" s="37">
        <v>36892</v>
      </c>
      <c r="M440" s="2"/>
      <c r="N440" s="2" t="s">
        <v>1966</v>
      </c>
      <c r="O440" s="2" t="s">
        <v>27</v>
      </c>
      <c r="P440" s="2" t="s">
        <v>26</v>
      </c>
    </row>
    <row r="441" spans="1:16" ht="20.100000000000001" customHeight="1" x14ac:dyDescent="0.25">
      <c r="A441" s="26" t="str">
        <f>CONCATENATE(LEFT(ConsumoConcreto[[#This Row],[RecebimentoID]],4),"CNSC",TEXT(ConsumoConcreto[[#This Row],[Ordem]],"0000"),UPPER(LEFT(ConsumoConcreto[[#This Row],[Destino]],3)))</f>
        <v>0184CNSC0604RAD</v>
      </c>
      <c r="B441" s="1">
        <v>604</v>
      </c>
      <c r="C441" s="2" t="s">
        <v>2466</v>
      </c>
      <c r="D441" s="2" t="s">
        <v>2010</v>
      </c>
      <c r="E441" s="18">
        <v>10</v>
      </c>
      <c r="F441" s="2" t="s">
        <v>1801</v>
      </c>
      <c r="G441" s="36">
        <v>0.64722222222222225</v>
      </c>
      <c r="H441" s="2" t="s">
        <v>1968</v>
      </c>
      <c r="I4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41" s="22">
        <v>5.5</v>
      </c>
      <c r="K441" s="22">
        <v>5.5</v>
      </c>
      <c r="L441" s="37">
        <v>36892</v>
      </c>
      <c r="M441" s="2"/>
      <c r="N441" s="2" t="s">
        <v>1966</v>
      </c>
      <c r="O441" s="2" t="s">
        <v>27</v>
      </c>
      <c r="P441" s="2" t="s">
        <v>26</v>
      </c>
    </row>
    <row r="442" spans="1:16" ht="20.100000000000001" customHeight="1" x14ac:dyDescent="0.25">
      <c r="A442" s="26" t="str">
        <f>CONCATENATE(LEFT(ConsumoConcreto[[#This Row],[RecebimentoID]],4),"CNSC",TEXT(ConsumoConcreto[[#This Row],[Ordem]],"0000"),UPPER(LEFT(ConsumoConcreto[[#This Row],[Destino]],3)))</f>
        <v>0184CNSC0726PAR</v>
      </c>
      <c r="B442" s="1">
        <v>726</v>
      </c>
      <c r="C442" s="2" t="s">
        <v>2467</v>
      </c>
      <c r="D442" s="2" t="s">
        <v>2013</v>
      </c>
      <c r="E442" s="18">
        <v>10</v>
      </c>
      <c r="F442" s="2" t="s">
        <v>25</v>
      </c>
      <c r="G442" s="36">
        <v>0.85972222222222217</v>
      </c>
      <c r="H442" s="2" t="s">
        <v>1965</v>
      </c>
      <c r="I4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42" s="22">
        <v>14</v>
      </c>
      <c r="K442" s="22">
        <v>14</v>
      </c>
      <c r="L442" s="37">
        <v>36892</v>
      </c>
      <c r="M442" s="2"/>
      <c r="N442" s="2" t="s">
        <v>1966</v>
      </c>
      <c r="O442" s="2" t="s">
        <v>27</v>
      </c>
      <c r="P442" s="2" t="s">
        <v>26</v>
      </c>
    </row>
    <row r="443" spans="1:16" ht="20.100000000000001" customHeight="1" x14ac:dyDescent="0.25">
      <c r="A443" s="26" t="str">
        <f>CONCATENATE(LEFT(ConsumoConcreto[[#This Row],[RecebimentoID]],4),"CNSC",TEXT(ConsumoConcreto[[#This Row],[Ordem]],"0000"),UPPER(LEFT(ConsumoConcreto[[#This Row],[Destino]],3)))</f>
        <v>0184CNSC0713RAD</v>
      </c>
      <c r="B443" s="1">
        <v>713</v>
      </c>
      <c r="C443" s="2" t="s">
        <v>2468</v>
      </c>
      <c r="D443" s="2" t="s">
        <v>2013</v>
      </c>
      <c r="E443" s="18">
        <v>10</v>
      </c>
      <c r="F443" s="2" t="s">
        <v>1801</v>
      </c>
      <c r="G443" s="36">
        <v>0.49374999999999997</v>
      </c>
      <c r="H443" s="2" t="s">
        <v>1968</v>
      </c>
      <c r="I4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43" s="22">
        <v>5.5</v>
      </c>
      <c r="K443" s="22">
        <v>5.4809999999999999</v>
      </c>
      <c r="L443" s="37">
        <v>36892</v>
      </c>
      <c r="M443" s="2" t="s">
        <v>2469</v>
      </c>
      <c r="N443" s="2" t="s">
        <v>1963</v>
      </c>
      <c r="O443" s="2" t="s">
        <v>27</v>
      </c>
      <c r="P443" s="2" t="s">
        <v>26</v>
      </c>
    </row>
    <row r="444" spans="1:16" ht="20.100000000000001" customHeight="1" x14ac:dyDescent="0.25">
      <c r="A444" s="26" t="str">
        <f>CONCATENATE(LEFT(ConsumoConcreto[[#This Row],[RecebimentoID]],4),"CNSC",TEXT(ConsumoConcreto[[#This Row],[Ordem]],"0000"),UPPER(LEFT(ConsumoConcreto[[#This Row],[Destino]],3)))</f>
        <v>0184CNSC0768PAR</v>
      </c>
      <c r="B444" s="1">
        <v>768</v>
      </c>
      <c r="C444" s="2" t="s">
        <v>2470</v>
      </c>
      <c r="D444" s="2" t="s">
        <v>2016</v>
      </c>
      <c r="E444" s="18">
        <v>10</v>
      </c>
      <c r="F444" s="2" t="s">
        <v>25</v>
      </c>
      <c r="G444" s="36">
        <v>0.64444444444444449</v>
      </c>
      <c r="H444" s="2" t="s">
        <v>1965</v>
      </c>
      <c r="I4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44" s="22">
        <v>18.5</v>
      </c>
      <c r="K444" s="22">
        <v>18.5</v>
      </c>
      <c r="L444" s="37">
        <v>36892</v>
      </c>
      <c r="M444" s="2"/>
      <c r="N444" s="2" t="s">
        <v>2017</v>
      </c>
      <c r="O444" s="2" t="s">
        <v>27</v>
      </c>
      <c r="P444" s="2" t="s">
        <v>26</v>
      </c>
    </row>
    <row r="445" spans="1:16" ht="20.100000000000001" customHeight="1" x14ac:dyDescent="0.25">
      <c r="A445" s="26" t="str">
        <f>CONCATENATE(LEFT(ConsumoConcreto[[#This Row],[RecebimentoID]],4),"CNSC",TEXT(ConsumoConcreto[[#This Row],[Ordem]],"0000"),UPPER(LEFT(ConsumoConcreto[[#This Row],[Destino]],3)))</f>
        <v>0184CNSC0749RAD</v>
      </c>
      <c r="B445" s="1">
        <v>749</v>
      </c>
      <c r="C445" s="2" t="s">
        <v>2471</v>
      </c>
      <c r="D445" s="2" t="s">
        <v>2016</v>
      </c>
      <c r="E445" s="18">
        <v>10</v>
      </c>
      <c r="F445" s="2" t="s">
        <v>1801</v>
      </c>
      <c r="G445" s="36">
        <v>0.4375</v>
      </c>
      <c r="H445" s="2" t="s">
        <v>1968</v>
      </c>
      <c r="I4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45" s="22">
        <v>7</v>
      </c>
      <c r="K445" s="22">
        <v>7</v>
      </c>
      <c r="L445" s="37">
        <v>36892</v>
      </c>
      <c r="M445" s="2" t="s">
        <v>2472</v>
      </c>
      <c r="N445" s="2" t="s">
        <v>2017</v>
      </c>
      <c r="O445" s="2" t="s">
        <v>27</v>
      </c>
      <c r="P445" s="2" t="s">
        <v>26</v>
      </c>
    </row>
    <row r="446" spans="1:16" ht="20.100000000000001" customHeight="1" x14ac:dyDescent="0.25">
      <c r="A446" s="26" t="str">
        <f>CONCATENATE(LEFT(ConsumoConcreto[[#This Row],[RecebimentoID]],4),"CNSC",TEXT(ConsumoConcreto[[#This Row],[Ordem]],"0000"),UPPER(LEFT(ConsumoConcreto[[#This Row],[Destino]],3)))</f>
        <v>0184CNSC0789PAR</v>
      </c>
      <c r="B446" s="1">
        <v>789</v>
      </c>
      <c r="C446" s="2" t="s">
        <v>2473</v>
      </c>
      <c r="D446" s="2" t="s">
        <v>2021</v>
      </c>
      <c r="E446" s="18">
        <v>10</v>
      </c>
      <c r="F446" s="2" t="s">
        <v>25</v>
      </c>
      <c r="G446" s="36">
        <v>0.72152777777777777</v>
      </c>
      <c r="H446" s="2" t="s">
        <v>1965</v>
      </c>
      <c r="I4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46" s="22">
        <v>14.5</v>
      </c>
      <c r="K446" s="22">
        <v>14.5</v>
      </c>
      <c r="L446" s="37">
        <v>36892</v>
      </c>
      <c r="M446" s="2"/>
      <c r="N446" s="2" t="s">
        <v>1966</v>
      </c>
      <c r="O446" s="2" t="s">
        <v>27</v>
      </c>
      <c r="P446" s="2" t="s">
        <v>26</v>
      </c>
    </row>
    <row r="447" spans="1:16" ht="20.100000000000001" customHeight="1" x14ac:dyDescent="0.25">
      <c r="A447" s="26" t="str">
        <f>CONCATENATE(LEFT(ConsumoConcreto[[#This Row],[RecebimentoID]],4),"CNSC",TEXT(ConsumoConcreto[[#This Row],[Ordem]],"0000"),UPPER(LEFT(ConsumoConcreto[[#This Row],[Destino]],3)))</f>
        <v>0184CNSC0797RAD</v>
      </c>
      <c r="B447" s="1">
        <v>797</v>
      </c>
      <c r="C447" s="2" t="s">
        <v>2474</v>
      </c>
      <c r="D447" s="2" t="s">
        <v>2021</v>
      </c>
      <c r="E447" s="18">
        <v>10</v>
      </c>
      <c r="F447" s="2" t="s">
        <v>1801</v>
      </c>
      <c r="G447" s="36"/>
      <c r="H447" s="2" t="s">
        <v>1968</v>
      </c>
      <c r="I4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L447" s="37">
        <v>36892</v>
      </c>
      <c r="M447" s="2"/>
      <c r="N447" s="2"/>
      <c r="O447" s="2" t="s">
        <v>27</v>
      </c>
      <c r="P447" s="2" t="s">
        <v>26</v>
      </c>
    </row>
    <row r="448" spans="1:16" ht="20.100000000000001" customHeight="1" x14ac:dyDescent="0.25">
      <c r="A448" s="26" t="str">
        <f>CONCATENATE(LEFT(ConsumoConcreto[[#This Row],[RecebimentoID]],4),"CNSC",TEXT(ConsumoConcreto[[#This Row],[Ordem]],"0000"),UPPER(LEFT(ConsumoConcreto[[#This Row],[Destino]],3)))</f>
        <v>0184CNSC0841PAR</v>
      </c>
      <c r="B448" s="1">
        <v>841</v>
      </c>
      <c r="C448" s="2" t="s">
        <v>2475</v>
      </c>
      <c r="D448" s="2" t="s">
        <v>2024</v>
      </c>
      <c r="E448" s="18">
        <v>10</v>
      </c>
      <c r="F448" s="2" t="s">
        <v>25</v>
      </c>
      <c r="G448" s="36">
        <v>0.73958333333333337</v>
      </c>
      <c r="H448" s="2" t="s">
        <v>1965</v>
      </c>
      <c r="I4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48" s="22">
        <v>15</v>
      </c>
      <c r="K448" s="22">
        <v>15</v>
      </c>
      <c r="L448" s="37">
        <v>36892</v>
      </c>
      <c r="M448" s="2"/>
      <c r="N448" s="2" t="s">
        <v>1966</v>
      </c>
      <c r="O448" s="2" t="s">
        <v>27</v>
      </c>
      <c r="P448" s="2" t="s">
        <v>26</v>
      </c>
    </row>
    <row r="449" spans="1:16" ht="20.100000000000001" customHeight="1" x14ac:dyDescent="0.25">
      <c r="A449" s="26" t="str">
        <f>CONCATENATE(LEFT(ConsumoConcreto[[#This Row],[RecebimentoID]],4),"CNSC",TEXT(ConsumoConcreto[[#This Row],[Ordem]],"0000"),UPPER(LEFT(ConsumoConcreto[[#This Row],[Destino]],3)))</f>
        <v>0184CNSC0806RAD</v>
      </c>
      <c r="B449" s="1">
        <v>806</v>
      </c>
      <c r="C449" s="2" t="s">
        <v>2476</v>
      </c>
      <c r="D449" s="2" t="s">
        <v>2024</v>
      </c>
      <c r="E449" s="18">
        <v>10</v>
      </c>
      <c r="F449" s="2" t="s">
        <v>1801</v>
      </c>
      <c r="G449" s="36">
        <v>0.49652777777777773</v>
      </c>
      <c r="H449" s="2" t="s">
        <v>1968</v>
      </c>
      <c r="I4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49" s="22">
        <v>5.5</v>
      </c>
      <c r="K449" s="22">
        <v>5.5</v>
      </c>
      <c r="L449" s="37">
        <v>36892</v>
      </c>
      <c r="M449" s="2"/>
      <c r="N449" s="2" t="s">
        <v>1963</v>
      </c>
      <c r="O449" s="2" t="s">
        <v>27</v>
      </c>
      <c r="P449" s="2" t="s">
        <v>26</v>
      </c>
    </row>
    <row r="450" spans="1:16" ht="20.100000000000001" customHeight="1" x14ac:dyDescent="0.25">
      <c r="A450" s="26" t="str">
        <f>CONCATENATE(LEFT(ConsumoConcreto[[#This Row],[RecebimentoID]],4),"CNSC",TEXT(ConsumoConcreto[[#This Row],[Ordem]],"0000"),UPPER(LEFT(ConsumoConcreto[[#This Row],[Destino]],3)))</f>
        <v>0184CNSC0916PAR</v>
      </c>
      <c r="B450" s="1">
        <v>916</v>
      </c>
      <c r="C450" s="2" t="s">
        <v>2477</v>
      </c>
      <c r="D450" s="2" t="s">
        <v>2030</v>
      </c>
      <c r="E450" s="18">
        <v>10</v>
      </c>
      <c r="F450" s="2" t="s">
        <v>25</v>
      </c>
      <c r="G450" s="36">
        <v>0.49305555555555558</v>
      </c>
      <c r="H450" s="2" t="s">
        <v>1965</v>
      </c>
      <c r="I4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50" s="22">
        <v>16</v>
      </c>
      <c r="K450" s="22">
        <v>16</v>
      </c>
      <c r="L450" s="37">
        <v>36892</v>
      </c>
      <c r="M450" s="2" t="s">
        <v>2478</v>
      </c>
      <c r="N450" s="2" t="s">
        <v>1966</v>
      </c>
      <c r="O450" s="2" t="s">
        <v>27</v>
      </c>
      <c r="P450" s="2" t="s">
        <v>26</v>
      </c>
    </row>
    <row r="451" spans="1:16" ht="20.100000000000001" customHeight="1" x14ac:dyDescent="0.25">
      <c r="A451" s="26" t="str">
        <f>CONCATENATE(LEFT(ConsumoConcreto[[#This Row],[RecebimentoID]],4),"CNSC",TEXT(ConsumoConcreto[[#This Row],[Ordem]],"0000"),UPPER(LEFT(ConsumoConcreto[[#This Row],[Destino]],3)))</f>
        <v>0184CNSC0905RAD</v>
      </c>
      <c r="B451" s="1">
        <v>905</v>
      </c>
      <c r="C451" s="2" t="s">
        <v>2479</v>
      </c>
      <c r="D451" s="2" t="s">
        <v>2030</v>
      </c>
      <c r="E451" s="18">
        <v>10</v>
      </c>
      <c r="F451" s="2" t="s">
        <v>1801</v>
      </c>
      <c r="G451" s="36"/>
      <c r="H451" s="2" t="s">
        <v>1968</v>
      </c>
      <c r="I4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51" s="22">
        <v>5.78</v>
      </c>
      <c r="K451" s="22">
        <v>5.4809999999999999</v>
      </c>
      <c r="L451" s="37">
        <v>36892</v>
      </c>
      <c r="M451" s="2"/>
      <c r="N451" s="2"/>
      <c r="O451" s="2" t="s">
        <v>27</v>
      </c>
      <c r="P451" s="2" t="s">
        <v>26</v>
      </c>
    </row>
    <row r="452" spans="1:16" ht="20.100000000000001" customHeight="1" x14ac:dyDescent="0.25">
      <c r="A452" s="26" t="str">
        <f>CONCATENATE(LEFT(ConsumoConcreto[[#This Row],[RecebimentoID]],4),"CNSC",TEXT(ConsumoConcreto[[#This Row],[Ordem]],"0000"),UPPER(LEFT(ConsumoConcreto[[#This Row],[Destino]],3)))</f>
        <v>0184CNSC0972PAR</v>
      </c>
      <c r="B452" s="1">
        <v>972</v>
      </c>
      <c r="C452" s="2" t="s">
        <v>2480</v>
      </c>
      <c r="D452" s="2" t="s">
        <v>2033</v>
      </c>
      <c r="E452" s="18">
        <v>10</v>
      </c>
      <c r="F452" s="2" t="s">
        <v>25</v>
      </c>
      <c r="G452" s="36">
        <v>0.45555555555555555</v>
      </c>
      <c r="H452" s="2" t="s">
        <v>1965</v>
      </c>
      <c r="I4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52" s="22">
        <v>14.5</v>
      </c>
      <c r="K452" s="22">
        <v>14.5</v>
      </c>
      <c r="L452" s="37">
        <v>36892</v>
      </c>
      <c r="M452" s="2"/>
      <c r="N452" s="2" t="s">
        <v>1966</v>
      </c>
      <c r="O452" s="2" t="s">
        <v>27</v>
      </c>
      <c r="P452" s="2" t="s">
        <v>26</v>
      </c>
    </row>
    <row r="453" spans="1:16" ht="20.100000000000001" customHeight="1" x14ac:dyDescent="0.25">
      <c r="A453" s="26" t="str">
        <f>CONCATENATE(LEFT(ConsumoConcreto[[#This Row],[RecebimentoID]],4),"CNSC",TEXT(ConsumoConcreto[[#This Row],[Ordem]],"0000"),UPPER(LEFT(ConsumoConcreto[[#This Row],[Destino]],3)))</f>
        <v>0184CNSC0950RAD</v>
      </c>
      <c r="B453" s="1">
        <v>950</v>
      </c>
      <c r="C453" s="2" t="s">
        <v>2481</v>
      </c>
      <c r="D453" s="2" t="s">
        <v>2033</v>
      </c>
      <c r="E453" s="18">
        <v>10</v>
      </c>
      <c r="F453" s="2" t="s">
        <v>1801</v>
      </c>
      <c r="G453" s="36">
        <v>0.63541666666666663</v>
      </c>
      <c r="H453" s="2" t="s">
        <v>1968</v>
      </c>
      <c r="I4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53" s="22">
        <v>5.5</v>
      </c>
      <c r="K453" s="22">
        <v>5.5</v>
      </c>
      <c r="L453" s="37">
        <v>36892</v>
      </c>
      <c r="M453" s="2" t="s">
        <v>2289</v>
      </c>
      <c r="N453" s="2" t="s">
        <v>1963</v>
      </c>
      <c r="O453" s="2" t="s">
        <v>27</v>
      </c>
      <c r="P453" s="2" t="s">
        <v>26</v>
      </c>
    </row>
    <row r="454" spans="1:16" ht="20.100000000000001" customHeight="1" x14ac:dyDescent="0.25">
      <c r="A454" s="26" t="str">
        <f>CONCATENATE(LEFT(ConsumoConcreto[[#This Row],[RecebimentoID]],4),"CNSC",TEXT(ConsumoConcreto[[#This Row],[Ordem]],"0000"),UPPER(LEFT(ConsumoConcreto[[#This Row],[Destino]],3)))</f>
        <v>0184CNSC1060PAR</v>
      </c>
      <c r="B454" s="1">
        <v>1060</v>
      </c>
      <c r="C454" s="2" t="s">
        <v>2482</v>
      </c>
      <c r="D454" s="2" t="s">
        <v>2036</v>
      </c>
      <c r="E454" s="18">
        <v>10</v>
      </c>
      <c r="F454" s="2" t="s">
        <v>25</v>
      </c>
      <c r="G454" s="36">
        <v>0.70763888888888893</v>
      </c>
      <c r="H454" s="2" t="s">
        <v>1965</v>
      </c>
      <c r="I4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54" s="22">
        <v>14.5</v>
      </c>
      <c r="K454" s="22">
        <v>14.5</v>
      </c>
      <c r="L454" s="37">
        <v>36892</v>
      </c>
      <c r="M454" s="2"/>
      <c r="N454" s="2" t="s">
        <v>1966</v>
      </c>
      <c r="O454" s="2" t="s">
        <v>27</v>
      </c>
      <c r="P454" s="2" t="s">
        <v>26</v>
      </c>
    </row>
    <row r="455" spans="1:16" ht="20.100000000000001" customHeight="1" x14ac:dyDescent="0.25">
      <c r="A455" s="26" t="str">
        <f>CONCATENATE(LEFT(ConsumoConcreto[[#This Row],[RecebimentoID]],4),"CNSC",TEXT(ConsumoConcreto[[#This Row],[Ordem]],"0000"),UPPER(LEFT(ConsumoConcreto[[#This Row],[Destino]],3)))</f>
        <v>0184CNSC1014RAD</v>
      </c>
      <c r="B455" s="1">
        <v>1014</v>
      </c>
      <c r="C455" s="2" t="s">
        <v>2483</v>
      </c>
      <c r="D455" s="2" t="s">
        <v>2036</v>
      </c>
      <c r="E455" s="18">
        <v>10</v>
      </c>
      <c r="F455" s="2" t="s">
        <v>1801</v>
      </c>
      <c r="G455" s="36">
        <v>0.64583333333333337</v>
      </c>
      <c r="H455" s="2" t="s">
        <v>1968</v>
      </c>
      <c r="I4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55" s="22">
        <v>5.5</v>
      </c>
      <c r="K455" s="22">
        <v>5.5</v>
      </c>
      <c r="L455" s="37">
        <v>36892</v>
      </c>
      <c r="M455" s="2"/>
      <c r="N455" s="2" t="s">
        <v>1963</v>
      </c>
      <c r="O455" s="2" t="s">
        <v>27</v>
      </c>
      <c r="P455" s="2" t="s">
        <v>26</v>
      </c>
    </row>
    <row r="456" spans="1:16" ht="20.100000000000001" customHeight="1" x14ac:dyDescent="0.25">
      <c r="A456" s="26" t="str">
        <f>CONCATENATE(LEFT(ConsumoConcreto[[#This Row],[RecebimentoID]],4),"CNSC",TEXT(ConsumoConcreto[[#This Row],[Ordem]],"0000"),UPPER(LEFT(ConsumoConcreto[[#This Row],[Destino]],3)))</f>
        <v>0184CNSC0057PAR</v>
      </c>
      <c r="B456" s="1">
        <v>57</v>
      </c>
      <c r="C456" s="2" t="s">
        <v>2484</v>
      </c>
      <c r="D456" s="2" t="s">
        <v>1970</v>
      </c>
      <c r="E456" s="18">
        <v>11</v>
      </c>
      <c r="F456" s="2" t="s">
        <v>25</v>
      </c>
      <c r="G456" s="36"/>
      <c r="H456" s="2" t="s">
        <v>1965</v>
      </c>
      <c r="I4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56" s="22">
        <v>14.5</v>
      </c>
      <c r="K456" s="22">
        <v>14.5</v>
      </c>
      <c r="L456" s="37">
        <v>36892</v>
      </c>
      <c r="M456" s="2"/>
      <c r="N456" s="2" t="s">
        <v>1966</v>
      </c>
      <c r="O456" s="2" t="s">
        <v>27</v>
      </c>
      <c r="P456" s="2" t="s">
        <v>26</v>
      </c>
    </row>
    <row r="457" spans="1:16" ht="20.100000000000001" customHeight="1" x14ac:dyDescent="0.25">
      <c r="A457" s="26" t="str">
        <f>CONCATENATE(LEFT(ConsumoConcreto[[#This Row],[RecebimentoID]],4),"CNSC",TEXT(ConsumoConcreto[[#This Row],[Ordem]],"0000"),UPPER(LEFT(ConsumoConcreto[[#This Row],[Destino]],3)))</f>
        <v>0184CNSC0089PIL</v>
      </c>
      <c r="B457" s="1">
        <v>89</v>
      </c>
      <c r="C457" s="2" t="s">
        <v>2485</v>
      </c>
      <c r="D457" s="2" t="s">
        <v>1970</v>
      </c>
      <c r="E457" s="18">
        <v>11</v>
      </c>
      <c r="F457" s="2" t="s">
        <v>25</v>
      </c>
      <c r="G457" s="36"/>
      <c r="H457" s="2" t="s">
        <v>1962</v>
      </c>
      <c r="I4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457" s="22">
        <v>0.1</v>
      </c>
      <c r="K457" s="22">
        <v>0.1</v>
      </c>
      <c r="L457" s="37">
        <v>36892</v>
      </c>
      <c r="M457" s="2"/>
      <c r="N457" s="2" t="s">
        <v>1963</v>
      </c>
      <c r="O457" s="2" t="s">
        <v>27</v>
      </c>
      <c r="P457" s="2" t="s">
        <v>26</v>
      </c>
    </row>
    <row r="458" spans="1:16" ht="20.100000000000001" customHeight="1" x14ac:dyDescent="0.25">
      <c r="A458" s="26" t="str">
        <f>CONCATENATE(LEFT(ConsumoConcreto[[#This Row],[RecebimentoID]],4),"CNSC",TEXT(ConsumoConcreto[[#This Row],[Ordem]],"0000"),UPPER(LEFT(ConsumoConcreto[[#This Row],[Destino]],3)))</f>
        <v>0184CNSC0040RAD</v>
      </c>
      <c r="B458" s="1">
        <v>40</v>
      </c>
      <c r="C458" s="2" t="s">
        <v>2486</v>
      </c>
      <c r="D458" s="2" t="s">
        <v>1970</v>
      </c>
      <c r="E458" s="18">
        <v>11</v>
      </c>
      <c r="F458" s="2" t="s">
        <v>1801</v>
      </c>
      <c r="G458" s="36"/>
      <c r="H458" s="2" t="s">
        <v>1968</v>
      </c>
      <c r="I4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58" s="22">
        <v>5.5</v>
      </c>
      <c r="K458" s="22">
        <v>5.5</v>
      </c>
      <c r="L458" s="37">
        <v>36892</v>
      </c>
      <c r="M458" s="2"/>
      <c r="N458" s="2"/>
      <c r="O458" s="2" t="s">
        <v>27</v>
      </c>
      <c r="P458" s="2" t="s">
        <v>26</v>
      </c>
    </row>
    <row r="459" spans="1:16" ht="20.100000000000001" customHeight="1" x14ac:dyDescent="0.25">
      <c r="A459" s="26" t="str">
        <f>CONCATENATE(LEFT(ConsumoConcreto[[#This Row],[RecebimentoID]],4),"CNSC",TEXT(ConsumoConcreto[[#This Row],[Ordem]],"0000"),UPPER(LEFT(ConsumoConcreto[[#This Row],[Destino]],3)))</f>
        <v>0184CNSC0151PAR</v>
      </c>
      <c r="B459" s="1">
        <v>151</v>
      </c>
      <c r="C459" s="2" t="s">
        <v>2487</v>
      </c>
      <c r="D459" s="2" t="s">
        <v>1975</v>
      </c>
      <c r="E459" s="18">
        <v>11</v>
      </c>
      <c r="F459" s="2" t="s">
        <v>25</v>
      </c>
      <c r="G459" s="36">
        <v>0.71527777777777779</v>
      </c>
      <c r="H459" s="2" t="s">
        <v>1965</v>
      </c>
      <c r="I4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59" s="22">
        <v>15</v>
      </c>
      <c r="K459" s="22">
        <v>15</v>
      </c>
      <c r="L459" s="37">
        <v>36892</v>
      </c>
      <c r="M459" s="2"/>
      <c r="N459" s="2" t="s">
        <v>1966</v>
      </c>
      <c r="O459" s="2" t="s">
        <v>27</v>
      </c>
      <c r="P459" s="2" t="s">
        <v>26</v>
      </c>
    </row>
    <row r="460" spans="1:16" ht="20.100000000000001" customHeight="1" x14ac:dyDescent="0.25">
      <c r="A460" s="26" t="str">
        <f>CONCATENATE(LEFT(ConsumoConcreto[[#This Row],[RecebimentoID]],4),"CNSC",TEXT(ConsumoConcreto[[#This Row],[Ordem]],"0000"),UPPER(LEFT(ConsumoConcreto[[#This Row],[Destino]],3)))</f>
        <v>0184CNSC0114RAD</v>
      </c>
      <c r="B460" s="1">
        <v>114</v>
      </c>
      <c r="C460" s="2" t="s">
        <v>2488</v>
      </c>
      <c r="D460" s="2" t="s">
        <v>1975</v>
      </c>
      <c r="E460" s="18">
        <v>11</v>
      </c>
      <c r="F460" s="2" t="s">
        <v>1801</v>
      </c>
      <c r="G460" s="36"/>
      <c r="H460" s="2" t="s">
        <v>1968</v>
      </c>
      <c r="I4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60" s="22">
        <v>5.5</v>
      </c>
      <c r="K460" s="22">
        <v>5.5</v>
      </c>
      <c r="L460" s="37">
        <v>36892</v>
      </c>
      <c r="M460" s="2"/>
      <c r="N460" s="2" t="s">
        <v>1966</v>
      </c>
      <c r="O460" s="2" t="s">
        <v>27</v>
      </c>
      <c r="P460" s="2" t="s">
        <v>26</v>
      </c>
    </row>
    <row r="461" spans="1:16" ht="20.100000000000001" customHeight="1" x14ac:dyDescent="0.25">
      <c r="A461" s="26" t="str">
        <f>CONCATENATE(LEFT(ConsumoConcreto[[#This Row],[RecebimentoID]],4),"CNSC",TEXT(ConsumoConcreto[[#This Row],[Ordem]],"0000"),UPPER(LEFT(ConsumoConcreto[[#This Row],[Destino]],3)))</f>
        <v>0184CNSC0239PAR</v>
      </c>
      <c r="B461" s="1">
        <v>239</v>
      </c>
      <c r="C461" s="2" t="s">
        <v>2489</v>
      </c>
      <c r="D461" s="2" t="s">
        <v>1979</v>
      </c>
      <c r="E461" s="18">
        <v>11</v>
      </c>
      <c r="F461" s="2" t="s">
        <v>25</v>
      </c>
      <c r="G461" s="36">
        <v>0.6777777777777777</v>
      </c>
      <c r="H461" s="2" t="s">
        <v>1965</v>
      </c>
      <c r="I4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61" s="22">
        <v>15</v>
      </c>
      <c r="K461" s="22">
        <v>15</v>
      </c>
      <c r="L461" s="37">
        <v>36892</v>
      </c>
      <c r="M461" s="2"/>
      <c r="N461" s="2" t="s">
        <v>1966</v>
      </c>
      <c r="O461" s="2" t="s">
        <v>27</v>
      </c>
      <c r="P461" s="2" t="s">
        <v>26</v>
      </c>
    </row>
    <row r="462" spans="1:16" ht="20.100000000000001" customHeight="1" x14ac:dyDescent="0.25">
      <c r="A462" s="26" t="str">
        <f>CONCATENATE(LEFT(ConsumoConcreto[[#This Row],[RecebimentoID]],4),"CNSC",TEXT(ConsumoConcreto[[#This Row],[Ordem]],"0000"),UPPER(LEFT(ConsumoConcreto[[#This Row],[Destino]],3)))</f>
        <v>0184CNSC0191RAD</v>
      </c>
      <c r="B462" s="1">
        <v>191</v>
      </c>
      <c r="C462" s="2" t="s">
        <v>2490</v>
      </c>
      <c r="D462" s="2" t="s">
        <v>1979</v>
      </c>
      <c r="E462" s="18">
        <v>11</v>
      </c>
      <c r="F462" s="2" t="s">
        <v>1801</v>
      </c>
      <c r="G462" s="36"/>
      <c r="H462" s="2" t="s">
        <v>1968</v>
      </c>
      <c r="I4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62" s="22">
        <v>6</v>
      </c>
      <c r="K462" s="22">
        <v>5.5</v>
      </c>
      <c r="L462" s="37">
        <v>36892</v>
      </c>
      <c r="M462" s="2" t="s">
        <v>2252</v>
      </c>
      <c r="N462" s="2" t="s">
        <v>1966</v>
      </c>
      <c r="O462" s="2" t="s">
        <v>27</v>
      </c>
      <c r="P462" s="2" t="s">
        <v>26</v>
      </c>
    </row>
    <row r="463" spans="1:16" ht="20.100000000000001" customHeight="1" x14ac:dyDescent="0.25">
      <c r="A463" s="26" t="str">
        <f>CONCATENATE(LEFT(ConsumoConcreto[[#This Row],[RecebimentoID]],4),"CNSC",TEXT(ConsumoConcreto[[#This Row],[Ordem]],"0000"),UPPER(LEFT(ConsumoConcreto[[#This Row],[Destino]],3)))</f>
        <v>0184CNSC0282PAR</v>
      </c>
      <c r="B463" s="1">
        <v>282</v>
      </c>
      <c r="C463" s="2" t="s">
        <v>2491</v>
      </c>
      <c r="D463" s="2" t="s">
        <v>1985</v>
      </c>
      <c r="E463" s="18">
        <v>11</v>
      </c>
      <c r="F463" s="2" t="s">
        <v>25</v>
      </c>
      <c r="G463" s="36">
        <v>0.74861111111111101</v>
      </c>
      <c r="H463" s="2" t="s">
        <v>1965</v>
      </c>
      <c r="I4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63" s="22">
        <v>16</v>
      </c>
      <c r="K463" s="22">
        <v>14.5</v>
      </c>
      <c r="L463" s="37">
        <v>36892</v>
      </c>
      <c r="M463" s="2" t="s">
        <v>2492</v>
      </c>
      <c r="N463" s="2" t="s">
        <v>2017</v>
      </c>
      <c r="O463" s="2" t="s">
        <v>27</v>
      </c>
      <c r="P463" s="2" t="s">
        <v>26</v>
      </c>
    </row>
    <row r="464" spans="1:16" ht="20.100000000000001" customHeight="1" x14ac:dyDescent="0.25">
      <c r="A464" s="26" t="str">
        <f>CONCATENATE(LEFT(ConsumoConcreto[[#This Row],[RecebimentoID]],4),"CNSC",TEXT(ConsumoConcreto[[#This Row],[Ordem]],"0000"),UPPER(LEFT(ConsumoConcreto[[#This Row],[Destino]],3)))</f>
        <v>0184CNSC0264RAD</v>
      </c>
      <c r="B464" s="1">
        <v>264</v>
      </c>
      <c r="C464" s="2" t="s">
        <v>2493</v>
      </c>
      <c r="D464" s="2" t="s">
        <v>1985</v>
      </c>
      <c r="E464" s="18">
        <v>11</v>
      </c>
      <c r="F464" s="2" t="s">
        <v>1801</v>
      </c>
      <c r="G464" s="36">
        <v>0.64583333333333337</v>
      </c>
      <c r="H464" s="2" t="s">
        <v>1968</v>
      </c>
      <c r="I4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64" s="22">
        <v>5.5</v>
      </c>
      <c r="K464" s="22">
        <v>5.5</v>
      </c>
      <c r="L464" s="37">
        <v>36892</v>
      </c>
      <c r="M464" s="2"/>
      <c r="N464" s="2" t="s">
        <v>1963</v>
      </c>
      <c r="O464" s="2" t="s">
        <v>27</v>
      </c>
      <c r="P464" s="2" t="s">
        <v>26</v>
      </c>
    </row>
    <row r="465" spans="1:16" ht="20.100000000000001" customHeight="1" x14ac:dyDescent="0.25">
      <c r="A465" s="26" t="str">
        <f>CONCATENATE(LEFT(ConsumoConcreto[[#This Row],[RecebimentoID]],4),"CNSC",TEXT(ConsumoConcreto[[#This Row],[Ordem]],"0000"),UPPER(LEFT(ConsumoConcreto[[#This Row],[Destino]],3)))</f>
        <v>0184CNSC0297PIL</v>
      </c>
      <c r="B465" s="1">
        <v>297</v>
      </c>
      <c r="C465" s="2" t="s">
        <v>2494</v>
      </c>
      <c r="D465" s="2" t="s">
        <v>1985</v>
      </c>
      <c r="E465" s="18">
        <v>11</v>
      </c>
      <c r="F465" s="2" t="s">
        <v>1801</v>
      </c>
      <c r="G465" s="36">
        <v>0.5</v>
      </c>
      <c r="H465" s="2" t="s">
        <v>1962</v>
      </c>
      <c r="I4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465" s="22">
        <v>0.1</v>
      </c>
      <c r="K465" s="22">
        <v>0.1</v>
      </c>
      <c r="L465" s="37">
        <v>36892</v>
      </c>
      <c r="M465" s="2"/>
      <c r="N465" s="2" t="s">
        <v>1963</v>
      </c>
      <c r="O465" s="2" t="s">
        <v>27</v>
      </c>
      <c r="P465" s="2" t="s">
        <v>26</v>
      </c>
    </row>
    <row r="466" spans="1:16" ht="20.100000000000001" customHeight="1" x14ac:dyDescent="0.25">
      <c r="A466" s="26" t="str">
        <f>CONCATENATE(LEFT(ConsumoConcreto[[#This Row],[RecebimentoID]],4),"CNSC",TEXT(ConsumoConcreto[[#This Row],[Ordem]],"0000"),UPPER(LEFT(ConsumoConcreto[[#This Row],[Destino]],3)))</f>
        <v>0184CNSC0325PAR</v>
      </c>
      <c r="B466" s="1">
        <v>325</v>
      </c>
      <c r="C466" s="2" t="s">
        <v>2495</v>
      </c>
      <c r="D466" s="2" t="s">
        <v>1989</v>
      </c>
      <c r="E466" s="18">
        <v>11</v>
      </c>
      <c r="F466" s="2" t="s">
        <v>25</v>
      </c>
      <c r="G466" s="36">
        <v>0.875</v>
      </c>
      <c r="H466" s="2" t="s">
        <v>1965</v>
      </c>
      <c r="I4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66" s="22">
        <v>18</v>
      </c>
      <c r="K466" s="22">
        <v>18</v>
      </c>
      <c r="L466" s="37">
        <v>36892</v>
      </c>
      <c r="M466" s="2"/>
      <c r="N466" s="2" t="s">
        <v>1966</v>
      </c>
      <c r="O466" s="2" t="s">
        <v>27</v>
      </c>
      <c r="P466" s="2" t="s">
        <v>26</v>
      </c>
    </row>
    <row r="467" spans="1:16" ht="20.100000000000001" customHeight="1" x14ac:dyDescent="0.25">
      <c r="A467" s="26" t="str">
        <f>CONCATENATE(LEFT(ConsumoConcreto[[#This Row],[RecebimentoID]],4),"CNSC",TEXT(ConsumoConcreto[[#This Row],[Ordem]],"0000"),UPPER(LEFT(ConsumoConcreto[[#This Row],[Destino]],3)))</f>
        <v>0184CNSC0317RAD</v>
      </c>
      <c r="B467" s="1">
        <v>317</v>
      </c>
      <c r="C467" s="2" t="s">
        <v>2496</v>
      </c>
      <c r="D467" s="2" t="s">
        <v>1989</v>
      </c>
      <c r="E467" s="18">
        <v>11</v>
      </c>
      <c r="F467" s="2" t="s">
        <v>1801</v>
      </c>
      <c r="G467" s="36">
        <v>0.46666666666666662</v>
      </c>
      <c r="H467" s="2" t="s">
        <v>1968</v>
      </c>
      <c r="I4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67" s="22">
        <v>7</v>
      </c>
      <c r="K467" s="22">
        <v>7</v>
      </c>
      <c r="L467" s="37">
        <v>36892</v>
      </c>
      <c r="M467" s="2"/>
      <c r="N467" s="2" t="s">
        <v>1963</v>
      </c>
      <c r="O467" s="2" t="s">
        <v>27</v>
      </c>
      <c r="P467" s="2" t="s">
        <v>26</v>
      </c>
    </row>
    <row r="468" spans="1:16" ht="20.100000000000001" customHeight="1" x14ac:dyDescent="0.25">
      <c r="A468" s="26" t="str">
        <f>CONCATENATE(LEFT(ConsumoConcreto[[#This Row],[RecebimentoID]],4),"CNSC",TEXT(ConsumoConcreto[[#This Row],[Ordem]],"0000"),UPPER(LEFT(ConsumoConcreto[[#This Row],[Destino]],3)))</f>
        <v>0184CNSC0352PAR</v>
      </c>
      <c r="B468" s="1">
        <v>352</v>
      </c>
      <c r="C468" s="2" t="s">
        <v>2497</v>
      </c>
      <c r="D468" s="2" t="s">
        <v>1992</v>
      </c>
      <c r="E468" s="18">
        <v>11</v>
      </c>
      <c r="F468" s="2" t="s">
        <v>25</v>
      </c>
      <c r="G468" s="36">
        <v>0.71875</v>
      </c>
      <c r="H468" s="2" t="s">
        <v>1965</v>
      </c>
      <c r="I4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68" s="22">
        <v>14.5</v>
      </c>
      <c r="K468" s="22">
        <v>14.5</v>
      </c>
      <c r="L468" s="37">
        <v>36892</v>
      </c>
      <c r="M468" s="2"/>
      <c r="N468" s="2" t="s">
        <v>1966</v>
      </c>
      <c r="O468" s="2" t="s">
        <v>27</v>
      </c>
      <c r="P468" s="2" t="s">
        <v>26</v>
      </c>
    </row>
    <row r="469" spans="1:16" ht="20.100000000000001" customHeight="1" x14ac:dyDescent="0.25">
      <c r="A469" s="26" t="str">
        <f>CONCATENATE(LEFT(ConsumoConcreto[[#This Row],[RecebimentoID]],4),"CNSC",TEXT(ConsumoConcreto[[#This Row],[Ordem]],"0000"),UPPER(LEFT(ConsumoConcreto[[#This Row],[Destino]],3)))</f>
        <v>0184CNSC0340RAD</v>
      </c>
      <c r="B469" s="1">
        <v>340</v>
      </c>
      <c r="C469" s="2" t="s">
        <v>2498</v>
      </c>
      <c r="D469" s="2" t="s">
        <v>1992</v>
      </c>
      <c r="E469" s="18">
        <v>11</v>
      </c>
      <c r="F469" s="2" t="s">
        <v>1801</v>
      </c>
      <c r="G469" s="36">
        <v>0.73333333333333339</v>
      </c>
      <c r="H469" s="2" t="s">
        <v>1968</v>
      </c>
      <c r="I4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69" s="22">
        <v>5.5</v>
      </c>
      <c r="K469" s="22">
        <v>5.5</v>
      </c>
      <c r="L469" s="37">
        <v>36892</v>
      </c>
      <c r="M469" s="2"/>
      <c r="N469" s="2" t="s">
        <v>2017</v>
      </c>
      <c r="O469" s="2" t="s">
        <v>27</v>
      </c>
      <c r="P469" s="2" t="s">
        <v>26</v>
      </c>
    </row>
    <row r="470" spans="1:16" ht="20.100000000000001" customHeight="1" x14ac:dyDescent="0.25">
      <c r="A470" s="26" t="str">
        <f>CONCATENATE(LEFT(ConsumoConcreto[[#This Row],[RecebimentoID]],4),"CNSC",TEXT(ConsumoConcreto[[#This Row],[Ordem]],"0000"),UPPER(LEFT(ConsumoConcreto[[#This Row],[Destino]],3)))</f>
        <v>0184CNSC0402PIL</v>
      </c>
      <c r="B470" s="1">
        <v>402</v>
      </c>
      <c r="C470" s="2" t="s">
        <v>2499</v>
      </c>
      <c r="D470" s="2" t="s">
        <v>1995</v>
      </c>
      <c r="E470" s="18">
        <v>11</v>
      </c>
      <c r="F470" s="2" t="s">
        <v>25</v>
      </c>
      <c r="G470" s="36"/>
      <c r="H470" s="2" t="s">
        <v>1962</v>
      </c>
      <c r="I4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470" s="22">
        <v>0.1</v>
      </c>
      <c r="K470" s="22">
        <v>0.1</v>
      </c>
      <c r="L470" s="37">
        <v>36892</v>
      </c>
      <c r="M470" s="2"/>
      <c r="N470" s="2" t="s">
        <v>1963</v>
      </c>
      <c r="O470" s="2" t="s">
        <v>27</v>
      </c>
      <c r="P470" s="2" t="s">
        <v>26</v>
      </c>
    </row>
    <row r="471" spans="1:16" ht="20.100000000000001" customHeight="1" x14ac:dyDescent="0.25">
      <c r="A471" s="26" t="str">
        <f>CONCATENATE(LEFT(ConsumoConcreto[[#This Row],[RecebimentoID]],4),"CNSC",TEXT(ConsumoConcreto[[#This Row],[Ordem]],"0000"),UPPER(LEFT(ConsumoConcreto[[#This Row],[Destino]],3)))</f>
        <v>0184CNSC0390PAR</v>
      </c>
      <c r="B471" s="1">
        <v>390</v>
      </c>
      <c r="C471" s="2" t="s">
        <v>2500</v>
      </c>
      <c r="D471" s="2" t="s">
        <v>1995</v>
      </c>
      <c r="E471" s="18">
        <v>11</v>
      </c>
      <c r="F471" s="2" t="s">
        <v>25</v>
      </c>
      <c r="G471" s="36">
        <v>0.73402777777777783</v>
      </c>
      <c r="H471" s="2" t="s">
        <v>1965</v>
      </c>
      <c r="I4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71" s="22">
        <v>14.5</v>
      </c>
      <c r="K471" s="22">
        <v>14.5</v>
      </c>
      <c r="L471" s="37">
        <v>36892</v>
      </c>
      <c r="M471" s="2"/>
      <c r="N471" s="2" t="s">
        <v>1966</v>
      </c>
      <c r="O471" s="2" t="s">
        <v>27</v>
      </c>
      <c r="P471" s="2" t="s">
        <v>26</v>
      </c>
    </row>
    <row r="472" spans="1:16" ht="20.100000000000001" customHeight="1" x14ac:dyDescent="0.25">
      <c r="A472" s="26" t="str">
        <f>CONCATENATE(LEFT(ConsumoConcreto[[#This Row],[RecebimentoID]],4),"CNSC",TEXT(ConsumoConcreto[[#This Row],[Ordem]],"0000"),UPPER(LEFT(ConsumoConcreto[[#This Row],[Destino]],3)))</f>
        <v>0184CNSC0371RAD</v>
      </c>
      <c r="B472" s="1">
        <v>371</v>
      </c>
      <c r="C472" s="2" t="s">
        <v>2501</v>
      </c>
      <c r="D472" s="2" t="s">
        <v>1995</v>
      </c>
      <c r="E472" s="18">
        <v>11</v>
      </c>
      <c r="F472" s="2" t="s">
        <v>1801</v>
      </c>
      <c r="G472" s="36">
        <v>0.68055555555555547</v>
      </c>
      <c r="H472" s="2" t="s">
        <v>1968</v>
      </c>
      <c r="I4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72" s="22">
        <v>5.5</v>
      </c>
      <c r="K472" s="22">
        <v>5.5</v>
      </c>
      <c r="L472" s="37">
        <v>36892</v>
      </c>
      <c r="M472" s="2"/>
      <c r="N472" s="2" t="s">
        <v>1963</v>
      </c>
      <c r="O472" s="2" t="s">
        <v>27</v>
      </c>
      <c r="P472" s="2" t="s">
        <v>26</v>
      </c>
    </row>
    <row r="473" spans="1:16" ht="20.100000000000001" customHeight="1" x14ac:dyDescent="0.25">
      <c r="A473" s="26" t="str">
        <f>CONCATENATE(LEFT(ConsumoConcreto[[#This Row],[RecebimentoID]],4),"CNSC",TEXT(ConsumoConcreto[[#This Row],[Ordem]],"0000"),UPPER(LEFT(ConsumoConcreto[[#This Row],[Destino]],3)))</f>
        <v>0184CNSC0429PAR</v>
      </c>
      <c r="B473" s="1">
        <v>429</v>
      </c>
      <c r="C473" s="2" t="s">
        <v>2502</v>
      </c>
      <c r="D473" s="2" t="s">
        <v>1999</v>
      </c>
      <c r="E473" s="18">
        <v>11</v>
      </c>
      <c r="F473" s="2" t="s">
        <v>25</v>
      </c>
      <c r="G473" s="36">
        <v>0.79236111111111107</v>
      </c>
      <c r="H473" s="2" t="s">
        <v>1965</v>
      </c>
      <c r="I4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73" s="22">
        <v>18.5</v>
      </c>
      <c r="K473" s="22">
        <v>18.5</v>
      </c>
      <c r="L473" s="37">
        <v>36892</v>
      </c>
      <c r="M473" s="2"/>
      <c r="N473" s="2" t="s">
        <v>1966</v>
      </c>
      <c r="O473" s="2" t="s">
        <v>27</v>
      </c>
      <c r="P473" s="2" t="s">
        <v>26</v>
      </c>
    </row>
    <row r="474" spans="1:16" ht="20.100000000000001" customHeight="1" x14ac:dyDescent="0.25">
      <c r="A474" s="26" t="str">
        <f>CONCATENATE(LEFT(ConsumoConcreto[[#This Row],[RecebimentoID]],4),"CNSC",TEXT(ConsumoConcreto[[#This Row],[Ordem]],"0000"),UPPER(LEFT(ConsumoConcreto[[#This Row],[Destino]],3)))</f>
        <v>0184CNSC0418RAD</v>
      </c>
      <c r="B474" s="1">
        <v>418</v>
      </c>
      <c r="C474" s="2" t="s">
        <v>2503</v>
      </c>
      <c r="D474" s="2" t="s">
        <v>1999</v>
      </c>
      <c r="E474" s="18">
        <v>11</v>
      </c>
      <c r="F474" s="2" t="s">
        <v>1801</v>
      </c>
      <c r="G474" s="36">
        <v>0.70486111111111116</v>
      </c>
      <c r="H474" s="2" t="s">
        <v>1968</v>
      </c>
      <c r="I4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74" s="22">
        <v>7</v>
      </c>
      <c r="K474" s="22">
        <v>7</v>
      </c>
      <c r="L474" s="37">
        <v>36892</v>
      </c>
      <c r="M474" s="2"/>
      <c r="N474" s="2" t="s">
        <v>2017</v>
      </c>
      <c r="O474" s="2" t="s">
        <v>27</v>
      </c>
      <c r="P474" s="2" t="s">
        <v>26</v>
      </c>
    </row>
    <row r="475" spans="1:16" ht="20.100000000000001" customHeight="1" x14ac:dyDescent="0.25">
      <c r="A475" s="26" t="str">
        <f>CONCATENATE(LEFT(ConsumoConcreto[[#This Row],[RecebimentoID]],4),"CNSC",TEXT(ConsumoConcreto[[#This Row],[Ordem]],"0000"),UPPER(LEFT(ConsumoConcreto[[#This Row],[Destino]],3)))</f>
        <v>0184CNSC0465PAR</v>
      </c>
      <c r="B475" s="1">
        <v>465</v>
      </c>
      <c r="C475" s="2" t="s">
        <v>2504</v>
      </c>
      <c r="D475" s="2" t="s">
        <v>2002</v>
      </c>
      <c r="E475" s="18">
        <v>11</v>
      </c>
      <c r="F475" s="2" t="s">
        <v>25</v>
      </c>
      <c r="G475" s="36">
        <v>0.87777777777777777</v>
      </c>
      <c r="H475" s="2" t="s">
        <v>1965</v>
      </c>
      <c r="I4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75" s="22">
        <v>18</v>
      </c>
      <c r="K475" s="22">
        <v>18</v>
      </c>
      <c r="L475" s="37">
        <v>36892</v>
      </c>
      <c r="M475" s="2"/>
      <c r="N475" s="2" t="s">
        <v>1966</v>
      </c>
      <c r="O475" s="2" t="s">
        <v>27</v>
      </c>
      <c r="P475" s="2" t="s">
        <v>26</v>
      </c>
    </row>
    <row r="476" spans="1:16" ht="20.100000000000001" customHeight="1" x14ac:dyDescent="0.25">
      <c r="A476" s="26" t="str">
        <f>CONCATENATE(LEFT(ConsumoConcreto[[#This Row],[RecebimentoID]],4),"CNSC",TEXT(ConsumoConcreto[[#This Row],[Ordem]],"0000"),UPPER(LEFT(ConsumoConcreto[[#This Row],[Destino]],3)))</f>
        <v>0184CNSC0454RAD</v>
      </c>
      <c r="B476" s="1">
        <v>454</v>
      </c>
      <c r="C476" s="2" t="s">
        <v>2505</v>
      </c>
      <c r="D476" s="2" t="s">
        <v>2002</v>
      </c>
      <c r="E476" s="18">
        <v>11</v>
      </c>
      <c r="F476" s="2" t="s">
        <v>1801</v>
      </c>
      <c r="G476" s="36">
        <v>0.46527777777777773</v>
      </c>
      <c r="H476" s="2" t="s">
        <v>1968</v>
      </c>
      <c r="I4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76" s="22">
        <v>7.5</v>
      </c>
      <c r="K476" s="22">
        <v>7.5</v>
      </c>
      <c r="L476" s="37">
        <v>36892</v>
      </c>
      <c r="M476" s="2"/>
      <c r="N476" s="2" t="s">
        <v>1963</v>
      </c>
      <c r="O476" s="2" t="s">
        <v>27</v>
      </c>
      <c r="P476" s="2" t="s">
        <v>26</v>
      </c>
    </row>
    <row r="477" spans="1:16" ht="20.100000000000001" customHeight="1" x14ac:dyDescent="0.25">
      <c r="A477" s="26" t="str">
        <f>CONCATENATE(LEFT(ConsumoConcreto[[#This Row],[RecebimentoID]],4),"CNSC",TEXT(ConsumoConcreto[[#This Row],[Ordem]],"0000"),UPPER(LEFT(ConsumoConcreto[[#This Row],[Destino]],3)))</f>
        <v>0184CNSC0520PAR</v>
      </c>
      <c r="B477" s="1">
        <v>520</v>
      </c>
      <c r="C477" s="2" t="s">
        <v>2506</v>
      </c>
      <c r="D477" s="2" t="s">
        <v>2005</v>
      </c>
      <c r="E477" s="18">
        <v>11</v>
      </c>
      <c r="F477" s="2" t="s">
        <v>25</v>
      </c>
      <c r="G477" s="36">
        <v>0.73263888888888884</v>
      </c>
      <c r="H477" s="2" t="s">
        <v>1965</v>
      </c>
      <c r="I4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77" s="22">
        <v>18</v>
      </c>
      <c r="K477" s="22">
        <v>18</v>
      </c>
      <c r="L477" s="37">
        <v>36892</v>
      </c>
      <c r="M477" s="2"/>
      <c r="N477" s="2" t="s">
        <v>1966</v>
      </c>
      <c r="O477" s="2" t="s">
        <v>27</v>
      </c>
      <c r="P477" s="2" t="s">
        <v>26</v>
      </c>
    </row>
    <row r="478" spans="1:16" ht="20.100000000000001" customHeight="1" x14ac:dyDescent="0.25">
      <c r="A478" s="26" t="str">
        <f>CONCATENATE(LEFT(ConsumoConcreto[[#This Row],[RecebimentoID]],4),"CNSC",TEXT(ConsumoConcreto[[#This Row],[Ordem]],"0000"),UPPER(LEFT(ConsumoConcreto[[#This Row],[Destino]],3)))</f>
        <v>0184CNSC0483RAD</v>
      </c>
      <c r="B478" s="1">
        <v>483</v>
      </c>
      <c r="C478" s="2" t="s">
        <v>2507</v>
      </c>
      <c r="D478" s="2" t="s">
        <v>2005</v>
      </c>
      <c r="E478" s="18">
        <v>11</v>
      </c>
      <c r="F478" s="2" t="s">
        <v>1801</v>
      </c>
      <c r="G478" s="36">
        <v>0.62847222222222221</v>
      </c>
      <c r="H478" s="2" t="s">
        <v>1968</v>
      </c>
      <c r="I4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78" s="22">
        <v>7</v>
      </c>
      <c r="K478" s="22">
        <v>7</v>
      </c>
      <c r="L478" s="37">
        <v>36892</v>
      </c>
      <c r="M478" s="2"/>
      <c r="N478" s="2" t="s">
        <v>1963</v>
      </c>
      <c r="O478" s="2" t="s">
        <v>27</v>
      </c>
      <c r="P478" s="2" t="s">
        <v>26</v>
      </c>
    </row>
    <row r="479" spans="1:16" ht="20.100000000000001" customHeight="1" x14ac:dyDescent="0.25">
      <c r="A479" s="26" t="str">
        <f>CONCATENATE(LEFT(ConsumoConcreto[[#This Row],[RecebimentoID]],4),"CNSC",TEXT(ConsumoConcreto[[#This Row],[Ordem]],"0000"),UPPER(LEFT(ConsumoConcreto[[#This Row],[Destino]],3)))</f>
        <v>0184CNSC0573PAR</v>
      </c>
      <c r="B479" s="1">
        <v>573</v>
      </c>
      <c r="C479" s="2" t="s">
        <v>2508</v>
      </c>
      <c r="D479" s="2" t="s">
        <v>2007</v>
      </c>
      <c r="E479" s="18">
        <v>11</v>
      </c>
      <c r="F479" s="2" t="s">
        <v>25</v>
      </c>
      <c r="G479" s="36">
        <v>0.88541666666666663</v>
      </c>
      <c r="H479" s="2" t="s">
        <v>1965</v>
      </c>
      <c r="I4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79" s="22">
        <v>18</v>
      </c>
      <c r="K479" s="22">
        <v>18</v>
      </c>
      <c r="L479" s="37">
        <v>36892</v>
      </c>
      <c r="M479" s="2"/>
      <c r="N479" s="2" t="s">
        <v>1966</v>
      </c>
      <c r="O479" s="2" t="s">
        <v>27</v>
      </c>
      <c r="P479" s="2" t="s">
        <v>26</v>
      </c>
    </row>
    <row r="480" spans="1:16" ht="20.100000000000001" customHeight="1" x14ac:dyDescent="0.25">
      <c r="A480" s="26" t="str">
        <f>CONCATENATE(LEFT(ConsumoConcreto[[#This Row],[RecebimentoID]],4),"CNSC",TEXT(ConsumoConcreto[[#This Row],[Ordem]],"0000"),UPPER(LEFT(ConsumoConcreto[[#This Row],[Destino]],3)))</f>
        <v>0184CNSC0554RAD</v>
      </c>
      <c r="B480" s="1">
        <v>554</v>
      </c>
      <c r="C480" s="2" t="s">
        <v>2509</v>
      </c>
      <c r="D480" s="2" t="s">
        <v>2007</v>
      </c>
      <c r="E480" s="18">
        <v>11</v>
      </c>
      <c r="F480" s="2" t="s">
        <v>1801</v>
      </c>
      <c r="G480" s="36"/>
      <c r="H480" s="2" t="s">
        <v>1968</v>
      </c>
      <c r="I4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80" s="22">
        <v>7</v>
      </c>
      <c r="K480" s="22">
        <v>7</v>
      </c>
      <c r="L480" s="37">
        <v>36892</v>
      </c>
      <c r="M480" s="2"/>
      <c r="N480" s="2" t="s">
        <v>1963</v>
      </c>
      <c r="O480" s="2" t="s">
        <v>27</v>
      </c>
      <c r="P480" s="2" t="s">
        <v>26</v>
      </c>
    </row>
    <row r="481" spans="1:16" ht="20.100000000000001" customHeight="1" x14ac:dyDescent="0.25">
      <c r="A481" s="26" t="str">
        <f>CONCATENATE(LEFT(ConsumoConcreto[[#This Row],[RecebimentoID]],4),"CNSC",TEXT(ConsumoConcreto[[#This Row],[Ordem]],"0000"),UPPER(LEFT(ConsumoConcreto[[#This Row],[Destino]],3)))</f>
        <v>0184CNSC0627PAR</v>
      </c>
      <c r="B481" s="1">
        <v>627</v>
      </c>
      <c r="C481" s="2" t="s">
        <v>2510</v>
      </c>
      <c r="D481" s="2" t="s">
        <v>2010</v>
      </c>
      <c r="E481" s="18">
        <v>11</v>
      </c>
      <c r="F481" s="2" t="s">
        <v>25</v>
      </c>
      <c r="G481" s="36">
        <v>0.8930555555555556</v>
      </c>
      <c r="H481" s="2" t="s">
        <v>1965</v>
      </c>
      <c r="I4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481" s="22">
        <v>18</v>
      </c>
      <c r="K481" s="22">
        <v>18</v>
      </c>
      <c r="L481" s="37">
        <v>36892</v>
      </c>
      <c r="M481" s="2"/>
      <c r="N481" s="2" t="s">
        <v>1966</v>
      </c>
      <c r="O481" s="2" t="s">
        <v>27</v>
      </c>
      <c r="P481" s="2" t="s">
        <v>26</v>
      </c>
    </row>
    <row r="482" spans="1:16" ht="20.100000000000001" customHeight="1" x14ac:dyDescent="0.25">
      <c r="A482" s="26" t="str">
        <f>CONCATENATE(LEFT(ConsumoConcreto[[#This Row],[RecebimentoID]],4),"CNSC",TEXT(ConsumoConcreto[[#This Row],[Ordem]],"0000"),UPPER(LEFT(ConsumoConcreto[[#This Row],[Destino]],3)))</f>
        <v>0184CNSC0600RAD</v>
      </c>
      <c r="B482" s="1">
        <v>600</v>
      </c>
      <c r="C482" s="2" t="s">
        <v>2511</v>
      </c>
      <c r="D482" s="2" t="s">
        <v>2010</v>
      </c>
      <c r="E482" s="18">
        <v>11</v>
      </c>
      <c r="F482" s="2" t="s">
        <v>1801</v>
      </c>
      <c r="G482" s="36">
        <v>0.64236111111111105</v>
      </c>
      <c r="H482" s="2" t="s">
        <v>1968</v>
      </c>
      <c r="I4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82" s="22">
        <v>6</v>
      </c>
      <c r="K482" s="22">
        <v>6</v>
      </c>
      <c r="L482" s="37">
        <v>36892</v>
      </c>
      <c r="M482" s="2" t="s">
        <v>2512</v>
      </c>
      <c r="N482" s="2" t="s">
        <v>1963</v>
      </c>
      <c r="O482" s="2" t="s">
        <v>27</v>
      </c>
      <c r="P482" s="2" t="s">
        <v>26</v>
      </c>
    </row>
    <row r="483" spans="1:16" ht="20.100000000000001" customHeight="1" x14ac:dyDescent="0.25">
      <c r="A483" s="26" t="str">
        <f>CONCATENATE(LEFT(ConsumoConcreto[[#This Row],[RecebimentoID]],4),"CNSC",TEXT(ConsumoConcreto[[#This Row],[Ordem]],"0000"),UPPER(LEFT(ConsumoConcreto[[#This Row],[Destino]],3)))</f>
        <v>0184CNSC0693PAR</v>
      </c>
      <c r="B483" s="1">
        <v>693</v>
      </c>
      <c r="C483" s="2" t="s">
        <v>2513</v>
      </c>
      <c r="D483" s="2" t="s">
        <v>2013</v>
      </c>
      <c r="E483" s="18">
        <v>11</v>
      </c>
      <c r="F483" s="2" t="s">
        <v>25</v>
      </c>
      <c r="G483" s="36">
        <v>0.88402777777777775</v>
      </c>
      <c r="H483" s="2" t="s">
        <v>1965</v>
      </c>
      <c r="I4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83" s="22">
        <v>14.5</v>
      </c>
      <c r="K483" s="22">
        <v>14.5</v>
      </c>
      <c r="L483" s="37">
        <v>36892</v>
      </c>
      <c r="M483" s="2"/>
      <c r="N483" s="2" t="s">
        <v>1966</v>
      </c>
      <c r="O483" s="2" t="s">
        <v>27</v>
      </c>
      <c r="P483" s="2" t="s">
        <v>26</v>
      </c>
    </row>
    <row r="484" spans="1:16" ht="20.100000000000001" customHeight="1" x14ac:dyDescent="0.25">
      <c r="A484" s="26" t="str">
        <f>CONCATENATE(LEFT(ConsumoConcreto[[#This Row],[RecebimentoID]],4),"CNSC",TEXT(ConsumoConcreto[[#This Row],[Ordem]],"0000"),UPPER(LEFT(ConsumoConcreto[[#This Row],[Destino]],3)))</f>
        <v>0184CNSC0673RAD</v>
      </c>
      <c r="B484" s="1">
        <v>673</v>
      </c>
      <c r="C484" s="2" t="s">
        <v>2514</v>
      </c>
      <c r="D484" s="2" t="s">
        <v>2013</v>
      </c>
      <c r="E484" s="18">
        <v>11</v>
      </c>
      <c r="F484" s="2" t="s">
        <v>1801</v>
      </c>
      <c r="G484" s="36"/>
      <c r="H484" s="2" t="s">
        <v>1968</v>
      </c>
      <c r="I4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84" s="22">
        <v>6</v>
      </c>
      <c r="K484" s="22">
        <v>5.4809999999999999</v>
      </c>
      <c r="L484" s="37">
        <v>36892</v>
      </c>
      <c r="M484" s="2"/>
      <c r="N484" s="2"/>
      <c r="O484" s="2" t="s">
        <v>27</v>
      </c>
      <c r="P484" s="2" t="s">
        <v>26</v>
      </c>
    </row>
    <row r="485" spans="1:16" ht="20.100000000000001" customHeight="1" x14ac:dyDescent="0.25">
      <c r="A485" s="26" t="str">
        <f>CONCATENATE(LEFT(ConsumoConcreto[[#This Row],[RecebimentoID]],4),"CNSC",TEXT(ConsumoConcreto[[#This Row],[Ordem]],"0000"),UPPER(LEFT(ConsumoConcreto[[#This Row],[Destino]],3)))</f>
        <v>0184CNSC0769PAR</v>
      </c>
      <c r="B485" s="1">
        <v>769</v>
      </c>
      <c r="C485" s="2" t="s">
        <v>2515</v>
      </c>
      <c r="D485" s="2" t="s">
        <v>2016</v>
      </c>
      <c r="E485" s="18">
        <v>11</v>
      </c>
      <c r="F485" s="2" t="s">
        <v>25</v>
      </c>
      <c r="G485" s="36">
        <v>0.9</v>
      </c>
      <c r="H485" s="2" t="s">
        <v>1965</v>
      </c>
      <c r="I4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85" s="22">
        <v>14.5</v>
      </c>
      <c r="K485" s="22">
        <v>14.5</v>
      </c>
      <c r="L485" s="37">
        <v>36892</v>
      </c>
      <c r="M485" s="2"/>
      <c r="N485" s="2" t="s">
        <v>2017</v>
      </c>
      <c r="O485" s="2" t="s">
        <v>27</v>
      </c>
      <c r="P485" s="2" t="s">
        <v>26</v>
      </c>
    </row>
    <row r="486" spans="1:16" ht="20.100000000000001" customHeight="1" x14ac:dyDescent="0.25">
      <c r="A486" s="26" t="str">
        <f>CONCATENATE(LEFT(ConsumoConcreto[[#This Row],[RecebimentoID]],4),"CNSC",TEXT(ConsumoConcreto[[#This Row],[Ordem]],"0000"),UPPER(LEFT(ConsumoConcreto[[#This Row],[Destino]],3)))</f>
        <v>0184CNSC0750RAD</v>
      </c>
      <c r="B486" s="1">
        <v>750</v>
      </c>
      <c r="C486" s="2" t="s">
        <v>2516</v>
      </c>
      <c r="D486" s="2" t="s">
        <v>2016</v>
      </c>
      <c r="E486" s="18">
        <v>11</v>
      </c>
      <c r="F486" s="2" t="s">
        <v>1801</v>
      </c>
      <c r="G486" s="36">
        <v>0.70833333333333337</v>
      </c>
      <c r="H486" s="2" t="s">
        <v>1968</v>
      </c>
      <c r="I4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86" s="22">
        <v>7.5</v>
      </c>
      <c r="K486" s="22">
        <v>7.5</v>
      </c>
      <c r="L486" s="37">
        <v>36892</v>
      </c>
      <c r="M486" s="2" t="s">
        <v>2517</v>
      </c>
      <c r="N486" s="2" t="s">
        <v>2017</v>
      </c>
      <c r="O486" s="2" t="s">
        <v>27</v>
      </c>
      <c r="P486" s="2" t="s">
        <v>26</v>
      </c>
    </row>
    <row r="487" spans="1:16" ht="20.100000000000001" customHeight="1" x14ac:dyDescent="0.25">
      <c r="A487" s="26" t="str">
        <f>CONCATENATE(LEFT(ConsumoConcreto[[#This Row],[RecebimentoID]],4),"CNSC",TEXT(ConsumoConcreto[[#This Row],[Ordem]],"0000"),UPPER(LEFT(ConsumoConcreto[[#This Row],[Destino]],3)))</f>
        <v>0184CNSC0802PAR</v>
      </c>
      <c r="B487" s="1">
        <v>802</v>
      </c>
      <c r="C487" s="2" t="s">
        <v>2518</v>
      </c>
      <c r="D487" s="2" t="s">
        <v>2021</v>
      </c>
      <c r="E487" s="18">
        <v>11</v>
      </c>
      <c r="F487" s="2" t="s">
        <v>25</v>
      </c>
      <c r="G487" s="36"/>
      <c r="H487" s="2" t="s">
        <v>1965</v>
      </c>
      <c r="I4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L487" s="37">
        <v>36892</v>
      </c>
      <c r="M487" s="2"/>
      <c r="N487" s="2" t="s">
        <v>1966</v>
      </c>
      <c r="O487" s="2" t="s">
        <v>27</v>
      </c>
      <c r="P487" s="2" t="s">
        <v>26</v>
      </c>
    </row>
    <row r="488" spans="1:16" ht="20.100000000000001" customHeight="1" x14ac:dyDescent="0.25">
      <c r="A488" s="26" t="str">
        <f>CONCATENATE(LEFT(ConsumoConcreto[[#This Row],[RecebimentoID]],4),"CNSC",TEXT(ConsumoConcreto[[#This Row],[Ordem]],"0000"),UPPER(LEFT(ConsumoConcreto[[#This Row],[Destino]],3)))</f>
        <v>0184CNSC0781RAD</v>
      </c>
      <c r="B488" s="1">
        <v>781</v>
      </c>
      <c r="C488" s="2" t="s">
        <v>2519</v>
      </c>
      <c r="D488" s="2" t="s">
        <v>2021</v>
      </c>
      <c r="E488" s="18">
        <v>11</v>
      </c>
      <c r="F488" s="2" t="s">
        <v>1801</v>
      </c>
      <c r="G488" s="36">
        <v>0.40277777777777773</v>
      </c>
      <c r="H488" s="2" t="s">
        <v>1968</v>
      </c>
      <c r="I4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488" s="22">
        <v>7</v>
      </c>
      <c r="K488" s="22">
        <v>7</v>
      </c>
      <c r="L488" s="37">
        <v>36892</v>
      </c>
      <c r="M488" s="2"/>
      <c r="N488" s="2" t="s">
        <v>1963</v>
      </c>
      <c r="O488" s="2" t="s">
        <v>27</v>
      </c>
      <c r="P488" s="2" t="s">
        <v>26</v>
      </c>
    </row>
    <row r="489" spans="1:16" ht="20.100000000000001" customHeight="1" x14ac:dyDescent="0.25">
      <c r="A489" s="26" t="str">
        <f>CONCATENATE(LEFT(ConsumoConcreto[[#This Row],[RecebimentoID]],4),"CNSC",TEXT(ConsumoConcreto[[#This Row],[Ordem]],"0000"),UPPER(LEFT(ConsumoConcreto[[#This Row],[Destino]],3)))</f>
        <v>0184CNSC0853PAR</v>
      </c>
      <c r="B489" s="1">
        <v>853</v>
      </c>
      <c r="C489" s="2" t="s">
        <v>2520</v>
      </c>
      <c r="D489" s="2" t="s">
        <v>2024</v>
      </c>
      <c r="E489" s="18">
        <v>11</v>
      </c>
      <c r="F489" s="2" t="s">
        <v>25</v>
      </c>
      <c r="G489" s="36">
        <v>0.67083333333333339</v>
      </c>
      <c r="H489" s="2" t="s">
        <v>1965</v>
      </c>
      <c r="I4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89" s="22">
        <v>14.5</v>
      </c>
      <c r="K489" s="22">
        <v>14.5</v>
      </c>
      <c r="L489" s="37">
        <v>36892</v>
      </c>
      <c r="M489" s="2"/>
      <c r="N489" s="2" t="s">
        <v>1966</v>
      </c>
      <c r="O489" s="2" t="s">
        <v>27</v>
      </c>
      <c r="P489" s="2" t="s">
        <v>26</v>
      </c>
    </row>
    <row r="490" spans="1:16" ht="20.100000000000001" customHeight="1" x14ac:dyDescent="0.25">
      <c r="A490" s="26" t="str">
        <f>CONCATENATE(LEFT(ConsumoConcreto[[#This Row],[RecebimentoID]],4),"CNSC",TEXT(ConsumoConcreto[[#This Row],[Ordem]],"0000"),UPPER(LEFT(ConsumoConcreto[[#This Row],[Destino]],3)))</f>
        <v>0184CNSC0811RAD</v>
      </c>
      <c r="B490" s="1">
        <v>811</v>
      </c>
      <c r="C490" s="2" t="s">
        <v>2521</v>
      </c>
      <c r="D490" s="2" t="s">
        <v>2024</v>
      </c>
      <c r="E490" s="18">
        <v>11</v>
      </c>
      <c r="F490" s="2" t="s">
        <v>1801</v>
      </c>
      <c r="G490" s="36">
        <v>0.4548611111111111</v>
      </c>
      <c r="H490" s="2" t="s">
        <v>1968</v>
      </c>
      <c r="I4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90" s="22">
        <v>6</v>
      </c>
      <c r="K490" s="22">
        <v>6</v>
      </c>
      <c r="L490" s="37">
        <v>36892</v>
      </c>
      <c r="M490" s="2"/>
      <c r="N490" s="2" t="s">
        <v>1966</v>
      </c>
      <c r="O490" s="2" t="s">
        <v>27</v>
      </c>
      <c r="P490" s="2" t="s">
        <v>26</v>
      </c>
    </row>
    <row r="491" spans="1:16" ht="20.100000000000001" customHeight="1" x14ac:dyDescent="0.25">
      <c r="A491" s="26" t="str">
        <f>CONCATENATE(LEFT(ConsumoConcreto[[#This Row],[RecebimentoID]],4),"CNSC",TEXT(ConsumoConcreto[[#This Row],[Ordem]],"0000"),UPPER(LEFT(ConsumoConcreto[[#This Row],[Destino]],3)))</f>
        <v>0184CNSC0891PAR</v>
      </c>
      <c r="B491" s="1">
        <v>891</v>
      </c>
      <c r="C491" s="2" t="s">
        <v>2522</v>
      </c>
      <c r="D491" s="2" t="s">
        <v>2027</v>
      </c>
      <c r="E491" s="18">
        <v>11</v>
      </c>
      <c r="F491" s="2" t="s">
        <v>25</v>
      </c>
      <c r="G491" s="36">
        <v>0.72152777777777777</v>
      </c>
      <c r="H491" s="2" t="s">
        <v>1965</v>
      </c>
      <c r="I4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91" s="22">
        <v>14.5</v>
      </c>
      <c r="K491" s="22">
        <v>14.5</v>
      </c>
      <c r="L491" s="37">
        <v>36892</v>
      </c>
      <c r="M491" s="2"/>
      <c r="N491" s="2" t="s">
        <v>1966</v>
      </c>
      <c r="O491" s="2" t="s">
        <v>27</v>
      </c>
      <c r="P491" s="2" t="s">
        <v>26</v>
      </c>
    </row>
    <row r="492" spans="1:16" ht="20.100000000000001" customHeight="1" x14ac:dyDescent="0.25">
      <c r="A492" s="26" t="str">
        <f>CONCATENATE(LEFT(ConsumoConcreto[[#This Row],[RecebimentoID]],4),"CNSC",TEXT(ConsumoConcreto[[#This Row],[Ordem]],"0000"),UPPER(LEFT(ConsumoConcreto[[#This Row],[Destino]],3)))</f>
        <v>0184CNSC0875RAD</v>
      </c>
      <c r="B492" s="1">
        <v>875</v>
      </c>
      <c r="C492" s="2" t="s">
        <v>2523</v>
      </c>
      <c r="D492" s="2" t="s">
        <v>2027</v>
      </c>
      <c r="E492" s="18">
        <v>11</v>
      </c>
      <c r="F492" s="2" t="s">
        <v>1801</v>
      </c>
      <c r="G492" s="36">
        <v>0.58333333333333337</v>
      </c>
      <c r="H492" s="2" t="s">
        <v>1968</v>
      </c>
      <c r="I4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92" s="22">
        <v>5.5</v>
      </c>
      <c r="K492" s="22">
        <v>5.5</v>
      </c>
      <c r="L492" s="37">
        <v>36892</v>
      </c>
      <c r="M492" s="2"/>
      <c r="N492" s="2" t="s">
        <v>1963</v>
      </c>
      <c r="O492" s="2" t="s">
        <v>27</v>
      </c>
      <c r="P492" s="2" t="s">
        <v>26</v>
      </c>
    </row>
    <row r="493" spans="1:16" ht="20.100000000000001" customHeight="1" x14ac:dyDescent="0.25">
      <c r="A493" s="26" t="str">
        <f>CONCATENATE(LEFT(ConsumoConcreto[[#This Row],[RecebimentoID]],4),"CNSC",TEXT(ConsumoConcreto[[#This Row],[Ordem]],"0000"),UPPER(LEFT(ConsumoConcreto[[#This Row],[Destino]],3)))</f>
        <v>0184CNSC0914PAR</v>
      </c>
      <c r="B493" s="1">
        <v>914</v>
      </c>
      <c r="C493" s="2" t="s">
        <v>2524</v>
      </c>
      <c r="D493" s="2" t="s">
        <v>2030</v>
      </c>
      <c r="E493" s="18">
        <v>11</v>
      </c>
      <c r="F493" s="2" t="s">
        <v>25</v>
      </c>
      <c r="G493" s="36">
        <v>0.84930555555555554</v>
      </c>
      <c r="H493" s="2" t="s">
        <v>1965</v>
      </c>
      <c r="I4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93" s="22">
        <v>14.5</v>
      </c>
      <c r="K493" s="22">
        <v>14.5</v>
      </c>
      <c r="L493" s="37">
        <v>36892</v>
      </c>
      <c r="M493" s="2"/>
      <c r="N493" s="2" t="s">
        <v>1966</v>
      </c>
      <c r="O493" s="2" t="s">
        <v>27</v>
      </c>
      <c r="P493" s="2" t="s">
        <v>26</v>
      </c>
    </row>
    <row r="494" spans="1:16" ht="20.100000000000001" customHeight="1" x14ac:dyDescent="0.25">
      <c r="A494" s="26" t="str">
        <f>CONCATENATE(LEFT(ConsumoConcreto[[#This Row],[RecebimentoID]],4),"CNSC",TEXT(ConsumoConcreto[[#This Row],[Ordem]],"0000"),UPPER(LEFT(ConsumoConcreto[[#This Row],[Destino]],3)))</f>
        <v>0184CNSC0906RAD</v>
      </c>
      <c r="B494" s="1">
        <v>906</v>
      </c>
      <c r="C494" s="2" t="s">
        <v>2525</v>
      </c>
      <c r="D494" s="2" t="s">
        <v>2030</v>
      </c>
      <c r="E494" s="18">
        <v>11</v>
      </c>
      <c r="F494" s="2" t="s">
        <v>1801</v>
      </c>
      <c r="G494" s="36"/>
      <c r="H494" s="2" t="s">
        <v>1968</v>
      </c>
      <c r="I4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94" s="22">
        <v>5.78</v>
      </c>
      <c r="K494" s="22">
        <v>5.4809999999999999</v>
      </c>
      <c r="L494" s="37">
        <v>36892</v>
      </c>
      <c r="M494" s="2"/>
      <c r="N494" s="2"/>
      <c r="O494" s="2" t="s">
        <v>27</v>
      </c>
      <c r="P494" s="2" t="s">
        <v>26</v>
      </c>
    </row>
    <row r="495" spans="1:16" ht="20.100000000000001" customHeight="1" x14ac:dyDescent="0.25">
      <c r="A495" s="26" t="str">
        <f>CONCATENATE(LEFT(ConsumoConcreto[[#This Row],[RecebimentoID]],4),"CNSC",TEXT(ConsumoConcreto[[#This Row],[Ordem]],"0000"),UPPER(LEFT(ConsumoConcreto[[#This Row],[Destino]],3)))</f>
        <v>0184CNSC0971PAR</v>
      </c>
      <c r="B495" s="1">
        <v>971</v>
      </c>
      <c r="C495" s="2" t="s">
        <v>2526</v>
      </c>
      <c r="D495" s="2" t="s">
        <v>2033</v>
      </c>
      <c r="E495" s="18">
        <v>11</v>
      </c>
      <c r="F495" s="2" t="s">
        <v>25</v>
      </c>
      <c r="G495" s="36">
        <v>0.6972222222222223</v>
      </c>
      <c r="H495" s="2" t="s">
        <v>1965</v>
      </c>
      <c r="I4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95" s="22">
        <v>12</v>
      </c>
      <c r="K495" s="22">
        <v>12</v>
      </c>
      <c r="L495" s="37">
        <v>36892</v>
      </c>
      <c r="M495" s="2" t="s">
        <v>2527</v>
      </c>
      <c r="N495" s="2" t="s">
        <v>1966</v>
      </c>
      <c r="O495" s="2" t="s">
        <v>27</v>
      </c>
      <c r="P495" s="2" t="s">
        <v>26</v>
      </c>
    </row>
    <row r="496" spans="1:16" ht="20.100000000000001" customHeight="1" x14ac:dyDescent="0.25">
      <c r="A496" s="26" t="str">
        <f>CONCATENATE(LEFT(ConsumoConcreto[[#This Row],[RecebimentoID]],4),"CNSC",TEXT(ConsumoConcreto[[#This Row],[Ordem]],"0000"),UPPER(LEFT(ConsumoConcreto[[#This Row],[Destino]],3)))</f>
        <v>0184CNSC0937RAD</v>
      </c>
      <c r="B496" s="1">
        <v>937</v>
      </c>
      <c r="C496" s="2" t="s">
        <v>2528</v>
      </c>
      <c r="D496" s="2" t="s">
        <v>2033</v>
      </c>
      <c r="E496" s="18">
        <v>11</v>
      </c>
      <c r="F496" s="2" t="s">
        <v>1801</v>
      </c>
      <c r="G496" s="36">
        <v>0.63194444444444442</v>
      </c>
      <c r="H496" s="2" t="s">
        <v>1968</v>
      </c>
      <c r="I4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96" s="22">
        <v>5.5</v>
      </c>
      <c r="K496" s="22">
        <v>5.5</v>
      </c>
      <c r="L496" s="37">
        <v>36892</v>
      </c>
      <c r="M496" s="2"/>
      <c r="N496" s="2" t="s">
        <v>1963</v>
      </c>
      <c r="O496" s="2" t="s">
        <v>27</v>
      </c>
      <c r="P496" s="2" t="s">
        <v>26</v>
      </c>
    </row>
    <row r="497" spans="1:16" ht="20.100000000000001" customHeight="1" x14ac:dyDescent="0.25">
      <c r="A497" s="26" t="str">
        <f>CONCATENATE(LEFT(ConsumoConcreto[[#This Row],[RecebimentoID]],4),"CNSC",TEXT(ConsumoConcreto[[#This Row],[Ordem]],"0000"),UPPER(LEFT(ConsumoConcreto[[#This Row],[Destino]],3)))</f>
        <v>0184CNSC1061PAR</v>
      </c>
      <c r="B497" s="1">
        <v>1061</v>
      </c>
      <c r="C497" s="2" t="s">
        <v>2529</v>
      </c>
      <c r="D497" s="2" t="s">
        <v>2036</v>
      </c>
      <c r="E497" s="18">
        <v>11</v>
      </c>
      <c r="F497" s="2" t="s">
        <v>25</v>
      </c>
      <c r="G497" s="36">
        <v>0.74930555555555556</v>
      </c>
      <c r="H497" s="2" t="s">
        <v>1965</v>
      </c>
      <c r="I4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97" s="22">
        <v>14.5</v>
      </c>
      <c r="K497" s="22">
        <v>14.5</v>
      </c>
      <c r="L497" s="37">
        <v>36892</v>
      </c>
      <c r="M497" s="2"/>
      <c r="N497" s="2" t="s">
        <v>1966</v>
      </c>
      <c r="O497" s="2" t="s">
        <v>27</v>
      </c>
      <c r="P497" s="2" t="s">
        <v>26</v>
      </c>
    </row>
    <row r="498" spans="1:16" ht="20.100000000000001" customHeight="1" x14ac:dyDescent="0.25">
      <c r="A498" s="26" t="str">
        <f>CONCATENATE(LEFT(ConsumoConcreto[[#This Row],[RecebimentoID]],4),"CNSC",TEXT(ConsumoConcreto[[#This Row],[Ordem]],"0000"),UPPER(LEFT(ConsumoConcreto[[#This Row],[Destino]],3)))</f>
        <v>0184CNSC1040RAD</v>
      </c>
      <c r="B498" s="1">
        <v>1040</v>
      </c>
      <c r="C498" s="2" t="s">
        <v>2530</v>
      </c>
      <c r="D498" s="2" t="s">
        <v>2036</v>
      </c>
      <c r="E498" s="18">
        <v>11</v>
      </c>
      <c r="F498" s="2" t="s">
        <v>1801</v>
      </c>
      <c r="G498" s="36">
        <v>0.59722222222222221</v>
      </c>
      <c r="H498" s="2" t="s">
        <v>1968</v>
      </c>
      <c r="I4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498" s="22">
        <v>5.5</v>
      </c>
      <c r="K498" s="22">
        <v>5.5</v>
      </c>
      <c r="L498" s="37">
        <v>36892</v>
      </c>
      <c r="M498" s="2"/>
      <c r="N498" s="2" t="s">
        <v>1963</v>
      </c>
      <c r="O498" s="2" t="s">
        <v>27</v>
      </c>
      <c r="P498" s="2" t="s">
        <v>26</v>
      </c>
    </row>
    <row r="499" spans="1:16" ht="20.100000000000001" customHeight="1" x14ac:dyDescent="0.25">
      <c r="A499" s="26" t="str">
        <f>CONCATENATE(LEFT(ConsumoConcreto[[#This Row],[RecebimentoID]],4),"CNSC",TEXT(ConsumoConcreto[[#This Row],[Ordem]],"0000"),UPPER(LEFT(ConsumoConcreto[[#This Row],[Destino]],3)))</f>
        <v>0184CNSC0068PAR</v>
      </c>
      <c r="B499" s="1">
        <v>68</v>
      </c>
      <c r="C499" s="2" t="s">
        <v>2531</v>
      </c>
      <c r="D499" s="2" t="s">
        <v>1970</v>
      </c>
      <c r="E499" s="18">
        <v>12</v>
      </c>
      <c r="F499" s="2" t="s">
        <v>25</v>
      </c>
      <c r="G499" s="36"/>
      <c r="H499" s="2" t="s">
        <v>1965</v>
      </c>
      <c r="I4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499" s="22">
        <v>15</v>
      </c>
      <c r="K499" s="22">
        <v>14</v>
      </c>
      <c r="L499" s="37">
        <v>36892</v>
      </c>
      <c r="M499" s="2" t="s">
        <v>1971</v>
      </c>
      <c r="N499" s="2" t="s">
        <v>1966</v>
      </c>
      <c r="O499" s="2" t="s">
        <v>27</v>
      </c>
      <c r="P499" s="2" t="s">
        <v>26</v>
      </c>
    </row>
    <row r="500" spans="1:16" ht="20.100000000000001" customHeight="1" x14ac:dyDescent="0.25">
      <c r="A500" s="26" t="str">
        <f>CONCATENATE(LEFT(ConsumoConcreto[[#This Row],[RecebimentoID]],4),"CNSC",TEXT(ConsumoConcreto[[#This Row],[Ordem]],"0000"),UPPER(LEFT(ConsumoConcreto[[#This Row],[Destino]],3)))</f>
        <v>0184CNSC0082PIL</v>
      </c>
      <c r="B500" s="1">
        <v>82</v>
      </c>
      <c r="C500" s="2" t="s">
        <v>2532</v>
      </c>
      <c r="D500" s="2" t="s">
        <v>1970</v>
      </c>
      <c r="E500" s="18">
        <v>12</v>
      </c>
      <c r="F500" s="2" t="s">
        <v>25</v>
      </c>
      <c r="G500" s="36"/>
      <c r="H500" s="2" t="s">
        <v>1962</v>
      </c>
      <c r="I5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00" s="22">
        <v>0.1</v>
      </c>
      <c r="K500" s="22">
        <v>0.1</v>
      </c>
      <c r="L500" s="37">
        <v>36892</v>
      </c>
      <c r="M500" s="2"/>
      <c r="N500" s="2" t="s">
        <v>1963</v>
      </c>
      <c r="O500" s="2" t="s">
        <v>27</v>
      </c>
      <c r="P500" s="2" t="s">
        <v>26</v>
      </c>
    </row>
    <row r="501" spans="1:16" ht="20.100000000000001" customHeight="1" x14ac:dyDescent="0.25">
      <c r="A501" s="26" t="str">
        <f>CONCATENATE(LEFT(ConsumoConcreto[[#This Row],[RecebimentoID]],4),"CNSC",TEXT(ConsumoConcreto[[#This Row],[Ordem]],"0000"),UPPER(LEFT(ConsumoConcreto[[#This Row],[Destino]],3)))</f>
        <v>0184CNSC0031RAD</v>
      </c>
      <c r="B501" s="1">
        <v>31</v>
      </c>
      <c r="C501" s="2" t="s">
        <v>2533</v>
      </c>
      <c r="D501" s="2" t="s">
        <v>1970</v>
      </c>
      <c r="E501" s="18">
        <v>12</v>
      </c>
      <c r="F501" s="2" t="s">
        <v>1801</v>
      </c>
      <c r="G501" s="36"/>
      <c r="H501" s="2" t="s">
        <v>1968</v>
      </c>
      <c r="I5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01" s="22">
        <v>5.5</v>
      </c>
      <c r="K501" s="22">
        <v>5.5</v>
      </c>
      <c r="L501" s="37">
        <v>36892</v>
      </c>
      <c r="M501" s="2"/>
      <c r="N501" s="2"/>
      <c r="O501" s="2" t="s">
        <v>27</v>
      </c>
      <c r="P501" s="2" t="s">
        <v>26</v>
      </c>
    </row>
    <row r="502" spans="1:16" ht="20.100000000000001" customHeight="1" x14ac:dyDescent="0.25">
      <c r="A502" s="26" t="str">
        <f>CONCATENATE(LEFT(ConsumoConcreto[[#This Row],[RecebimentoID]],4),"CNSC",TEXT(ConsumoConcreto[[#This Row],[Ordem]],"0000"),UPPER(LEFT(ConsumoConcreto[[#This Row],[Destino]],3)))</f>
        <v>0184CNSC0136PAR</v>
      </c>
      <c r="B502" s="1">
        <v>136</v>
      </c>
      <c r="C502" s="2" t="s">
        <v>2534</v>
      </c>
      <c r="D502" s="2" t="s">
        <v>1975</v>
      </c>
      <c r="E502" s="18">
        <v>12</v>
      </c>
      <c r="F502" s="2" t="s">
        <v>25</v>
      </c>
      <c r="G502" s="36"/>
      <c r="H502" s="2" t="s">
        <v>1965</v>
      </c>
      <c r="I5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02" s="22">
        <v>14.5</v>
      </c>
      <c r="K502" s="22">
        <v>14</v>
      </c>
      <c r="L502" s="37">
        <v>36892</v>
      </c>
      <c r="M502" s="2"/>
      <c r="N502" s="2" t="s">
        <v>1966</v>
      </c>
      <c r="O502" s="2" t="s">
        <v>27</v>
      </c>
      <c r="P502" s="2" t="s">
        <v>26</v>
      </c>
    </row>
    <row r="503" spans="1:16" ht="20.100000000000001" customHeight="1" x14ac:dyDescent="0.25">
      <c r="A503" s="26" t="str">
        <f>CONCATENATE(LEFT(ConsumoConcreto[[#This Row],[RecebimentoID]],4),"CNSC",TEXT(ConsumoConcreto[[#This Row],[Ordem]],"0000"),UPPER(LEFT(ConsumoConcreto[[#This Row],[Destino]],3)))</f>
        <v>0184CNSC0107RAD</v>
      </c>
      <c r="B503" s="1">
        <v>107</v>
      </c>
      <c r="C503" s="2" t="s">
        <v>2535</v>
      </c>
      <c r="D503" s="2" t="s">
        <v>1975</v>
      </c>
      <c r="E503" s="18">
        <v>12</v>
      </c>
      <c r="F503" s="2" t="s">
        <v>1801</v>
      </c>
      <c r="G503" s="36"/>
      <c r="H503" s="2" t="s">
        <v>1968</v>
      </c>
      <c r="I5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03" s="22">
        <v>5.5</v>
      </c>
      <c r="K503" s="22">
        <v>5.4809999999999999</v>
      </c>
      <c r="L503" s="37">
        <v>36892</v>
      </c>
      <c r="M503" s="2"/>
      <c r="N503" s="2" t="s">
        <v>1966</v>
      </c>
      <c r="O503" s="2" t="s">
        <v>27</v>
      </c>
      <c r="P503" s="2" t="s">
        <v>26</v>
      </c>
    </row>
    <row r="504" spans="1:16" ht="20.100000000000001" customHeight="1" x14ac:dyDescent="0.25">
      <c r="A504" s="26" t="str">
        <f>CONCATENATE(LEFT(ConsumoConcreto[[#This Row],[RecebimentoID]],4),"CNSC",TEXT(ConsumoConcreto[[#This Row],[Ordem]],"0000"),UPPER(LEFT(ConsumoConcreto[[#This Row],[Destino]],3)))</f>
        <v>0184CNSC0160PIL</v>
      </c>
      <c r="B504" s="1">
        <v>160</v>
      </c>
      <c r="C504" s="2" t="s">
        <v>2536</v>
      </c>
      <c r="D504" s="2" t="s">
        <v>1975</v>
      </c>
      <c r="E504" s="18">
        <v>12</v>
      </c>
      <c r="F504" s="2" t="s">
        <v>1801</v>
      </c>
      <c r="G504" s="36"/>
      <c r="H504" s="2" t="s">
        <v>1962</v>
      </c>
      <c r="I5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04" s="22">
        <v>0.2</v>
      </c>
      <c r="K504" s="22">
        <v>0.1</v>
      </c>
      <c r="L504" s="37">
        <v>36892</v>
      </c>
      <c r="M504" s="2"/>
      <c r="N504" s="2" t="s">
        <v>1963</v>
      </c>
      <c r="O504" s="2" t="s">
        <v>27</v>
      </c>
      <c r="P504" s="2" t="s">
        <v>26</v>
      </c>
    </row>
    <row r="505" spans="1:16" ht="20.100000000000001" customHeight="1" x14ac:dyDescent="0.25">
      <c r="A505" s="26" t="str">
        <f>CONCATENATE(LEFT(ConsumoConcreto[[#This Row],[RecebimentoID]],4),"CNSC",TEXT(ConsumoConcreto[[#This Row],[Ordem]],"0000"),UPPER(LEFT(ConsumoConcreto[[#This Row],[Destino]],3)))</f>
        <v>0184CNSC0218PAR</v>
      </c>
      <c r="B505" s="1">
        <v>218</v>
      </c>
      <c r="C505" s="2" t="s">
        <v>2537</v>
      </c>
      <c r="D505" s="2" t="s">
        <v>1979</v>
      </c>
      <c r="E505" s="18">
        <v>12</v>
      </c>
      <c r="F505" s="2" t="s">
        <v>25</v>
      </c>
      <c r="G505" s="36">
        <v>0.4826388888888889</v>
      </c>
      <c r="H505" s="2" t="s">
        <v>1965</v>
      </c>
      <c r="I5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05" s="22">
        <v>15</v>
      </c>
      <c r="K505" s="22">
        <v>15</v>
      </c>
      <c r="L505" s="37">
        <v>36892</v>
      </c>
      <c r="M505" s="2"/>
      <c r="N505" s="2" t="s">
        <v>1966</v>
      </c>
      <c r="O505" s="2" t="s">
        <v>27</v>
      </c>
      <c r="P505" s="2" t="s">
        <v>26</v>
      </c>
    </row>
    <row r="506" spans="1:16" ht="20.100000000000001" customHeight="1" x14ac:dyDescent="0.25">
      <c r="A506" s="26" t="str">
        <f>CONCATENATE(LEFT(ConsumoConcreto[[#This Row],[RecebimentoID]],4),"CNSC",TEXT(ConsumoConcreto[[#This Row],[Ordem]],"0000"),UPPER(LEFT(ConsumoConcreto[[#This Row],[Destino]],3)))</f>
        <v>0184CNSC0187RAD</v>
      </c>
      <c r="B506" s="1">
        <v>187</v>
      </c>
      <c r="C506" s="2" t="s">
        <v>2538</v>
      </c>
      <c r="D506" s="2" t="s">
        <v>1979</v>
      </c>
      <c r="E506" s="18">
        <v>12</v>
      </c>
      <c r="F506" s="2" t="s">
        <v>1801</v>
      </c>
      <c r="G506" s="36"/>
      <c r="H506" s="2" t="s">
        <v>1968</v>
      </c>
      <c r="I5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06" s="22">
        <v>6.5</v>
      </c>
      <c r="K506" s="22">
        <v>5.5</v>
      </c>
      <c r="L506" s="37">
        <v>36892</v>
      </c>
      <c r="M506" s="2" t="s">
        <v>2252</v>
      </c>
      <c r="N506" s="2" t="s">
        <v>1966</v>
      </c>
      <c r="O506" s="2" t="s">
        <v>27</v>
      </c>
      <c r="P506" s="2" t="s">
        <v>26</v>
      </c>
    </row>
    <row r="507" spans="1:16" ht="20.100000000000001" customHeight="1" x14ac:dyDescent="0.25">
      <c r="A507" s="26" t="str">
        <f>CONCATENATE(LEFT(ConsumoConcreto[[#This Row],[RecebimentoID]],4),"CNSC",TEXT(ConsumoConcreto[[#This Row],[Ordem]],"0000"),UPPER(LEFT(ConsumoConcreto[[#This Row],[Destino]],3)))</f>
        <v>0184CNSC0283PAR</v>
      </c>
      <c r="B507" s="1">
        <v>283</v>
      </c>
      <c r="C507" s="2" t="s">
        <v>2539</v>
      </c>
      <c r="D507" s="2" t="s">
        <v>1985</v>
      </c>
      <c r="E507" s="18">
        <v>12</v>
      </c>
      <c r="F507" s="2" t="s">
        <v>25</v>
      </c>
      <c r="G507" s="36">
        <v>0.8965277777777777</v>
      </c>
      <c r="H507" s="2" t="s">
        <v>1965</v>
      </c>
      <c r="I5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07" s="22">
        <v>18.5</v>
      </c>
      <c r="K507" s="22">
        <v>18.5</v>
      </c>
      <c r="L507" s="37">
        <v>36892</v>
      </c>
      <c r="M507" s="2"/>
      <c r="N507" s="2" t="s">
        <v>2017</v>
      </c>
      <c r="O507" s="2" t="s">
        <v>27</v>
      </c>
      <c r="P507" s="2" t="s">
        <v>26</v>
      </c>
    </row>
    <row r="508" spans="1:16" ht="20.100000000000001" customHeight="1" x14ac:dyDescent="0.25">
      <c r="A508" s="26" t="str">
        <f>CONCATENATE(LEFT(ConsumoConcreto[[#This Row],[RecebimentoID]],4),"CNSC",TEXT(ConsumoConcreto[[#This Row],[Ordem]],"0000"),UPPER(LEFT(ConsumoConcreto[[#This Row],[Destino]],3)))</f>
        <v>0184CNSC0302PIL</v>
      </c>
      <c r="B508" s="1">
        <v>302</v>
      </c>
      <c r="C508" s="2" t="s">
        <v>2540</v>
      </c>
      <c r="D508" s="2" t="s">
        <v>1985</v>
      </c>
      <c r="E508" s="18">
        <v>12</v>
      </c>
      <c r="F508" s="2" t="s">
        <v>25</v>
      </c>
      <c r="G508" s="36"/>
      <c r="H508" s="2" t="s">
        <v>1962</v>
      </c>
      <c r="I5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08" s="22">
        <v>0.1</v>
      </c>
      <c r="K508" s="22">
        <v>0.1</v>
      </c>
      <c r="L508" s="37">
        <v>36892</v>
      </c>
      <c r="M508" s="2"/>
      <c r="N508" s="2" t="s">
        <v>1963</v>
      </c>
      <c r="O508" s="2" t="s">
        <v>27</v>
      </c>
      <c r="P508" s="2" t="s">
        <v>26</v>
      </c>
    </row>
    <row r="509" spans="1:16" ht="20.100000000000001" customHeight="1" x14ac:dyDescent="0.25">
      <c r="A509" s="26" t="str">
        <f>CONCATENATE(LEFT(ConsumoConcreto[[#This Row],[RecebimentoID]],4),"CNSC",TEXT(ConsumoConcreto[[#This Row],[Ordem]],"0000"),UPPER(LEFT(ConsumoConcreto[[#This Row],[Destino]],3)))</f>
        <v>0184CNSC0259RAD</v>
      </c>
      <c r="B509" s="1">
        <v>259</v>
      </c>
      <c r="C509" s="2" t="s">
        <v>2541</v>
      </c>
      <c r="D509" s="2" t="s">
        <v>1985</v>
      </c>
      <c r="E509" s="18">
        <v>12</v>
      </c>
      <c r="F509" s="2" t="s">
        <v>1801</v>
      </c>
      <c r="G509" s="36">
        <v>0.47916666666666669</v>
      </c>
      <c r="H509" s="2" t="s">
        <v>1968</v>
      </c>
      <c r="I5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09" s="22">
        <v>7</v>
      </c>
      <c r="K509" s="22">
        <v>7</v>
      </c>
      <c r="L509" s="37">
        <v>36892</v>
      </c>
      <c r="M509" s="2"/>
      <c r="N509" s="2" t="s">
        <v>1963</v>
      </c>
      <c r="O509" s="2" t="s">
        <v>27</v>
      </c>
      <c r="P509" s="2" t="s">
        <v>26</v>
      </c>
    </row>
    <row r="510" spans="1:16" ht="20.100000000000001" customHeight="1" x14ac:dyDescent="0.25">
      <c r="A510" s="26" t="str">
        <f>CONCATENATE(LEFT(ConsumoConcreto[[#This Row],[RecebimentoID]],4),"CNSC",TEXT(ConsumoConcreto[[#This Row],[Ordem]],"0000"),UPPER(LEFT(ConsumoConcreto[[#This Row],[Destino]],3)))</f>
        <v>0184CNSC0320PAR</v>
      </c>
      <c r="B510" s="1">
        <v>320</v>
      </c>
      <c r="C510" s="2" t="s">
        <v>2542</v>
      </c>
      <c r="D510" s="2" t="s">
        <v>1989</v>
      </c>
      <c r="E510" s="18">
        <v>12</v>
      </c>
      <c r="F510" s="2" t="s">
        <v>25</v>
      </c>
      <c r="G510" s="36">
        <v>0.68611111111111101</v>
      </c>
      <c r="H510" s="2" t="s">
        <v>1965</v>
      </c>
      <c r="I5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10" s="22">
        <v>14</v>
      </c>
      <c r="K510" s="22">
        <v>14</v>
      </c>
      <c r="L510" s="37">
        <v>36892</v>
      </c>
      <c r="M510" s="2"/>
      <c r="N510" s="2" t="s">
        <v>1966</v>
      </c>
      <c r="O510" s="2" t="s">
        <v>27</v>
      </c>
      <c r="P510" s="2" t="s">
        <v>26</v>
      </c>
    </row>
    <row r="511" spans="1:16" ht="20.100000000000001" customHeight="1" x14ac:dyDescent="0.25">
      <c r="A511" s="26" t="str">
        <f>CONCATENATE(LEFT(ConsumoConcreto[[#This Row],[RecebimentoID]],4),"CNSC",TEXT(ConsumoConcreto[[#This Row],[Ordem]],"0000"),UPPER(LEFT(ConsumoConcreto[[#This Row],[Destino]],3)))</f>
        <v>0184CNSC0310RAD</v>
      </c>
      <c r="B511" s="1">
        <v>310</v>
      </c>
      <c r="C511" s="2" t="s">
        <v>2543</v>
      </c>
      <c r="D511" s="2" t="s">
        <v>1989</v>
      </c>
      <c r="E511" s="18">
        <v>12</v>
      </c>
      <c r="F511" s="2" t="s">
        <v>1801</v>
      </c>
      <c r="G511" s="36">
        <v>0.61805555555555558</v>
      </c>
      <c r="H511" s="2" t="s">
        <v>1968</v>
      </c>
      <c r="I5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11" s="22">
        <v>5.5</v>
      </c>
      <c r="K511" s="22">
        <v>5.5</v>
      </c>
      <c r="L511" s="37">
        <v>36892</v>
      </c>
      <c r="M511" s="2"/>
      <c r="N511" s="2" t="s">
        <v>1963</v>
      </c>
      <c r="O511" s="2" t="s">
        <v>27</v>
      </c>
      <c r="P511" s="2" t="s">
        <v>26</v>
      </c>
    </row>
    <row r="512" spans="1:16" ht="20.100000000000001" customHeight="1" x14ac:dyDescent="0.25">
      <c r="A512" s="26" t="str">
        <f>CONCATENATE(LEFT(ConsumoConcreto[[#This Row],[RecebimentoID]],4),"CNSC",TEXT(ConsumoConcreto[[#This Row],[Ordem]],"0000"),UPPER(LEFT(ConsumoConcreto[[#This Row],[Destino]],3)))</f>
        <v>0184CNSC0356PAR</v>
      </c>
      <c r="B512" s="1">
        <v>356</v>
      </c>
      <c r="C512" s="2" t="s">
        <v>2544</v>
      </c>
      <c r="D512" s="2" t="s">
        <v>1992</v>
      </c>
      <c r="E512" s="18">
        <v>12</v>
      </c>
      <c r="F512" s="2" t="s">
        <v>25</v>
      </c>
      <c r="G512" s="36">
        <v>0.58819444444444446</v>
      </c>
      <c r="H512" s="2" t="s">
        <v>1965</v>
      </c>
      <c r="I5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12" s="22">
        <v>14</v>
      </c>
      <c r="K512" s="22">
        <v>14</v>
      </c>
      <c r="L512" s="37">
        <v>36892</v>
      </c>
      <c r="M512" s="2"/>
      <c r="N512" s="2" t="s">
        <v>1966</v>
      </c>
      <c r="O512" s="2" t="s">
        <v>27</v>
      </c>
      <c r="P512" s="2" t="s">
        <v>26</v>
      </c>
    </row>
    <row r="513" spans="1:16" ht="20.100000000000001" customHeight="1" x14ac:dyDescent="0.25">
      <c r="A513" s="26" t="str">
        <f>CONCATENATE(LEFT(ConsumoConcreto[[#This Row],[RecebimentoID]],4),"CNSC",TEXT(ConsumoConcreto[[#This Row],[Ordem]],"0000"),UPPER(LEFT(ConsumoConcreto[[#This Row],[Destino]],3)))</f>
        <v>0184CNSC0341RAD</v>
      </c>
      <c r="B513" s="1">
        <v>341</v>
      </c>
      <c r="C513" s="2" t="s">
        <v>2545</v>
      </c>
      <c r="D513" s="2" t="s">
        <v>1992</v>
      </c>
      <c r="E513" s="18">
        <v>12</v>
      </c>
      <c r="F513" s="2" t="s">
        <v>1801</v>
      </c>
      <c r="G513" s="36">
        <v>0.59375</v>
      </c>
      <c r="H513" s="2" t="s">
        <v>1968</v>
      </c>
      <c r="I5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13" s="22">
        <v>5.5</v>
      </c>
      <c r="K513" s="22">
        <v>5.5</v>
      </c>
      <c r="L513" s="37">
        <v>36892</v>
      </c>
      <c r="M513" s="2" t="s">
        <v>2546</v>
      </c>
      <c r="N513" s="2" t="s">
        <v>1963</v>
      </c>
      <c r="O513" s="2" t="s">
        <v>27</v>
      </c>
      <c r="P513" s="2" t="s">
        <v>26</v>
      </c>
    </row>
    <row r="514" spans="1:16" ht="20.100000000000001" customHeight="1" x14ac:dyDescent="0.25">
      <c r="A514" s="26" t="str">
        <f>CONCATENATE(LEFT(ConsumoConcreto[[#This Row],[RecebimentoID]],4),"CNSC",TEXT(ConsumoConcreto[[#This Row],[Ordem]],"0000"),UPPER(LEFT(ConsumoConcreto[[#This Row],[Destino]],3)))</f>
        <v>0184CNSC0407PIL</v>
      </c>
      <c r="B514" s="1">
        <v>407</v>
      </c>
      <c r="C514" s="2" t="s">
        <v>2547</v>
      </c>
      <c r="D514" s="2" t="s">
        <v>1995</v>
      </c>
      <c r="E514" s="18">
        <v>12</v>
      </c>
      <c r="F514" s="2" t="s">
        <v>25</v>
      </c>
      <c r="G514" s="36"/>
      <c r="H514" s="2" t="s">
        <v>1962</v>
      </c>
      <c r="I5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14" s="22">
        <v>0.1</v>
      </c>
      <c r="K514" s="22">
        <v>0.1</v>
      </c>
      <c r="L514" s="37">
        <v>36892</v>
      </c>
      <c r="M514" s="2"/>
      <c r="N514" s="2" t="s">
        <v>1963</v>
      </c>
      <c r="O514" s="2" t="s">
        <v>27</v>
      </c>
      <c r="P514" s="2" t="s">
        <v>26</v>
      </c>
    </row>
    <row r="515" spans="1:16" ht="20.100000000000001" customHeight="1" x14ac:dyDescent="0.25">
      <c r="A515" s="26" t="str">
        <f>CONCATENATE(LEFT(ConsumoConcreto[[#This Row],[RecebimentoID]],4),"CNSC",TEXT(ConsumoConcreto[[#This Row],[Ordem]],"0000"),UPPER(LEFT(ConsumoConcreto[[#This Row],[Destino]],3)))</f>
        <v>0184CNSC0391PAR</v>
      </c>
      <c r="B515" s="1">
        <v>391</v>
      </c>
      <c r="C515" s="2" t="s">
        <v>2548</v>
      </c>
      <c r="D515" s="2" t="s">
        <v>1995</v>
      </c>
      <c r="E515" s="18">
        <v>12</v>
      </c>
      <c r="F515" s="2" t="s">
        <v>25</v>
      </c>
      <c r="G515" s="36">
        <v>0.80347222222222225</v>
      </c>
      <c r="H515" s="2" t="s">
        <v>1965</v>
      </c>
      <c r="I5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15" s="22">
        <v>18.5</v>
      </c>
      <c r="K515" s="22">
        <v>18.5</v>
      </c>
      <c r="L515" s="37">
        <v>36892</v>
      </c>
      <c r="M515" s="2"/>
      <c r="N515" s="2" t="s">
        <v>1966</v>
      </c>
      <c r="O515" s="2" t="s">
        <v>27</v>
      </c>
      <c r="P515" s="2" t="s">
        <v>26</v>
      </c>
    </row>
    <row r="516" spans="1:16" ht="20.100000000000001" customHeight="1" x14ac:dyDescent="0.25">
      <c r="A516" s="26" t="str">
        <f>CONCATENATE(LEFT(ConsumoConcreto[[#This Row],[RecebimentoID]],4),"CNSC",TEXT(ConsumoConcreto[[#This Row],[Ordem]],"0000"),UPPER(LEFT(ConsumoConcreto[[#This Row],[Destino]],3)))</f>
        <v>0184CNSC0368RAD</v>
      </c>
      <c r="B516" s="1">
        <v>368</v>
      </c>
      <c r="C516" s="2" t="s">
        <v>2549</v>
      </c>
      <c r="D516" s="2" t="s">
        <v>1995</v>
      </c>
      <c r="E516" s="18">
        <v>12</v>
      </c>
      <c r="F516" s="2" t="s">
        <v>1801</v>
      </c>
      <c r="G516" s="36">
        <v>0.66666666666666663</v>
      </c>
      <c r="H516" s="2" t="s">
        <v>1968</v>
      </c>
      <c r="I5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16" s="22">
        <v>7</v>
      </c>
      <c r="K516" s="22">
        <v>7</v>
      </c>
      <c r="L516" s="37">
        <v>36892</v>
      </c>
      <c r="M516" s="2"/>
      <c r="N516" s="2" t="s">
        <v>1963</v>
      </c>
      <c r="O516" s="2" t="s">
        <v>27</v>
      </c>
      <c r="P516" s="2" t="s">
        <v>26</v>
      </c>
    </row>
    <row r="517" spans="1:16" ht="20.100000000000001" customHeight="1" x14ac:dyDescent="0.25">
      <c r="A517" s="26" t="str">
        <f>CONCATENATE(LEFT(ConsumoConcreto[[#This Row],[RecebimentoID]],4),"CNSC",TEXT(ConsumoConcreto[[#This Row],[Ordem]],"0000"),UPPER(LEFT(ConsumoConcreto[[#This Row],[Destino]],3)))</f>
        <v>0184CNSC0430PAR</v>
      </c>
      <c r="B517" s="1">
        <v>430</v>
      </c>
      <c r="C517" s="2" t="s">
        <v>2550</v>
      </c>
      <c r="D517" s="2" t="s">
        <v>1999</v>
      </c>
      <c r="E517" s="18">
        <v>12</v>
      </c>
      <c r="F517" s="2" t="s">
        <v>25</v>
      </c>
      <c r="G517" s="36">
        <v>0.82291666666666663</v>
      </c>
      <c r="H517" s="2" t="s">
        <v>1965</v>
      </c>
      <c r="I5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17" s="22">
        <v>14</v>
      </c>
      <c r="K517" s="22">
        <v>14</v>
      </c>
      <c r="L517" s="37">
        <v>36892</v>
      </c>
      <c r="M517" s="2"/>
      <c r="N517" s="2" t="s">
        <v>1966</v>
      </c>
      <c r="O517" s="2" t="s">
        <v>27</v>
      </c>
      <c r="P517" s="2" t="s">
        <v>26</v>
      </c>
    </row>
    <row r="518" spans="1:16" ht="20.100000000000001" customHeight="1" x14ac:dyDescent="0.25">
      <c r="A518" s="26" t="str">
        <f>CONCATENATE(LEFT(ConsumoConcreto[[#This Row],[RecebimentoID]],4),"CNSC",TEXT(ConsumoConcreto[[#This Row],[Ordem]],"0000"),UPPER(LEFT(ConsumoConcreto[[#This Row],[Destino]],3)))</f>
        <v>0184CNSC0426RAD</v>
      </c>
      <c r="B518" s="1">
        <v>426</v>
      </c>
      <c r="C518" s="2" t="s">
        <v>2551</v>
      </c>
      <c r="D518" s="2" t="s">
        <v>1999</v>
      </c>
      <c r="E518" s="18">
        <v>12</v>
      </c>
      <c r="F518" s="2" t="s">
        <v>1801</v>
      </c>
      <c r="G518" s="36">
        <v>0.41666666666666669</v>
      </c>
      <c r="H518" s="2" t="s">
        <v>1968</v>
      </c>
      <c r="I5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18" s="22">
        <v>5.5</v>
      </c>
      <c r="K518" s="22">
        <v>5.5</v>
      </c>
      <c r="L518" s="37">
        <v>36892</v>
      </c>
      <c r="M518" s="2"/>
      <c r="N518" s="2" t="s">
        <v>1963</v>
      </c>
      <c r="O518" s="2" t="s">
        <v>27</v>
      </c>
      <c r="P518" s="2" t="s">
        <v>26</v>
      </c>
    </row>
    <row r="519" spans="1:16" ht="20.100000000000001" customHeight="1" x14ac:dyDescent="0.25">
      <c r="A519" s="26" t="str">
        <f>CONCATENATE(LEFT(ConsumoConcreto[[#This Row],[RecebimentoID]],4),"CNSC",TEXT(ConsumoConcreto[[#This Row],[Ordem]],"0000"),UPPER(LEFT(ConsumoConcreto[[#This Row],[Destino]],3)))</f>
        <v>0184CNSC0467PAR</v>
      </c>
      <c r="B519" s="1">
        <v>467</v>
      </c>
      <c r="C519" s="2" t="s">
        <v>2552</v>
      </c>
      <c r="D519" s="2" t="s">
        <v>2002</v>
      </c>
      <c r="E519" s="18">
        <v>12</v>
      </c>
      <c r="F519" s="2" t="s">
        <v>25</v>
      </c>
      <c r="G519" s="36">
        <v>0.76388888888888884</v>
      </c>
      <c r="H519" s="2" t="s">
        <v>1965</v>
      </c>
      <c r="I5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19" s="22">
        <v>18</v>
      </c>
      <c r="K519" s="22">
        <v>18</v>
      </c>
      <c r="L519" s="37">
        <v>36892</v>
      </c>
      <c r="M519" s="2"/>
      <c r="N519" s="2" t="s">
        <v>1966</v>
      </c>
      <c r="O519" s="2" t="s">
        <v>27</v>
      </c>
      <c r="P519" s="2" t="s">
        <v>26</v>
      </c>
    </row>
    <row r="520" spans="1:16" ht="20.100000000000001" customHeight="1" x14ac:dyDescent="0.25">
      <c r="A520" s="26" t="str">
        <f>CONCATENATE(LEFT(ConsumoConcreto[[#This Row],[RecebimentoID]],4),"CNSC",TEXT(ConsumoConcreto[[#This Row],[Ordem]],"0000"),UPPER(LEFT(ConsumoConcreto[[#This Row],[Destino]],3)))</f>
        <v>0184CNSC0444RAD</v>
      </c>
      <c r="B520" s="1">
        <v>444</v>
      </c>
      <c r="C520" s="2" t="s">
        <v>2553</v>
      </c>
      <c r="D520" s="2" t="s">
        <v>2002</v>
      </c>
      <c r="E520" s="18">
        <v>12</v>
      </c>
      <c r="F520" s="2" t="s">
        <v>1801</v>
      </c>
      <c r="G520" s="36">
        <v>0.4916666666666667</v>
      </c>
      <c r="H520" s="2" t="s">
        <v>1968</v>
      </c>
      <c r="I5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20" s="22">
        <v>7</v>
      </c>
      <c r="K520" s="22">
        <v>7</v>
      </c>
      <c r="L520" s="37">
        <v>36892</v>
      </c>
      <c r="M520" s="2"/>
      <c r="N520" s="2" t="s">
        <v>1963</v>
      </c>
      <c r="O520" s="2" t="s">
        <v>27</v>
      </c>
      <c r="P520" s="2" t="s">
        <v>26</v>
      </c>
    </row>
    <row r="521" spans="1:16" ht="20.100000000000001" customHeight="1" x14ac:dyDescent="0.25">
      <c r="A521" s="26" t="str">
        <f>CONCATENATE(LEFT(ConsumoConcreto[[#This Row],[RecebimentoID]],4),"CNSC",TEXT(ConsumoConcreto[[#This Row],[Ordem]],"0000"),UPPER(LEFT(ConsumoConcreto[[#This Row],[Destino]],3)))</f>
        <v>0184CNSC0505PAR</v>
      </c>
      <c r="B521" s="1">
        <v>505</v>
      </c>
      <c r="C521" s="2" t="s">
        <v>2554</v>
      </c>
      <c r="D521" s="2" t="s">
        <v>2005</v>
      </c>
      <c r="E521" s="18">
        <v>12</v>
      </c>
      <c r="F521" s="2" t="s">
        <v>25</v>
      </c>
      <c r="G521" s="36">
        <v>0.72499999999999998</v>
      </c>
      <c r="H521" s="2" t="s">
        <v>1965</v>
      </c>
      <c r="I5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21" s="22">
        <v>14.5</v>
      </c>
      <c r="K521" s="22">
        <v>14.5</v>
      </c>
      <c r="L521" s="37">
        <v>36892</v>
      </c>
      <c r="M521" s="2"/>
      <c r="N521" s="2" t="s">
        <v>1966</v>
      </c>
      <c r="O521" s="2" t="s">
        <v>27</v>
      </c>
      <c r="P521" s="2" t="s">
        <v>26</v>
      </c>
    </row>
    <row r="522" spans="1:16" ht="20.100000000000001" customHeight="1" x14ac:dyDescent="0.25">
      <c r="A522" s="26" t="str">
        <f>CONCATENATE(LEFT(ConsumoConcreto[[#This Row],[RecebimentoID]],4),"CNSC",TEXT(ConsumoConcreto[[#This Row],[Ordem]],"0000"),UPPER(LEFT(ConsumoConcreto[[#This Row],[Destino]],3)))</f>
        <v>0184CNSC0474RAD</v>
      </c>
      <c r="B522" s="1">
        <v>474</v>
      </c>
      <c r="C522" s="2" t="s">
        <v>2555</v>
      </c>
      <c r="D522" s="2" t="s">
        <v>2005</v>
      </c>
      <c r="E522" s="18">
        <v>12</v>
      </c>
      <c r="F522" s="2" t="s">
        <v>1801</v>
      </c>
      <c r="G522" s="36">
        <v>0.625</v>
      </c>
      <c r="H522" s="2" t="s">
        <v>1968</v>
      </c>
      <c r="I5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22" s="22">
        <v>5.5</v>
      </c>
      <c r="K522" s="22">
        <v>5.5</v>
      </c>
      <c r="L522" s="37">
        <v>36892</v>
      </c>
      <c r="M522" s="2"/>
      <c r="N522" s="2" t="s">
        <v>1963</v>
      </c>
      <c r="O522" s="2" t="s">
        <v>27</v>
      </c>
      <c r="P522" s="2" t="s">
        <v>26</v>
      </c>
    </row>
    <row r="523" spans="1:16" ht="20.100000000000001" customHeight="1" x14ac:dyDescent="0.25">
      <c r="A523" s="26" t="str">
        <f>CONCATENATE(LEFT(ConsumoConcreto[[#This Row],[RecebimentoID]],4),"CNSC",TEXT(ConsumoConcreto[[#This Row],[Ordem]],"0000"),UPPER(LEFT(ConsumoConcreto[[#This Row],[Destino]],3)))</f>
        <v>0184CNSC0583PAR</v>
      </c>
      <c r="B523" s="1">
        <v>583</v>
      </c>
      <c r="C523" s="2" t="s">
        <v>2556</v>
      </c>
      <c r="D523" s="2" t="s">
        <v>2007</v>
      </c>
      <c r="E523" s="18">
        <v>12</v>
      </c>
      <c r="F523" s="2" t="s">
        <v>25</v>
      </c>
      <c r="G523" s="36">
        <v>0.72013888888888899</v>
      </c>
      <c r="H523" s="2" t="s">
        <v>1965</v>
      </c>
      <c r="I5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23" s="22">
        <v>15</v>
      </c>
      <c r="K523" s="22">
        <v>15</v>
      </c>
      <c r="L523" s="37">
        <v>36892</v>
      </c>
      <c r="M523" s="2"/>
      <c r="N523" s="2" t="s">
        <v>1966</v>
      </c>
      <c r="O523" s="2" t="s">
        <v>27</v>
      </c>
      <c r="P523" s="2" t="s">
        <v>26</v>
      </c>
    </row>
    <row r="524" spans="1:16" ht="20.100000000000001" customHeight="1" x14ac:dyDescent="0.25">
      <c r="A524" s="26" t="str">
        <f>CONCATENATE(LEFT(ConsumoConcreto[[#This Row],[RecebimentoID]],4),"CNSC",TEXT(ConsumoConcreto[[#This Row],[Ordem]],"0000"),UPPER(LEFT(ConsumoConcreto[[#This Row],[Destino]],3)))</f>
        <v>0184CNSC0561RAD</v>
      </c>
      <c r="B524" s="1">
        <v>561</v>
      </c>
      <c r="C524" s="2" t="s">
        <v>2557</v>
      </c>
      <c r="D524" s="2" t="s">
        <v>2007</v>
      </c>
      <c r="E524" s="18">
        <v>12</v>
      </c>
      <c r="F524" s="2" t="s">
        <v>1801</v>
      </c>
      <c r="G524" s="36"/>
      <c r="H524" s="2" t="s">
        <v>1968</v>
      </c>
      <c r="I5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24" s="22">
        <v>5.5</v>
      </c>
      <c r="K524" s="22">
        <v>5.5</v>
      </c>
      <c r="L524" s="37">
        <v>36892</v>
      </c>
      <c r="M524" s="2"/>
      <c r="N524" s="2" t="s">
        <v>1963</v>
      </c>
      <c r="O524" s="2" t="s">
        <v>27</v>
      </c>
      <c r="P524" s="2" t="s">
        <v>26</v>
      </c>
    </row>
    <row r="525" spans="1:16" ht="20.100000000000001" customHeight="1" x14ac:dyDescent="0.25">
      <c r="A525" s="26" t="str">
        <f>CONCATENATE(LEFT(ConsumoConcreto[[#This Row],[RecebimentoID]],4),"CNSC",TEXT(ConsumoConcreto[[#This Row],[Ordem]],"0000"),UPPER(LEFT(ConsumoConcreto[[#This Row],[Destino]],3)))</f>
        <v>0184CNSC0649PAR</v>
      </c>
      <c r="B525" s="1">
        <v>649</v>
      </c>
      <c r="C525" s="2" t="s">
        <v>2558</v>
      </c>
      <c r="D525" s="2" t="s">
        <v>2010</v>
      </c>
      <c r="E525" s="18">
        <v>12</v>
      </c>
      <c r="F525" s="2" t="s">
        <v>25</v>
      </c>
      <c r="G525" s="36">
        <v>0.52986111111111112</v>
      </c>
      <c r="H525" s="2" t="s">
        <v>1965</v>
      </c>
      <c r="I5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25" s="22">
        <v>14.5</v>
      </c>
      <c r="K525" s="22">
        <v>14</v>
      </c>
      <c r="L525" s="37">
        <v>36892</v>
      </c>
      <c r="M525" s="2"/>
      <c r="N525" s="2" t="s">
        <v>1966</v>
      </c>
      <c r="O525" s="2" t="s">
        <v>27</v>
      </c>
      <c r="P525" s="2" t="s">
        <v>26</v>
      </c>
    </row>
    <row r="526" spans="1:16" ht="20.100000000000001" customHeight="1" x14ac:dyDescent="0.25">
      <c r="A526" s="26" t="str">
        <f>CONCATENATE(LEFT(ConsumoConcreto[[#This Row],[RecebimentoID]],4),"CNSC",TEXT(ConsumoConcreto[[#This Row],[Ordem]],"0000"),UPPER(LEFT(ConsumoConcreto[[#This Row],[Destino]],3)))</f>
        <v>0184CNSC0608RAD</v>
      </c>
      <c r="B526" s="1">
        <v>608</v>
      </c>
      <c r="C526" s="2" t="s">
        <v>2559</v>
      </c>
      <c r="D526" s="2" t="s">
        <v>2010</v>
      </c>
      <c r="E526" s="18">
        <v>12</v>
      </c>
      <c r="F526" s="2" t="s">
        <v>1801</v>
      </c>
      <c r="G526" s="36">
        <v>0.40208333333333335</v>
      </c>
      <c r="H526" s="2" t="s">
        <v>1968</v>
      </c>
      <c r="I5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26" s="22">
        <v>5.5</v>
      </c>
      <c r="K526" s="22">
        <v>5.5</v>
      </c>
      <c r="L526" s="37">
        <v>36892</v>
      </c>
      <c r="M526" s="2"/>
      <c r="N526" s="2" t="s">
        <v>1966</v>
      </c>
      <c r="O526" s="2" t="s">
        <v>27</v>
      </c>
      <c r="P526" s="2" t="s">
        <v>26</v>
      </c>
    </row>
    <row r="527" spans="1:16" ht="20.100000000000001" customHeight="1" x14ac:dyDescent="0.25">
      <c r="A527" s="26" t="str">
        <f>CONCATENATE(LEFT(ConsumoConcreto[[#This Row],[RecebimentoID]],4),"CNSC",TEXT(ConsumoConcreto[[#This Row],[Ordem]],"0000"),UPPER(LEFT(ConsumoConcreto[[#This Row],[Destino]],3)))</f>
        <v>0184CNSC0724PAR</v>
      </c>
      <c r="B527" s="1">
        <v>724</v>
      </c>
      <c r="C527" s="2" t="s">
        <v>2560</v>
      </c>
      <c r="D527" s="2" t="s">
        <v>2013</v>
      </c>
      <c r="E527" s="18">
        <v>12</v>
      </c>
      <c r="F527" s="2" t="s">
        <v>25</v>
      </c>
      <c r="G527" s="36">
        <v>0.82986111111111116</v>
      </c>
      <c r="H527" s="2" t="s">
        <v>1965</v>
      </c>
      <c r="I5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27" s="22">
        <v>14</v>
      </c>
      <c r="K527" s="22">
        <v>14</v>
      </c>
      <c r="L527" s="37">
        <v>36892</v>
      </c>
      <c r="M527" s="2"/>
      <c r="N527" s="2" t="s">
        <v>1966</v>
      </c>
      <c r="O527" s="2" t="s">
        <v>27</v>
      </c>
      <c r="P527" s="2" t="s">
        <v>26</v>
      </c>
    </row>
    <row r="528" spans="1:16" ht="20.100000000000001" customHeight="1" x14ac:dyDescent="0.25">
      <c r="A528" s="26" t="str">
        <f>CONCATENATE(LEFT(ConsumoConcreto[[#This Row],[RecebimentoID]],4),"CNSC",TEXT(ConsumoConcreto[[#This Row],[Ordem]],"0000"),UPPER(LEFT(ConsumoConcreto[[#This Row],[Destino]],3)))</f>
        <v>0184CNSC0714RAD</v>
      </c>
      <c r="B528" s="1">
        <v>714</v>
      </c>
      <c r="C528" s="2" t="s">
        <v>2561</v>
      </c>
      <c r="D528" s="2" t="s">
        <v>2013</v>
      </c>
      <c r="E528" s="18">
        <v>12</v>
      </c>
      <c r="F528" s="2" t="s">
        <v>1801</v>
      </c>
      <c r="G528" s="36">
        <v>0.4055555555555555</v>
      </c>
      <c r="H528" s="2" t="s">
        <v>1968</v>
      </c>
      <c r="I5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28" s="22">
        <v>5.5</v>
      </c>
      <c r="K528" s="22">
        <v>5.4809999999999999</v>
      </c>
      <c r="L528" s="37">
        <v>36892</v>
      </c>
      <c r="M528" s="2" t="s">
        <v>2562</v>
      </c>
      <c r="N528" s="2" t="s">
        <v>1963</v>
      </c>
      <c r="O528" s="2" t="s">
        <v>27</v>
      </c>
      <c r="P528" s="2" t="s">
        <v>26</v>
      </c>
    </row>
    <row r="529" spans="1:16" ht="20.100000000000001" customHeight="1" x14ac:dyDescent="0.25">
      <c r="A529" s="26" t="str">
        <f>CONCATENATE(LEFT(ConsumoConcreto[[#This Row],[RecebimentoID]],4),"CNSC",TEXT(ConsumoConcreto[[#This Row],[Ordem]],"0000"),UPPER(LEFT(ConsumoConcreto[[#This Row],[Destino]],3)))</f>
        <v>0184CNSC0770PAR</v>
      </c>
      <c r="B529" s="1">
        <v>770</v>
      </c>
      <c r="C529" s="2" t="s">
        <v>2563</v>
      </c>
      <c r="D529" s="2" t="s">
        <v>2016</v>
      </c>
      <c r="E529" s="18">
        <v>12</v>
      </c>
      <c r="F529" s="2" t="s">
        <v>25</v>
      </c>
      <c r="G529" s="36">
        <v>0.93958333333333333</v>
      </c>
      <c r="H529" s="2" t="s">
        <v>1965</v>
      </c>
      <c r="I5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29" s="22">
        <v>18</v>
      </c>
      <c r="K529" s="22">
        <v>18</v>
      </c>
      <c r="L529" s="37">
        <v>36892</v>
      </c>
      <c r="M529" s="2"/>
      <c r="N529" s="2" t="s">
        <v>2017</v>
      </c>
      <c r="O529" s="2" t="s">
        <v>27</v>
      </c>
      <c r="P529" s="2" t="s">
        <v>26</v>
      </c>
    </row>
    <row r="530" spans="1:16" ht="20.100000000000001" customHeight="1" x14ac:dyDescent="0.25">
      <c r="A530" s="26" t="str">
        <f>CONCATENATE(LEFT(ConsumoConcreto[[#This Row],[RecebimentoID]],4),"CNSC",TEXT(ConsumoConcreto[[#This Row],[Ordem]],"0000"),UPPER(LEFT(ConsumoConcreto[[#This Row],[Destino]],3)))</f>
        <v>0184CNSC0751RAD</v>
      </c>
      <c r="B530" s="1">
        <v>751</v>
      </c>
      <c r="C530" s="2" t="s">
        <v>2564</v>
      </c>
      <c r="D530" s="2" t="s">
        <v>2016</v>
      </c>
      <c r="E530" s="18">
        <v>12</v>
      </c>
      <c r="F530" s="2" t="s">
        <v>1801</v>
      </c>
      <c r="G530" s="36">
        <v>0.59027777777777779</v>
      </c>
      <c r="H530" s="2" t="s">
        <v>1968</v>
      </c>
      <c r="I5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30" s="22">
        <v>7</v>
      </c>
      <c r="K530" s="22">
        <v>7</v>
      </c>
      <c r="L530" s="37">
        <v>36892</v>
      </c>
      <c r="M530" s="2" t="s">
        <v>2565</v>
      </c>
      <c r="N530" s="2" t="s">
        <v>2017</v>
      </c>
      <c r="O530" s="2" t="s">
        <v>27</v>
      </c>
      <c r="P530" s="2" t="s">
        <v>26</v>
      </c>
    </row>
    <row r="531" spans="1:16" ht="20.100000000000001" customHeight="1" x14ac:dyDescent="0.25">
      <c r="A531" s="26" t="str">
        <f>CONCATENATE(LEFT(ConsumoConcreto[[#This Row],[RecebimentoID]],4),"CNSC",TEXT(ConsumoConcreto[[#This Row],[Ordem]],"0000"),UPPER(LEFT(ConsumoConcreto[[#This Row],[Destino]],3)))</f>
        <v>0184CNSC0788PAR</v>
      </c>
      <c r="B531" s="1">
        <v>788</v>
      </c>
      <c r="C531" s="2" t="s">
        <v>2566</v>
      </c>
      <c r="D531" s="2" t="s">
        <v>2021</v>
      </c>
      <c r="E531" s="18">
        <v>12</v>
      </c>
      <c r="F531" s="2" t="s">
        <v>25</v>
      </c>
      <c r="G531" s="36">
        <v>0.77777777777777779</v>
      </c>
      <c r="H531" s="2" t="s">
        <v>1965</v>
      </c>
      <c r="I5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31" s="22">
        <v>14.5</v>
      </c>
      <c r="K531" s="22">
        <v>14.5</v>
      </c>
      <c r="L531" s="37">
        <v>36892</v>
      </c>
      <c r="M531" s="2"/>
      <c r="N531" s="2" t="s">
        <v>1966</v>
      </c>
      <c r="O531" s="2" t="s">
        <v>27</v>
      </c>
      <c r="P531" s="2" t="s">
        <v>26</v>
      </c>
    </row>
    <row r="532" spans="1:16" ht="20.100000000000001" customHeight="1" x14ac:dyDescent="0.25">
      <c r="A532" s="26" t="str">
        <f>CONCATENATE(LEFT(ConsumoConcreto[[#This Row],[RecebimentoID]],4),"CNSC",TEXT(ConsumoConcreto[[#This Row],[Ordem]],"0000"),UPPER(LEFT(ConsumoConcreto[[#This Row],[Destino]],3)))</f>
        <v>0184CNSC0784RAD</v>
      </c>
      <c r="B532" s="1">
        <v>784</v>
      </c>
      <c r="C532" s="2" t="s">
        <v>2567</v>
      </c>
      <c r="D532" s="2" t="s">
        <v>2021</v>
      </c>
      <c r="E532" s="18">
        <v>12</v>
      </c>
      <c r="F532" s="2" t="s">
        <v>1801</v>
      </c>
      <c r="G532" s="36">
        <v>0.47916666666666669</v>
      </c>
      <c r="H532" s="2" t="s">
        <v>1968</v>
      </c>
      <c r="I5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32" s="22">
        <v>5.5</v>
      </c>
      <c r="K532" s="22">
        <v>5.5</v>
      </c>
      <c r="L532" s="37">
        <v>36892</v>
      </c>
      <c r="M532" s="2"/>
      <c r="N532" s="2" t="s">
        <v>1963</v>
      </c>
      <c r="O532" s="2" t="s">
        <v>27</v>
      </c>
      <c r="P532" s="2" t="s">
        <v>26</v>
      </c>
    </row>
    <row r="533" spans="1:16" ht="20.100000000000001" customHeight="1" x14ac:dyDescent="0.25">
      <c r="A533" s="26" t="str">
        <f>CONCATENATE(LEFT(ConsumoConcreto[[#This Row],[RecebimentoID]],4),"CNSC",TEXT(ConsumoConcreto[[#This Row],[Ordem]],"0000"),UPPER(LEFT(ConsumoConcreto[[#This Row],[Destino]],3)))</f>
        <v>0184CNSC0843PAR</v>
      </c>
      <c r="B533" s="1">
        <v>843</v>
      </c>
      <c r="C533" s="2" t="s">
        <v>2568</v>
      </c>
      <c r="D533" s="2" t="s">
        <v>2024</v>
      </c>
      <c r="E533" s="18">
        <v>12</v>
      </c>
      <c r="F533" s="2" t="s">
        <v>25</v>
      </c>
      <c r="G533" s="36">
        <v>0.87222222222222223</v>
      </c>
      <c r="H533" s="2" t="s">
        <v>1965</v>
      </c>
      <c r="I5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33" s="22">
        <v>14.5</v>
      </c>
      <c r="K533" s="22">
        <v>14.5</v>
      </c>
      <c r="L533" s="37">
        <v>36892</v>
      </c>
      <c r="M533" s="2"/>
      <c r="N533" s="2" t="s">
        <v>1966</v>
      </c>
      <c r="O533" s="2" t="s">
        <v>27</v>
      </c>
      <c r="P533" s="2" t="s">
        <v>26</v>
      </c>
    </row>
    <row r="534" spans="1:16" ht="20.100000000000001" customHeight="1" x14ac:dyDescent="0.25">
      <c r="A534" s="26" t="str">
        <f>CONCATENATE(LEFT(ConsumoConcreto[[#This Row],[RecebimentoID]],4),"CNSC",TEXT(ConsumoConcreto[[#This Row],[Ordem]],"0000"),UPPER(LEFT(ConsumoConcreto[[#This Row],[Destino]],3)))</f>
        <v>0184CNSC0807RAD</v>
      </c>
      <c r="B534" s="1">
        <v>807</v>
      </c>
      <c r="C534" s="2" t="s">
        <v>2569</v>
      </c>
      <c r="D534" s="2" t="s">
        <v>2024</v>
      </c>
      <c r="E534" s="18">
        <v>12</v>
      </c>
      <c r="F534" s="2" t="s">
        <v>1801</v>
      </c>
      <c r="G534" s="36">
        <v>0.61111111111111105</v>
      </c>
      <c r="H534" s="2" t="s">
        <v>1968</v>
      </c>
      <c r="I5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34" s="22">
        <v>5.5</v>
      </c>
      <c r="K534" s="22">
        <v>5.5</v>
      </c>
      <c r="L534" s="37">
        <v>36892</v>
      </c>
      <c r="M534" s="2"/>
      <c r="N534" s="2" t="s">
        <v>1963</v>
      </c>
      <c r="O534" s="2" t="s">
        <v>27</v>
      </c>
      <c r="P534" s="2" t="s">
        <v>26</v>
      </c>
    </row>
    <row r="535" spans="1:16" ht="20.100000000000001" customHeight="1" x14ac:dyDescent="0.25">
      <c r="A535" s="26" t="str">
        <f>CONCATENATE(LEFT(ConsumoConcreto[[#This Row],[RecebimentoID]],4),"CNSC",TEXT(ConsumoConcreto[[#This Row],[Ordem]],"0000"),UPPER(LEFT(ConsumoConcreto[[#This Row],[Destino]],3)))</f>
        <v>0184CNSC0912PAR</v>
      </c>
      <c r="B535" s="1">
        <v>912</v>
      </c>
      <c r="C535" s="2" t="s">
        <v>2570</v>
      </c>
      <c r="D535" s="2" t="s">
        <v>2030</v>
      </c>
      <c r="E535" s="18">
        <v>12</v>
      </c>
      <c r="F535" s="2" t="s">
        <v>25</v>
      </c>
      <c r="G535" s="36">
        <v>0.8354166666666667</v>
      </c>
      <c r="H535" s="2" t="s">
        <v>1965</v>
      </c>
      <c r="I5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35" s="22">
        <v>14.5</v>
      </c>
      <c r="K535" s="22">
        <v>14.5</v>
      </c>
      <c r="L535" s="37">
        <v>36892</v>
      </c>
      <c r="M535" s="2"/>
      <c r="N535" s="2" t="s">
        <v>1966</v>
      </c>
      <c r="O535" s="2" t="s">
        <v>27</v>
      </c>
      <c r="P535" s="2" t="s">
        <v>26</v>
      </c>
    </row>
    <row r="536" spans="1:16" ht="20.100000000000001" customHeight="1" x14ac:dyDescent="0.25">
      <c r="A536" s="26" t="str">
        <f>CONCATENATE(LEFT(ConsumoConcreto[[#This Row],[RecebimentoID]],4),"CNSC",TEXT(ConsumoConcreto[[#This Row],[Ordem]],"0000"),UPPER(LEFT(ConsumoConcreto[[#This Row],[Destino]],3)))</f>
        <v>0184CNSC0907RAD</v>
      </c>
      <c r="B536" s="1">
        <v>907</v>
      </c>
      <c r="C536" s="2" t="s">
        <v>2571</v>
      </c>
      <c r="D536" s="2" t="s">
        <v>2030</v>
      </c>
      <c r="E536" s="18">
        <v>12</v>
      </c>
      <c r="F536" s="2" t="s">
        <v>1801</v>
      </c>
      <c r="G536" s="36"/>
      <c r="H536" s="2" t="s">
        <v>1968</v>
      </c>
      <c r="I5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36" s="22">
        <v>5.78</v>
      </c>
      <c r="K536" s="22">
        <v>5.4809999999999999</v>
      </c>
      <c r="L536" s="37">
        <v>36892</v>
      </c>
      <c r="M536" s="2"/>
      <c r="N536" s="2"/>
      <c r="O536" s="2" t="s">
        <v>27</v>
      </c>
      <c r="P536" s="2" t="s">
        <v>26</v>
      </c>
    </row>
    <row r="537" spans="1:16" ht="20.100000000000001" customHeight="1" x14ac:dyDescent="0.25">
      <c r="A537" s="26" t="str">
        <f>CONCATENATE(LEFT(ConsumoConcreto[[#This Row],[RecebimentoID]],4),"CNSC",TEXT(ConsumoConcreto[[#This Row],[Ordem]],"0000"),UPPER(LEFT(ConsumoConcreto[[#This Row],[Destino]],3)))</f>
        <v>0184CNSC0969PAR</v>
      </c>
      <c r="B537" s="1">
        <v>969</v>
      </c>
      <c r="C537" s="2" t="s">
        <v>2572</v>
      </c>
      <c r="D537" s="2" t="s">
        <v>2033</v>
      </c>
      <c r="E537" s="18">
        <v>12</v>
      </c>
      <c r="F537" s="2" t="s">
        <v>25</v>
      </c>
      <c r="G537" s="36">
        <v>0.7284722222222223</v>
      </c>
      <c r="H537" s="2" t="s">
        <v>1965</v>
      </c>
      <c r="I5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37" s="22">
        <v>14.5</v>
      </c>
      <c r="K537" s="22">
        <v>14.5</v>
      </c>
      <c r="L537" s="37">
        <v>36892</v>
      </c>
      <c r="M537" s="2"/>
      <c r="N537" s="2" t="s">
        <v>1966</v>
      </c>
      <c r="O537" s="2" t="s">
        <v>27</v>
      </c>
      <c r="P537" s="2" t="s">
        <v>26</v>
      </c>
    </row>
    <row r="538" spans="1:16" ht="20.100000000000001" customHeight="1" x14ac:dyDescent="0.25">
      <c r="A538" s="26" t="str">
        <f>CONCATENATE(LEFT(ConsumoConcreto[[#This Row],[RecebimentoID]],4),"CNSC",TEXT(ConsumoConcreto[[#This Row],[Ordem]],"0000"),UPPER(LEFT(ConsumoConcreto[[#This Row],[Destino]],3)))</f>
        <v>0184CNSC0951RAD</v>
      </c>
      <c r="B538" s="1">
        <v>951</v>
      </c>
      <c r="C538" s="2" t="s">
        <v>2573</v>
      </c>
      <c r="D538" s="2" t="s">
        <v>2033</v>
      </c>
      <c r="E538" s="18">
        <v>12</v>
      </c>
      <c r="F538" s="2" t="s">
        <v>1801</v>
      </c>
      <c r="G538" s="36">
        <v>0.68333333333333324</v>
      </c>
      <c r="H538" s="2" t="s">
        <v>1968</v>
      </c>
      <c r="I5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38" s="22">
        <v>5.5</v>
      </c>
      <c r="K538" s="22">
        <v>5.5</v>
      </c>
      <c r="L538" s="37">
        <v>36892</v>
      </c>
      <c r="M538" s="2" t="s">
        <v>2289</v>
      </c>
      <c r="N538" s="2" t="s">
        <v>1963</v>
      </c>
      <c r="O538" s="2" t="s">
        <v>27</v>
      </c>
      <c r="P538" s="2" t="s">
        <v>26</v>
      </c>
    </row>
    <row r="539" spans="1:16" ht="20.100000000000001" customHeight="1" x14ac:dyDescent="0.25">
      <c r="A539" s="26" t="str">
        <f>CONCATENATE(LEFT(ConsumoConcreto[[#This Row],[RecebimentoID]],4),"CNSC",TEXT(ConsumoConcreto[[#This Row],[Ordem]],"0000"),UPPER(LEFT(ConsumoConcreto[[#This Row],[Destino]],3)))</f>
        <v>0184CNSC1062PAR</v>
      </c>
      <c r="B539" s="1">
        <v>1062</v>
      </c>
      <c r="C539" s="2" t="s">
        <v>2574</v>
      </c>
      <c r="D539" s="2" t="s">
        <v>2036</v>
      </c>
      <c r="E539" s="18">
        <v>12</v>
      </c>
      <c r="F539" s="2" t="s">
        <v>25</v>
      </c>
      <c r="G539" s="36">
        <v>0.91319444444444453</v>
      </c>
      <c r="H539" s="2" t="s">
        <v>1965</v>
      </c>
      <c r="I5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39" s="22">
        <v>14.5</v>
      </c>
      <c r="K539" s="22">
        <v>14.5</v>
      </c>
      <c r="L539" s="37">
        <v>36892</v>
      </c>
      <c r="M539" s="2"/>
      <c r="N539" s="2" t="s">
        <v>1966</v>
      </c>
      <c r="O539" s="2" t="s">
        <v>27</v>
      </c>
      <c r="P539" s="2" t="s">
        <v>26</v>
      </c>
    </row>
    <row r="540" spans="1:16" ht="20.100000000000001" customHeight="1" x14ac:dyDescent="0.25">
      <c r="A540" s="26" t="str">
        <f>CONCATENATE(LEFT(ConsumoConcreto[[#This Row],[RecebimentoID]],4),"CNSC",TEXT(ConsumoConcreto[[#This Row],[Ordem]],"0000"),UPPER(LEFT(ConsumoConcreto[[#This Row],[Destino]],3)))</f>
        <v>0184CNSC1015RAD</v>
      </c>
      <c r="B540" s="1">
        <v>1015</v>
      </c>
      <c r="C540" s="2" t="s">
        <v>2575</v>
      </c>
      <c r="D540" s="2" t="s">
        <v>2036</v>
      </c>
      <c r="E540" s="18">
        <v>12</v>
      </c>
      <c r="F540" s="2" t="s">
        <v>1801</v>
      </c>
      <c r="G540" s="36">
        <v>0.69444444444444453</v>
      </c>
      <c r="H540" s="2" t="s">
        <v>1968</v>
      </c>
      <c r="I5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40" s="22">
        <v>5.5</v>
      </c>
      <c r="K540" s="22">
        <v>5.5</v>
      </c>
      <c r="L540" s="37">
        <v>36892</v>
      </c>
      <c r="M540" s="2"/>
      <c r="N540" s="2" t="s">
        <v>1963</v>
      </c>
      <c r="O540" s="2" t="s">
        <v>27</v>
      </c>
      <c r="P540" s="2" t="s">
        <v>26</v>
      </c>
    </row>
    <row r="541" spans="1:16" ht="20.100000000000001" customHeight="1" x14ac:dyDescent="0.25">
      <c r="A541" s="26" t="str">
        <f>CONCATENATE(LEFT(ConsumoConcreto[[#This Row],[RecebimentoID]],4),"CNSC",TEXT(ConsumoConcreto[[#This Row],[Ordem]],"0000"),UPPER(LEFT(ConsumoConcreto[[#This Row],[Destino]],3)))</f>
        <v>0184CNSC0058PAR</v>
      </c>
      <c r="B541" s="1">
        <v>58</v>
      </c>
      <c r="C541" s="2" t="s">
        <v>2576</v>
      </c>
      <c r="D541" s="2" t="s">
        <v>1970</v>
      </c>
      <c r="E541" s="18">
        <v>13</v>
      </c>
      <c r="F541" s="2" t="s">
        <v>25</v>
      </c>
      <c r="G541" s="36"/>
      <c r="H541" s="2" t="s">
        <v>1965</v>
      </c>
      <c r="I5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41" s="22">
        <v>14.5</v>
      </c>
      <c r="K541" s="22">
        <v>14.5</v>
      </c>
      <c r="L541" s="37">
        <v>36892</v>
      </c>
      <c r="M541" s="2"/>
      <c r="N541" s="2" t="s">
        <v>1966</v>
      </c>
      <c r="O541" s="2" t="s">
        <v>27</v>
      </c>
      <c r="P541" s="2" t="s">
        <v>26</v>
      </c>
    </row>
    <row r="542" spans="1:16" ht="20.100000000000001" customHeight="1" x14ac:dyDescent="0.25">
      <c r="A542" s="26" t="str">
        <f>CONCATENATE(LEFT(ConsumoConcreto[[#This Row],[RecebimentoID]],4),"CNSC",TEXT(ConsumoConcreto[[#This Row],[Ordem]],"0000"),UPPER(LEFT(ConsumoConcreto[[#This Row],[Destino]],3)))</f>
        <v>0184CNSC0090PIL</v>
      </c>
      <c r="B542" s="1">
        <v>90</v>
      </c>
      <c r="C542" s="2" t="s">
        <v>2577</v>
      </c>
      <c r="D542" s="2" t="s">
        <v>1970</v>
      </c>
      <c r="E542" s="18">
        <v>13</v>
      </c>
      <c r="F542" s="2" t="s">
        <v>25</v>
      </c>
      <c r="G542" s="36"/>
      <c r="H542" s="2" t="s">
        <v>1962</v>
      </c>
      <c r="I5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42" s="22">
        <v>0.1</v>
      </c>
      <c r="K542" s="22">
        <v>0.1</v>
      </c>
      <c r="L542" s="37">
        <v>36892</v>
      </c>
      <c r="M542" s="2"/>
      <c r="N542" s="2" t="s">
        <v>1963</v>
      </c>
      <c r="O542" s="2" t="s">
        <v>27</v>
      </c>
      <c r="P542" s="2" t="s">
        <v>26</v>
      </c>
    </row>
    <row r="543" spans="1:16" ht="20.100000000000001" customHeight="1" x14ac:dyDescent="0.25">
      <c r="A543" s="26" t="str">
        <f>CONCATENATE(LEFT(ConsumoConcreto[[#This Row],[RecebimentoID]],4),"CNSC",TEXT(ConsumoConcreto[[#This Row],[Ordem]],"0000"),UPPER(LEFT(ConsumoConcreto[[#This Row],[Destino]],3)))</f>
        <v>0184CNSC0044RAD</v>
      </c>
      <c r="B543" s="1">
        <v>44</v>
      </c>
      <c r="C543" s="2" t="s">
        <v>2578</v>
      </c>
      <c r="D543" s="2" t="s">
        <v>1970</v>
      </c>
      <c r="E543" s="18">
        <v>13</v>
      </c>
      <c r="F543" s="2" t="s">
        <v>1801</v>
      </c>
      <c r="G543" s="36"/>
      <c r="H543" s="2" t="s">
        <v>1968</v>
      </c>
      <c r="I5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43" s="22">
        <v>5.5</v>
      </c>
      <c r="K543" s="22">
        <v>5.5</v>
      </c>
      <c r="L543" s="37">
        <v>36892</v>
      </c>
      <c r="M543" s="2"/>
      <c r="N543" s="2"/>
      <c r="O543" s="2" t="s">
        <v>27</v>
      </c>
      <c r="P543" s="2" t="s">
        <v>26</v>
      </c>
    </row>
    <row r="544" spans="1:16" ht="20.100000000000001" customHeight="1" x14ac:dyDescent="0.25">
      <c r="A544" s="26" t="str">
        <f>CONCATENATE(LEFT(ConsumoConcreto[[#This Row],[RecebimentoID]],4),"CNSC",TEXT(ConsumoConcreto[[#This Row],[Ordem]],"0000"),UPPER(LEFT(ConsumoConcreto[[#This Row],[Destino]],3)))</f>
        <v>0184CNSC0150PAR</v>
      </c>
      <c r="B544" s="1">
        <v>150</v>
      </c>
      <c r="C544" s="2" t="s">
        <v>2579</v>
      </c>
      <c r="D544" s="2" t="s">
        <v>1975</v>
      </c>
      <c r="E544" s="18">
        <v>13</v>
      </c>
      <c r="F544" s="2" t="s">
        <v>25</v>
      </c>
      <c r="G544" s="36">
        <v>0.75</v>
      </c>
      <c r="H544" s="2" t="s">
        <v>1965</v>
      </c>
      <c r="I5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44" s="22">
        <v>14.5</v>
      </c>
      <c r="K544" s="22">
        <v>14.5</v>
      </c>
      <c r="L544" s="37">
        <v>36892</v>
      </c>
      <c r="M544" s="2"/>
      <c r="N544" s="2" t="s">
        <v>1966</v>
      </c>
      <c r="O544" s="2" t="s">
        <v>27</v>
      </c>
      <c r="P544" s="2" t="s">
        <v>26</v>
      </c>
    </row>
    <row r="545" spans="1:16" ht="20.100000000000001" customHeight="1" x14ac:dyDescent="0.25">
      <c r="A545" s="26" t="str">
        <f>CONCATENATE(LEFT(ConsumoConcreto[[#This Row],[RecebimentoID]],4),"CNSC",TEXT(ConsumoConcreto[[#This Row],[Ordem]],"0000"),UPPER(LEFT(ConsumoConcreto[[#This Row],[Destino]],3)))</f>
        <v>0184CNSC0115RAD</v>
      </c>
      <c r="B545" s="1">
        <v>115</v>
      </c>
      <c r="C545" s="2" t="s">
        <v>2580</v>
      </c>
      <c r="D545" s="2" t="s">
        <v>1975</v>
      </c>
      <c r="E545" s="18">
        <v>13</v>
      </c>
      <c r="F545" s="2" t="s">
        <v>1801</v>
      </c>
      <c r="G545" s="36"/>
      <c r="H545" s="2" t="s">
        <v>1968</v>
      </c>
      <c r="I5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45" s="22">
        <v>5.5</v>
      </c>
      <c r="K545" s="22">
        <v>5.5</v>
      </c>
      <c r="L545" s="37">
        <v>36892</v>
      </c>
      <c r="M545" s="2"/>
      <c r="N545" s="2" t="s">
        <v>1966</v>
      </c>
      <c r="O545" s="2" t="s">
        <v>27</v>
      </c>
      <c r="P545" s="2" t="s">
        <v>26</v>
      </c>
    </row>
    <row r="546" spans="1:16" ht="20.100000000000001" customHeight="1" x14ac:dyDescent="0.25">
      <c r="A546" s="26" t="str">
        <f>CONCATENATE(LEFT(ConsumoConcreto[[#This Row],[RecebimentoID]],4),"CNSC",TEXT(ConsumoConcreto[[#This Row],[Ordem]],"0000"),UPPER(LEFT(ConsumoConcreto[[#This Row],[Destino]],3)))</f>
        <v>0184CNSC0237PAR</v>
      </c>
      <c r="B546" s="1">
        <v>237</v>
      </c>
      <c r="C546" s="2" t="s">
        <v>2581</v>
      </c>
      <c r="D546" s="2" t="s">
        <v>1979</v>
      </c>
      <c r="E546" s="18">
        <v>13</v>
      </c>
      <c r="F546" s="2" t="s">
        <v>25</v>
      </c>
      <c r="G546" s="36">
        <v>0.40972222222222227</v>
      </c>
      <c r="H546" s="2" t="s">
        <v>1965</v>
      </c>
      <c r="I5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46" s="22">
        <v>15</v>
      </c>
      <c r="K546" s="22">
        <v>15</v>
      </c>
      <c r="L546" s="37">
        <v>36892</v>
      </c>
      <c r="M546" s="2"/>
      <c r="N546" s="2" t="s">
        <v>1966</v>
      </c>
      <c r="O546" s="2" t="s">
        <v>27</v>
      </c>
      <c r="P546" s="2" t="s">
        <v>26</v>
      </c>
    </row>
    <row r="547" spans="1:16" ht="20.100000000000001" customHeight="1" x14ac:dyDescent="0.25">
      <c r="A547" s="26" t="str">
        <f>CONCATENATE(LEFT(ConsumoConcreto[[#This Row],[RecebimentoID]],4),"CNSC",TEXT(ConsumoConcreto[[#This Row],[Ordem]],"0000"),UPPER(LEFT(ConsumoConcreto[[#This Row],[Destino]],3)))</f>
        <v>0184CNSC0192RAD</v>
      </c>
      <c r="B547" s="1">
        <v>192</v>
      </c>
      <c r="C547" s="2" t="s">
        <v>2582</v>
      </c>
      <c r="D547" s="2" t="s">
        <v>1979</v>
      </c>
      <c r="E547" s="18">
        <v>13</v>
      </c>
      <c r="F547" s="2" t="s">
        <v>1801</v>
      </c>
      <c r="G547" s="36"/>
      <c r="H547" s="2" t="s">
        <v>1968</v>
      </c>
      <c r="I5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47" s="22">
        <v>6</v>
      </c>
      <c r="K547" s="22">
        <v>5.5</v>
      </c>
      <c r="L547" s="37">
        <v>36892</v>
      </c>
      <c r="M547" s="2" t="s">
        <v>2252</v>
      </c>
      <c r="N547" s="2" t="s">
        <v>1966</v>
      </c>
      <c r="O547" s="2" t="s">
        <v>27</v>
      </c>
      <c r="P547" s="2" t="s">
        <v>26</v>
      </c>
    </row>
    <row r="548" spans="1:16" ht="20.100000000000001" customHeight="1" x14ac:dyDescent="0.25">
      <c r="A548" s="26" t="str">
        <f>CONCATENATE(LEFT(ConsumoConcreto[[#This Row],[RecebimentoID]],4),"CNSC",TEXT(ConsumoConcreto[[#This Row],[Ordem]],"0000"),UPPER(LEFT(ConsumoConcreto[[#This Row],[Destino]],3)))</f>
        <v>0184CNSC0284PAR</v>
      </c>
      <c r="B548" s="1">
        <v>284</v>
      </c>
      <c r="C548" s="2" t="s">
        <v>2583</v>
      </c>
      <c r="D548" s="2" t="s">
        <v>1985</v>
      </c>
      <c r="E548" s="18">
        <v>13</v>
      </c>
      <c r="F548" s="2" t="s">
        <v>25</v>
      </c>
      <c r="G548" s="36">
        <v>0.95138888888888884</v>
      </c>
      <c r="H548" s="2" t="s">
        <v>1965</v>
      </c>
      <c r="I5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48" s="22">
        <v>14</v>
      </c>
      <c r="K548" s="22">
        <v>14</v>
      </c>
      <c r="L548" s="37">
        <v>36892</v>
      </c>
      <c r="M548" s="2"/>
      <c r="N548" s="2" t="s">
        <v>2017</v>
      </c>
      <c r="O548" s="2" t="s">
        <v>27</v>
      </c>
      <c r="P548" s="2" t="s">
        <v>26</v>
      </c>
    </row>
    <row r="549" spans="1:16" ht="20.100000000000001" customHeight="1" x14ac:dyDescent="0.25">
      <c r="A549" s="26" t="str">
        <f>CONCATENATE(LEFT(ConsumoConcreto[[#This Row],[RecebimentoID]],4),"CNSC",TEXT(ConsumoConcreto[[#This Row],[Ordem]],"0000"),UPPER(LEFT(ConsumoConcreto[[#This Row],[Destino]],3)))</f>
        <v>0184CNSC0263RAD</v>
      </c>
      <c r="B549" s="1">
        <v>263</v>
      </c>
      <c r="C549" s="2" t="s">
        <v>2584</v>
      </c>
      <c r="D549" s="2" t="s">
        <v>1985</v>
      </c>
      <c r="E549" s="18">
        <v>13</v>
      </c>
      <c r="F549" s="2" t="s">
        <v>1801</v>
      </c>
      <c r="G549" s="36">
        <v>0.44722222222222219</v>
      </c>
      <c r="H549" s="2" t="s">
        <v>1968</v>
      </c>
      <c r="I5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49" s="22">
        <v>5.5</v>
      </c>
      <c r="K549" s="22">
        <v>5.5</v>
      </c>
      <c r="L549" s="37">
        <v>36892</v>
      </c>
      <c r="M549" s="2"/>
      <c r="N549" s="2" t="s">
        <v>1963</v>
      </c>
      <c r="O549" s="2" t="s">
        <v>27</v>
      </c>
      <c r="P549" s="2" t="s">
        <v>26</v>
      </c>
    </row>
    <row r="550" spans="1:16" ht="20.100000000000001" customHeight="1" x14ac:dyDescent="0.25">
      <c r="A550" s="26" t="str">
        <f>CONCATENATE(LEFT(ConsumoConcreto[[#This Row],[RecebimentoID]],4),"CNSC",TEXT(ConsumoConcreto[[#This Row],[Ordem]],"0000"),UPPER(LEFT(ConsumoConcreto[[#This Row],[Destino]],3)))</f>
        <v>0184CNSC0298PIL</v>
      </c>
      <c r="B550" s="1">
        <v>298</v>
      </c>
      <c r="C550" s="2" t="s">
        <v>2585</v>
      </c>
      <c r="D550" s="2" t="s">
        <v>1985</v>
      </c>
      <c r="E550" s="18">
        <v>13</v>
      </c>
      <c r="F550" s="2" t="s">
        <v>1801</v>
      </c>
      <c r="G550" s="36">
        <v>0.5</v>
      </c>
      <c r="H550" s="2" t="s">
        <v>1962</v>
      </c>
      <c r="I5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50" s="22">
        <v>0.1</v>
      </c>
      <c r="K550" s="22">
        <v>0.1</v>
      </c>
      <c r="L550" s="37">
        <v>36892</v>
      </c>
      <c r="M550" s="2"/>
      <c r="N550" s="2" t="s">
        <v>1963</v>
      </c>
      <c r="O550" s="2" t="s">
        <v>27</v>
      </c>
      <c r="P550" s="2" t="s">
        <v>26</v>
      </c>
    </row>
    <row r="551" spans="1:16" ht="20.100000000000001" customHeight="1" x14ac:dyDescent="0.25">
      <c r="A551" s="26" t="str">
        <f>CONCATENATE(LEFT(ConsumoConcreto[[#This Row],[RecebimentoID]],4),"CNSC",TEXT(ConsumoConcreto[[#This Row],[Ordem]],"0000"),UPPER(LEFT(ConsumoConcreto[[#This Row],[Destino]],3)))</f>
        <v>0184CNSC0323PAR</v>
      </c>
      <c r="B551" s="1">
        <v>323</v>
      </c>
      <c r="C551" s="2" t="s">
        <v>2586</v>
      </c>
      <c r="D551" s="2" t="s">
        <v>1989</v>
      </c>
      <c r="E551" s="18">
        <v>13</v>
      </c>
      <c r="F551" s="2" t="s">
        <v>25</v>
      </c>
      <c r="G551" s="36">
        <v>0.84652777777777777</v>
      </c>
      <c r="H551" s="2" t="s">
        <v>1965</v>
      </c>
      <c r="I5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51" s="22">
        <v>18.5</v>
      </c>
      <c r="K551" s="22">
        <v>18.5</v>
      </c>
      <c r="L551" s="37">
        <v>36892</v>
      </c>
      <c r="M551" s="2"/>
      <c r="N551" s="2" t="s">
        <v>1966</v>
      </c>
      <c r="O551" s="2" t="s">
        <v>27</v>
      </c>
      <c r="P551" s="2" t="s">
        <v>26</v>
      </c>
    </row>
    <row r="552" spans="1:16" ht="20.100000000000001" customHeight="1" x14ac:dyDescent="0.25">
      <c r="A552" s="26" t="str">
        <f>CONCATENATE(LEFT(ConsumoConcreto[[#This Row],[RecebimentoID]],4),"CNSC",TEXT(ConsumoConcreto[[#This Row],[Ordem]],"0000"),UPPER(LEFT(ConsumoConcreto[[#This Row],[Destino]],3)))</f>
        <v>0184CNSC0318RAD</v>
      </c>
      <c r="B552" s="1">
        <v>318</v>
      </c>
      <c r="C552" s="2" t="s">
        <v>2587</v>
      </c>
      <c r="D552" s="2" t="s">
        <v>1989</v>
      </c>
      <c r="E552" s="18">
        <v>13</v>
      </c>
      <c r="F552" s="2" t="s">
        <v>1801</v>
      </c>
      <c r="G552" s="36">
        <v>0.51736111111111105</v>
      </c>
      <c r="H552" s="2" t="s">
        <v>1968</v>
      </c>
      <c r="I5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52" s="22">
        <v>7</v>
      </c>
      <c r="K552" s="22">
        <v>7</v>
      </c>
      <c r="L552" s="37">
        <v>36892</v>
      </c>
      <c r="M552" s="2"/>
      <c r="N552" s="2" t="s">
        <v>1963</v>
      </c>
      <c r="O552" s="2" t="s">
        <v>27</v>
      </c>
      <c r="P552" s="2" t="s">
        <v>26</v>
      </c>
    </row>
    <row r="553" spans="1:16" ht="20.100000000000001" customHeight="1" x14ac:dyDescent="0.25">
      <c r="A553" s="26" t="str">
        <f>CONCATENATE(LEFT(ConsumoConcreto[[#This Row],[RecebimentoID]],4),"CNSC",TEXT(ConsumoConcreto[[#This Row],[Ordem]],"0000"),UPPER(LEFT(ConsumoConcreto[[#This Row],[Destino]],3)))</f>
        <v>0184CNSC0354PAR</v>
      </c>
      <c r="B553" s="1">
        <v>354</v>
      </c>
      <c r="C553" s="2" t="s">
        <v>2588</v>
      </c>
      <c r="D553" s="2" t="s">
        <v>1992</v>
      </c>
      <c r="E553" s="18">
        <v>13</v>
      </c>
      <c r="F553" s="2" t="s">
        <v>25</v>
      </c>
      <c r="G553" s="36">
        <v>0.8027777777777777</v>
      </c>
      <c r="H553" s="2" t="s">
        <v>1965</v>
      </c>
      <c r="I5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53" s="22">
        <v>14</v>
      </c>
      <c r="K553" s="22">
        <v>14</v>
      </c>
      <c r="L553" s="37">
        <v>36892</v>
      </c>
      <c r="M553" s="2"/>
      <c r="N553" s="2" t="s">
        <v>1966</v>
      </c>
      <c r="O553" s="2" t="s">
        <v>27</v>
      </c>
      <c r="P553" s="2" t="s">
        <v>26</v>
      </c>
    </row>
    <row r="554" spans="1:16" ht="20.100000000000001" customHeight="1" x14ac:dyDescent="0.25">
      <c r="A554" s="26" t="str">
        <f>CONCATENATE(LEFT(ConsumoConcreto[[#This Row],[RecebimentoID]],4),"CNSC",TEXT(ConsumoConcreto[[#This Row],[Ordem]],"0000"),UPPER(LEFT(ConsumoConcreto[[#This Row],[Destino]],3)))</f>
        <v>0184CNSC0344RAD</v>
      </c>
      <c r="B554" s="1">
        <v>344</v>
      </c>
      <c r="C554" s="2" t="s">
        <v>2589</v>
      </c>
      <c r="D554" s="2" t="s">
        <v>1992</v>
      </c>
      <c r="E554" s="18">
        <v>13</v>
      </c>
      <c r="F554" s="2" t="s">
        <v>1801</v>
      </c>
      <c r="G554" s="36">
        <v>0.63888888888888895</v>
      </c>
      <c r="H554" s="2" t="s">
        <v>1968</v>
      </c>
      <c r="I5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54" s="22">
        <v>5.5</v>
      </c>
      <c r="K554" s="22">
        <v>5.5</v>
      </c>
      <c r="L554" s="37">
        <v>36892</v>
      </c>
      <c r="M554" s="2"/>
      <c r="N554" s="2" t="s">
        <v>1963</v>
      </c>
      <c r="O554" s="2" t="s">
        <v>27</v>
      </c>
      <c r="P554" s="2" t="s">
        <v>26</v>
      </c>
    </row>
    <row r="555" spans="1:16" ht="20.100000000000001" customHeight="1" x14ac:dyDescent="0.25">
      <c r="A555" s="26" t="str">
        <f>CONCATENATE(LEFT(ConsumoConcreto[[#This Row],[RecebimentoID]],4),"CNSC",TEXT(ConsumoConcreto[[#This Row],[Ordem]],"0000"),UPPER(LEFT(ConsumoConcreto[[#This Row],[Destino]],3)))</f>
        <v>0184CNSC0403PIL</v>
      </c>
      <c r="B555" s="1">
        <v>403</v>
      </c>
      <c r="C555" s="2" t="s">
        <v>2590</v>
      </c>
      <c r="D555" s="2" t="s">
        <v>1995</v>
      </c>
      <c r="E555" s="18">
        <v>13</v>
      </c>
      <c r="F555" s="2" t="s">
        <v>25</v>
      </c>
      <c r="G555" s="36"/>
      <c r="H555" s="2" t="s">
        <v>1962</v>
      </c>
      <c r="I5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55" s="22">
        <v>0.1</v>
      </c>
      <c r="K555" s="22">
        <v>0.1</v>
      </c>
      <c r="L555" s="37">
        <v>36892</v>
      </c>
      <c r="M555" s="2"/>
      <c r="N555" s="2" t="s">
        <v>1963</v>
      </c>
      <c r="O555" s="2" t="s">
        <v>27</v>
      </c>
      <c r="P555" s="2" t="s">
        <v>26</v>
      </c>
    </row>
    <row r="556" spans="1:16" ht="20.100000000000001" customHeight="1" x14ac:dyDescent="0.25">
      <c r="A556" s="26" t="str">
        <f>CONCATENATE(LEFT(ConsumoConcreto[[#This Row],[RecebimentoID]],4),"CNSC",TEXT(ConsumoConcreto[[#This Row],[Ordem]],"0000"),UPPER(LEFT(ConsumoConcreto[[#This Row],[Destino]],3)))</f>
        <v>0184CNSC0392PAR</v>
      </c>
      <c r="B556" s="1">
        <v>392</v>
      </c>
      <c r="C556" s="2" t="s">
        <v>2591</v>
      </c>
      <c r="D556" s="2" t="s">
        <v>1995</v>
      </c>
      <c r="E556" s="18">
        <v>13</v>
      </c>
      <c r="F556" s="2" t="s">
        <v>25</v>
      </c>
      <c r="G556" s="36">
        <v>0.98749999999999993</v>
      </c>
      <c r="H556" s="2" t="s">
        <v>1965</v>
      </c>
      <c r="I5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56" s="22">
        <v>14.5</v>
      </c>
      <c r="K556" s="22">
        <v>14</v>
      </c>
      <c r="L556" s="37">
        <v>36892</v>
      </c>
      <c r="M556" s="2" t="s">
        <v>2592</v>
      </c>
      <c r="N556" s="2" t="s">
        <v>1966</v>
      </c>
      <c r="O556" s="2" t="s">
        <v>27</v>
      </c>
      <c r="P556" s="2" t="s">
        <v>26</v>
      </c>
    </row>
    <row r="557" spans="1:16" ht="20.100000000000001" customHeight="1" x14ac:dyDescent="0.25">
      <c r="A557" s="26" t="str">
        <f>CONCATENATE(LEFT(ConsumoConcreto[[#This Row],[RecebimentoID]],4),"CNSC",TEXT(ConsumoConcreto[[#This Row],[Ordem]],"0000"),UPPER(LEFT(ConsumoConcreto[[#This Row],[Destino]],3)))</f>
        <v>0184CNSC0372RAD</v>
      </c>
      <c r="B557" s="1">
        <v>372</v>
      </c>
      <c r="C557" s="2" t="s">
        <v>2593</v>
      </c>
      <c r="D557" s="2" t="s">
        <v>1995</v>
      </c>
      <c r="E557" s="18">
        <v>13</v>
      </c>
      <c r="F557" s="2" t="s">
        <v>1801</v>
      </c>
      <c r="G557" s="36">
        <v>0.59027777777777779</v>
      </c>
      <c r="H557" s="2" t="s">
        <v>1968</v>
      </c>
      <c r="I5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57" s="22">
        <v>5.5</v>
      </c>
      <c r="K557" s="22">
        <v>5.5</v>
      </c>
      <c r="L557" s="37">
        <v>36892</v>
      </c>
      <c r="M557" s="2"/>
      <c r="N557" s="2" t="s">
        <v>1963</v>
      </c>
      <c r="O557" s="2" t="s">
        <v>27</v>
      </c>
      <c r="P557" s="2" t="s">
        <v>26</v>
      </c>
    </row>
    <row r="558" spans="1:16" ht="20.100000000000001" customHeight="1" x14ac:dyDescent="0.25">
      <c r="A558" s="26" t="str">
        <f>CONCATENATE(LEFT(ConsumoConcreto[[#This Row],[RecebimentoID]],4),"CNSC",TEXT(ConsumoConcreto[[#This Row],[Ordem]],"0000"),UPPER(LEFT(ConsumoConcreto[[#This Row],[Destino]],3)))</f>
        <v>0184CNSC0428PAR</v>
      </c>
      <c r="B558" s="1">
        <v>428</v>
      </c>
      <c r="C558" s="2" t="s">
        <v>2594</v>
      </c>
      <c r="D558" s="2" t="s">
        <v>1999</v>
      </c>
      <c r="E558" s="18">
        <v>13</v>
      </c>
      <c r="F558" s="2" t="s">
        <v>25</v>
      </c>
      <c r="G558" s="36">
        <v>0.86805555555555547</v>
      </c>
      <c r="H558" s="2" t="s">
        <v>1965</v>
      </c>
      <c r="I5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58" s="22">
        <v>18.5</v>
      </c>
      <c r="K558" s="22">
        <v>18.5</v>
      </c>
      <c r="L558" s="37">
        <v>36892</v>
      </c>
      <c r="M558" s="2"/>
      <c r="N558" s="2" t="s">
        <v>1966</v>
      </c>
      <c r="O558" s="2" t="s">
        <v>27</v>
      </c>
      <c r="P558" s="2" t="s">
        <v>26</v>
      </c>
    </row>
    <row r="559" spans="1:16" ht="20.100000000000001" customHeight="1" x14ac:dyDescent="0.25">
      <c r="A559" s="26" t="str">
        <f>CONCATENATE(LEFT(ConsumoConcreto[[#This Row],[RecebimentoID]],4),"CNSC",TEXT(ConsumoConcreto[[#This Row],[Ordem]],"0000"),UPPER(LEFT(ConsumoConcreto[[#This Row],[Destino]],3)))</f>
        <v>0184CNSC0419RAD</v>
      </c>
      <c r="B559" s="1">
        <v>419</v>
      </c>
      <c r="C559" s="2" t="s">
        <v>2595</v>
      </c>
      <c r="D559" s="2" t="s">
        <v>1999</v>
      </c>
      <c r="E559" s="18">
        <v>13</v>
      </c>
      <c r="F559" s="2" t="s">
        <v>1801</v>
      </c>
      <c r="G559" s="36">
        <v>0.71875</v>
      </c>
      <c r="H559" s="2" t="s">
        <v>1968</v>
      </c>
      <c r="I5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59" s="22">
        <v>7</v>
      </c>
      <c r="K559" s="22">
        <v>7</v>
      </c>
      <c r="L559" s="37">
        <v>36892</v>
      </c>
      <c r="M559" s="2" t="s">
        <v>2596</v>
      </c>
      <c r="N559" s="2" t="s">
        <v>2017</v>
      </c>
      <c r="O559" s="2" t="s">
        <v>27</v>
      </c>
      <c r="P559" s="2" t="s">
        <v>26</v>
      </c>
    </row>
    <row r="560" spans="1:16" ht="20.100000000000001" customHeight="1" x14ac:dyDescent="0.25">
      <c r="A560" s="26" t="str">
        <f>CONCATENATE(LEFT(ConsumoConcreto[[#This Row],[RecebimentoID]],4),"CNSC",TEXT(ConsumoConcreto[[#This Row],[Ordem]],"0000"),UPPER(LEFT(ConsumoConcreto[[#This Row],[Destino]],3)))</f>
        <v>0184CNSC0466PAR</v>
      </c>
      <c r="B560" s="1">
        <v>466</v>
      </c>
      <c r="C560" s="2" t="s">
        <v>2597</v>
      </c>
      <c r="D560" s="2" t="s">
        <v>2002</v>
      </c>
      <c r="E560" s="18">
        <v>13</v>
      </c>
      <c r="F560" s="2" t="s">
        <v>25</v>
      </c>
      <c r="G560" s="36">
        <v>0.80347222222222225</v>
      </c>
      <c r="H560" s="2" t="s">
        <v>1965</v>
      </c>
      <c r="I5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60" s="22">
        <v>18</v>
      </c>
      <c r="K560" s="22">
        <v>18</v>
      </c>
      <c r="L560" s="37">
        <v>36892</v>
      </c>
      <c r="M560" s="2"/>
      <c r="N560" s="2" t="s">
        <v>1966</v>
      </c>
      <c r="O560" s="2" t="s">
        <v>27</v>
      </c>
      <c r="P560" s="2" t="s">
        <v>26</v>
      </c>
    </row>
    <row r="561" spans="1:16" ht="20.100000000000001" customHeight="1" x14ac:dyDescent="0.25">
      <c r="A561" s="26" t="str">
        <f>CONCATENATE(LEFT(ConsumoConcreto[[#This Row],[RecebimentoID]],4),"CNSC",TEXT(ConsumoConcreto[[#This Row],[Ordem]],"0000"),UPPER(LEFT(ConsumoConcreto[[#This Row],[Destino]],3)))</f>
        <v>0184CNSC0455RAD</v>
      </c>
      <c r="B561" s="1">
        <v>455</v>
      </c>
      <c r="C561" s="2" t="s">
        <v>2598</v>
      </c>
      <c r="D561" s="2" t="s">
        <v>2002</v>
      </c>
      <c r="E561" s="18">
        <v>13</v>
      </c>
      <c r="F561" s="2" t="s">
        <v>1801</v>
      </c>
      <c r="G561" s="36">
        <v>0.52430555555555558</v>
      </c>
      <c r="H561" s="2" t="s">
        <v>1968</v>
      </c>
      <c r="I5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61" s="22">
        <v>7</v>
      </c>
      <c r="K561" s="22">
        <v>7</v>
      </c>
      <c r="L561" s="37">
        <v>36892</v>
      </c>
      <c r="M561" s="2"/>
      <c r="N561" s="2" t="s">
        <v>1963</v>
      </c>
      <c r="O561" s="2" t="s">
        <v>27</v>
      </c>
      <c r="P561" s="2" t="s">
        <v>26</v>
      </c>
    </row>
    <row r="562" spans="1:16" ht="20.100000000000001" customHeight="1" x14ac:dyDescent="0.25">
      <c r="A562" s="26" t="str">
        <f>CONCATENATE(LEFT(ConsumoConcreto[[#This Row],[RecebimentoID]],4),"CNSC",TEXT(ConsumoConcreto[[#This Row],[Ordem]],"0000"),UPPER(LEFT(ConsumoConcreto[[#This Row],[Destino]],3)))</f>
        <v>0184CNSC0522PAR</v>
      </c>
      <c r="B562" s="1">
        <v>522</v>
      </c>
      <c r="C562" s="2" t="s">
        <v>2599</v>
      </c>
      <c r="D562" s="2" t="s">
        <v>2005</v>
      </c>
      <c r="E562" s="18">
        <v>13</v>
      </c>
      <c r="F562" s="2" t="s">
        <v>25</v>
      </c>
      <c r="G562" s="36">
        <v>0.82986111111111116</v>
      </c>
      <c r="H562" s="2" t="s">
        <v>1965</v>
      </c>
      <c r="I5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62" s="22">
        <v>18</v>
      </c>
      <c r="K562" s="22">
        <v>18</v>
      </c>
      <c r="L562" s="37">
        <v>36892</v>
      </c>
      <c r="M562" s="2"/>
      <c r="N562" s="2" t="s">
        <v>1966</v>
      </c>
      <c r="O562" s="2" t="s">
        <v>27</v>
      </c>
      <c r="P562" s="2" t="s">
        <v>26</v>
      </c>
    </row>
    <row r="563" spans="1:16" ht="20.100000000000001" customHeight="1" x14ac:dyDescent="0.25">
      <c r="A563" s="26" t="str">
        <f>CONCATENATE(LEFT(ConsumoConcreto[[#This Row],[RecebimentoID]],4),"CNSC",TEXT(ConsumoConcreto[[#This Row],[Ordem]],"0000"),UPPER(LEFT(ConsumoConcreto[[#This Row],[Destino]],3)))</f>
        <v>0184CNSC0484RAD</v>
      </c>
      <c r="B563" s="1">
        <v>484</v>
      </c>
      <c r="C563" s="2" t="s">
        <v>2600</v>
      </c>
      <c r="D563" s="2" t="s">
        <v>2005</v>
      </c>
      <c r="E563" s="18">
        <v>13</v>
      </c>
      <c r="F563" s="2" t="s">
        <v>1801</v>
      </c>
      <c r="G563" s="36">
        <v>0.71527777777777779</v>
      </c>
      <c r="H563" s="2" t="s">
        <v>1968</v>
      </c>
      <c r="I5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63" s="22">
        <v>7</v>
      </c>
      <c r="K563" s="22">
        <v>7</v>
      </c>
      <c r="L563" s="37">
        <v>36892</v>
      </c>
      <c r="M563" s="2"/>
      <c r="N563" s="2" t="s">
        <v>1963</v>
      </c>
      <c r="O563" s="2" t="s">
        <v>27</v>
      </c>
      <c r="P563" s="2" t="s">
        <v>26</v>
      </c>
    </row>
    <row r="564" spans="1:16" ht="20.100000000000001" customHeight="1" x14ac:dyDescent="0.25">
      <c r="A564" s="26" t="str">
        <f>CONCATENATE(LEFT(ConsumoConcreto[[#This Row],[RecebimentoID]],4),"CNSC",TEXT(ConsumoConcreto[[#This Row],[Ordem]],"0000"),UPPER(LEFT(ConsumoConcreto[[#This Row],[Destino]],3)))</f>
        <v>0184CNSC0574PAR</v>
      </c>
      <c r="B564" s="1">
        <v>574</v>
      </c>
      <c r="C564" s="2" t="s">
        <v>2601</v>
      </c>
      <c r="D564" s="2" t="s">
        <v>2007</v>
      </c>
      <c r="E564" s="18">
        <v>13</v>
      </c>
      <c r="F564" s="2" t="s">
        <v>25</v>
      </c>
      <c r="G564" s="36">
        <v>0.89236111111111116</v>
      </c>
      <c r="H564" s="2" t="s">
        <v>1965</v>
      </c>
      <c r="I5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64" s="22">
        <v>18</v>
      </c>
      <c r="K564" s="22">
        <v>18</v>
      </c>
      <c r="L564" s="37">
        <v>36892</v>
      </c>
      <c r="M564" s="2"/>
      <c r="N564" s="2" t="s">
        <v>1966</v>
      </c>
      <c r="O564" s="2" t="s">
        <v>27</v>
      </c>
      <c r="P564" s="2" t="s">
        <v>26</v>
      </c>
    </row>
    <row r="565" spans="1:16" ht="20.100000000000001" customHeight="1" x14ac:dyDescent="0.25">
      <c r="A565" s="26" t="str">
        <f>CONCATENATE(LEFT(ConsumoConcreto[[#This Row],[RecebimentoID]],4),"CNSC",TEXT(ConsumoConcreto[[#This Row],[Ordem]],"0000"),UPPER(LEFT(ConsumoConcreto[[#This Row],[Destino]],3)))</f>
        <v>0184CNSC0551RAD</v>
      </c>
      <c r="B565" s="1">
        <v>551</v>
      </c>
      <c r="C565" s="2" t="s">
        <v>2602</v>
      </c>
      <c r="D565" s="2" t="s">
        <v>2007</v>
      </c>
      <c r="E565" s="18">
        <v>13</v>
      </c>
      <c r="F565" s="2" t="s">
        <v>1801</v>
      </c>
      <c r="G565" s="36"/>
      <c r="H565" s="2" t="s">
        <v>1968</v>
      </c>
      <c r="I5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65" s="22">
        <v>7</v>
      </c>
      <c r="K565" s="22">
        <v>7</v>
      </c>
      <c r="L565" s="37">
        <v>36892</v>
      </c>
      <c r="M565" s="2"/>
      <c r="N565" s="2" t="s">
        <v>1963</v>
      </c>
      <c r="O565" s="2" t="s">
        <v>27</v>
      </c>
      <c r="P565" s="2" t="s">
        <v>26</v>
      </c>
    </row>
    <row r="566" spans="1:16" ht="20.100000000000001" customHeight="1" x14ac:dyDescent="0.25">
      <c r="A566" s="26" t="str">
        <f>CONCATENATE(LEFT(ConsumoConcreto[[#This Row],[RecebimentoID]],4),"CNSC",TEXT(ConsumoConcreto[[#This Row],[Ordem]],"0000"),UPPER(LEFT(ConsumoConcreto[[#This Row],[Destino]],3)))</f>
        <v>0184CNSC0618PAR</v>
      </c>
      <c r="B566" s="1">
        <v>618</v>
      </c>
      <c r="C566" s="2" t="s">
        <v>2603</v>
      </c>
      <c r="D566" s="2" t="s">
        <v>2010</v>
      </c>
      <c r="E566" s="18">
        <v>13</v>
      </c>
      <c r="F566" s="2" t="s">
        <v>25</v>
      </c>
      <c r="G566" s="36">
        <v>0.78263888888888899</v>
      </c>
      <c r="H566" s="2" t="s">
        <v>1965</v>
      </c>
      <c r="I5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66" s="22">
        <v>14</v>
      </c>
      <c r="K566" s="22">
        <v>14</v>
      </c>
      <c r="L566" s="37">
        <v>36892</v>
      </c>
      <c r="M566" s="2"/>
      <c r="N566" s="2" t="s">
        <v>1966</v>
      </c>
      <c r="O566" s="2" t="s">
        <v>27</v>
      </c>
      <c r="P566" s="2" t="s">
        <v>26</v>
      </c>
    </row>
    <row r="567" spans="1:16" ht="20.100000000000001" customHeight="1" x14ac:dyDescent="0.25">
      <c r="A567" s="26" t="str">
        <f>CONCATENATE(LEFT(ConsumoConcreto[[#This Row],[RecebimentoID]],4),"CNSC",TEXT(ConsumoConcreto[[#This Row],[Ordem]],"0000"),UPPER(LEFT(ConsumoConcreto[[#This Row],[Destino]],3)))</f>
        <v>0184CNSC0605RAD</v>
      </c>
      <c r="B567" s="1">
        <v>605</v>
      </c>
      <c r="C567" s="2" t="s">
        <v>2604</v>
      </c>
      <c r="D567" s="2" t="s">
        <v>2010</v>
      </c>
      <c r="E567" s="18">
        <v>13</v>
      </c>
      <c r="F567" s="2" t="s">
        <v>1801</v>
      </c>
      <c r="G567" s="36">
        <v>0.375</v>
      </c>
      <c r="H567" s="2" t="s">
        <v>1968</v>
      </c>
      <c r="I5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67" s="22">
        <v>6.5</v>
      </c>
      <c r="K567" s="22">
        <v>6.5</v>
      </c>
      <c r="L567" s="37">
        <v>36892</v>
      </c>
      <c r="M567" s="2" t="s">
        <v>2605</v>
      </c>
      <c r="N567" s="2" t="s">
        <v>1966</v>
      </c>
      <c r="O567" s="2" t="s">
        <v>27</v>
      </c>
      <c r="P567" s="2" t="s">
        <v>26</v>
      </c>
    </row>
    <row r="568" spans="1:16" ht="20.100000000000001" customHeight="1" x14ac:dyDescent="0.25">
      <c r="A568" s="26" t="str">
        <f>CONCATENATE(LEFT(ConsumoConcreto[[#This Row],[RecebimentoID]],4),"CNSC",TEXT(ConsumoConcreto[[#This Row],[Ordem]],"0000"),UPPER(LEFT(ConsumoConcreto[[#This Row],[Destino]],3)))</f>
        <v>0184CNSC0695PAR</v>
      </c>
      <c r="B568" s="1">
        <v>695</v>
      </c>
      <c r="C568" s="2" t="s">
        <v>2606</v>
      </c>
      <c r="D568" s="2" t="s">
        <v>2013</v>
      </c>
      <c r="E568" s="18">
        <v>13</v>
      </c>
      <c r="F568" s="2" t="s">
        <v>25</v>
      </c>
      <c r="G568" s="36">
        <v>0.70833333333333337</v>
      </c>
      <c r="H568" s="2" t="s">
        <v>1965</v>
      </c>
      <c r="I5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68" s="22">
        <v>14.5</v>
      </c>
      <c r="K568" s="22">
        <v>14.5</v>
      </c>
      <c r="L568" s="37">
        <v>36892</v>
      </c>
      <c r="M568" s="2"/>
      <c r="N568" s="2" t="s">
        <v>1966</v>
      </c>
      <c r="O568" s="2" t="s">
        <v>27</v>
      </c>
      <c r="P568" s="2" t="s">
        <v>26</v>
      </c>
    </row>
    <row r="569" spans="1:16" ht="20.100000000000001" customHeight="1" x14ac:dyDescent="0.25">
      <c r="A569" s="26" t="str">
        <f>CONCATENATE(LEFT(ConsumoConcreto[[#This Row],[RecebimentoID]],4),"CNSC",TEXT(ConsumoConcreto[[#This Row],[Ordem]],"0000"),UPPER(LEFT(ConsumoConcreto[[#This Row],[Destino]],3)))</f>
        <v>0184CNSC0674RAD</v>
      </c>
      <c r="B569" s="1">
        <v>674</v>
      </c>
      <c r="C569" s="2" t="s">
        <v>2607</v>
      </c>
      <c r="D569" s="2" t="s">
        <v>2013</v>
      </c>
      <c r="E569" s="18">
        <v>13</v>
      </c>
      <c r="F569" s="2" t="s">
        <v>1801</v>
      </c>
      <c r="G569" s="36"/>
      <c r="H569" s="2" t="s">
        <v>1968</v>
      </c>
      <c r="I5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69" s="22">
        <v>6</v>
      </c>
      <c r="K569" s="22">
        <v>5.4809999999999999</v>
      </c>
      <c r="L569" s="37">
        <v>36892</v>
      </c>
      <c r="M569" s="2"/>
      <c r="N569" s="2"/>
      <c r="O569" s="2" t="s">
        <v>27</v>
      </c>
      <c r="P569" s="2" t="s">
        <v>26</v>
      </c>
    </row>
    <row r="570" spans="1:16" ht="20.100000000000001" customHeight="1" x14ac:dyDescent="0.25">
      <c r="A570" s="26" t="str">
        <f>CONCATENATE(LEFT(ConsumoConcreto[[#This Row],[RecebimentoID]],4),"CNSC",TEXT(ConsumoConcreto[[#This Row],[Ordem]],"0000"),UPPER(LEFT(ConsumoConcreto[[#This Row],[Destino]],3)))</f>
        <v>0184CNSC0771PAR</v>
      </c>
      <c r="B570" s="1">
        <v>771</v>
      </c>
      <c r="C570" s="2" t="s">
        <v>2608</v>
      </c>
      <c r="D570" s="2" t="s">
        <v>2016</v>
      </c>
      <c r="E570" s="18">
        <v>13</v>
      </c>
      <c r="F570" s="2" t="s">
        <v>25</v>
      </c>
      <c r="G570" s="36">
        <v>0.90277777777777779</v>
      </c>
      <c r="H570" s="2" t="s">
        <v>1965</v>
      </c>
      <c r="I5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70" s="22">
        <v>14.5</v>
      </c>
      <c r="K570" s="22">
        <v>14.5</v>
      </c>
      <c r="L570" s="37">
        <v>36892</v>
      </c>
      <c r="M570" s="2"/>
      <c r="N570" s="2" t="s">
        <v>2017</v>
      </c>
      <c r="O570" s="2" t="s">
        <v>27</v>
      </c>
      <c r="P570" s="2" t="s">
        <v>26</v>
      </c>
    </row>
    <row r="571" spans="1:16" ht="20.100000000000001" customHeight="1" x14ac:dyDescent="0.25">
      <c r="A571" s="26" t="str">
        <f>CONCATENATE(LEFT(ConsumoConcreto[[#This Row],[RecebimentoID]],4),"CNSC",TEXT(ConsumoConcreto[[#This Row],[Ordem]],"0000"),UPPER(LEFT(ConsumoConcreto[[#This Row],[Destino]],3)))</f>
        <v>0184CNSC0756RAD</v>
      </c>
      <c r="B571" s="1">
        <v>756</v>
      </c>
      <c r="C571" s="2" t="s">
        <v>2609</v>
      </c>
      <c r="D571" s="2" t="s">
        <v>2016</v>
      </c>
      <c r="E571" s="18">
        <v>13</v>
      </c>
      <c r="F571" s="2" t="s">
        <v>1801</v>
      </c>
      <c r="G571" s="36">
        <v>0.50208333333333333</v>
      </c>
      <c r="H571" s="2" t="s">
        <v>1968</v>
      </c>
      <c r="I5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71" s="22">
        <v>5.5</v>
      </c>
      <c r="K571" s="22">
        <v>5.5</v>
      </c>
      <c r="L571" s="37">
        <v>36892</v>
      </c>
      <c r="M571" s="2"/>
      <c r="N571" s="2" t="s">
        <v>2017</v>
      </c>
      <c r="O571" s="2" t="s">
        <v>27</v>
      </c>
      <c r="P571" s="2" t="s">
        <v>26</v>
      </c>
    </row>
    <row r="572" spans="1:16" ht="20.100000000000001" customHeight="1" x14ac:dyDescent="0.25">
      <c r="A572" s="26" t="str">
        <f>CONCATENATE(LEFT(ConsumoConcreto[[#This Row],[RecebimentoID]],4),"CNSC",TEXT(ConsumoConcreto[[#This Row],[Ordem]],"0000"),UPPER(LEFT(ConsumoConcreto[[#This Row],[Destino]],3)))</f>
        <v>0184CNSC0803PAR</v>
      </c>
      <c r="B572" s="1">
        <v>803</v>
      </c>
      <c r="C572" s="2" t="s">
        <v>2610</v>
      </c>
      <c r="D572" s="2" t="s">
        <v>2021</v>
      </c>
      <c r="E572" s="18">
        <v>13</v>
      </c>
      <c r="F572" s="2" t="s">
        <v>25</v>
      </c>
      <c r="G572" s="36"/>
      <c r="H572" s="2" t="s">
        <v>1965</v>
      </c>
      <c r="I5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L572" s="37">
        <v>36892</v>
      </c>
      <c r="M572" s="2"/>
      <c r="N572" s="2" t="s">
        <v>1966</v>
      </c>
      <c r="O572" s="2" t="s">
        <v>27</v>
      </c>
      <c r="P572" s="2" t="s">
        <v>26</v>
      </c>
    </row>
    <row r="573" spans="1:16" ht="20.100000000000001" customHeight="1" x14ac:dyDescent="0.25">
      <c r="A573" s="26" t="str">
        <f>CONCATENATE(LEFT(ConsumoConcreto[[#This Row],[RecebimentoID]],4),"CNSC",TEXT(ConsumoConcreto[[#This Row],[Ordem]],"0000"),UPPER(LEFT(ConsumoConcreto[[#This Row],[Destino]],3)))</f>
        <v>0184CNSC0783RAD</v>
      </c>
      <c r="B573" s="1">
        <v>783</v>
      </c>
      <c r="C573" s="2" t="s">
        <v>2611</v>
      </c>
      <c r="D573" s="2" t="s">
        <v>2021</v>
      </c>
      <c r="E573" s="18">
        <v>13</v>
      </c>
      <c r="F573" s="2" t="s">
        <v>1801</v>
      </c>
      <c r="G573" s="36">
        <v>0.47916666666666669</v>
      </c>
      <c r="H573" s="2" t="s">
        <v>1968</v>
      </c>
      <c r="I5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73" s="22">
        <v>7</v>
      </c>
      <c r="K573" s="22">
        <v>7</v>
      </c>
      <c r="L573" s="37">
        <v>36892</v>
      </c>
      <c r="M573" s="2"/>
      <c r="N573" s="2" t="s">
        <v>1963</v>
      </c>
      <c r="O573" s="2" t="s">
        <v>27</v>
      </c>
      <c r="P573" s="2" t="s">
        <v>26</v>
      </c>
    </row>
    <row r="574" spans="1:16" ht="20.100000000000001" customHeight="1" x14ac:dyDescent="0.25">
      <c r="A574" s="26" t="str">
        <f>CONCATENATE(LEFT(ConsumoConcreto[[#This Row],[RecebimentoID]],4),"CNSC",TEXT(ConsumoConcreto[[#This Row],[Ordem]],"0000"),UPPER(LEFT(ConsumoConcreto[[#This Row],[Destino]],3)))</f>
        <v>0184CNSC0852PAR</v>
      </c>
      <c r="B574" s="1">
        <v>852</v>
      </c>
      <c r="C574" s="2" t="s">
        <v>2612</v>
      </c>
      <c r="D574" s="2" t="s">
        <v>2024</v>
      </c>
      <c r="E574" s="18">
        <v>13</v>
      </c>
      <c r="F574" s="2" t="s">
        <v>25</v>
      </c>
      <c r="G574" s="36">
        <v>0.75</v>
      </c>
      <c r="H574" s="2" t="s">
        <v>1965</v>
      </c>
      <c r="I5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74" s="22">
        <v>14.5</v>
      </c>
      <c r="K574" s="22">
        <v>14.5</v>
      </c>
      <c r="L574" s="37">
        <v>36892</v>
      </c>
      <c r="M574" s="2"/>
      <c r="N574" s="2" t="s">
        <v>1966</v>
      </c>
      <c r="O574" s="2" t="s">
        <v>27</v>
      </c>
      <c r="P574" s="2" t="s">
        <v>26</v>
      </c>
    </row>
    <row r="575" spans="1:16" ht="20.100000000000001" customHeight="1" x14ac:dyDescent="0.25">
      <c r="A575" s="26" t="str">
        <f>CONCATENATE(LEFT(ConsumoConcreto[[#This Row],[RecebimentoID]],4),"CNSC",TEXT(ConsumoConcreto[[#This Row],[Ordem]],"0000"),UPPER(LEFT(ConsumoConcreto[[#This Row],[Destino]],3)))</f>
        <v>0184CNSC0812RAD</v>
      </c>
      <c r="B575" s="1">
        <v>812</v>
      </c>
      <c r="C575" s="2" t="s">
        <v>2613</v>
      </c>
      <c r="D575" s="2" t="s">
        <v>2024</v>
      </c>
      <c r="E575" s="18">
        <v>13</v>
      </c>
      <c r="F575" s="2" t="s">
        <v>1801</v>
      </c>
      <c r="G575" s="36">
        <v>0.56041666666666667</v>
      </c>
      <c r="H575" s="2" t="s">
        <v>1968</v>
      </c>
      <c r="I5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75" s="22">
        <v>6</v>
      </c>
      <c r="K575" s="22">
        <v>6</v>
      </c>
      <c r="L575" s="37">
        <v>36892</v>
      </c>
      <c r="M575" s="2"/>
      <c r="N575" s="2" t="s">
        <v>1966</v>
      </c>
      <c r="O575" s="2" t="s">
        <v>27</v>
      </c>
      <c r="P575" s="2" t="s">
        <v>26</v>
      </c>
    </row>
    <row r="576" spans="1:16" ht="20.100000000000001" customHeight="1" x14ac:dyDescent="0.25">
      <c r="A576" s="26" t="str">
        <f>CONCATENATE(LEFT(ConsumoConcreto[[#This Row],[RecebimentoID]],4),"CNSC",TEXT(ConsumoConcreto[[#This Row],[Ordem]],"0000"),UPPER(LEFT(ConsumoConcreto[[#This Row],[Destino]],3)))</f>
        <v>0184CNSC0893PAR</v>
      </c>
      <c r="B576" s="1">
        <v>893</v>
      </c>
      <c r="C576" s="2" t="s">
        <v>2614</v>
      </c>
      <c r="D576" s="2" t="s">
        <v>2027</v>
      </c>
      <c r="E576" s="18">
        <v>13</v>
      </c>
      <c r="F576" s="2" t="s">
        <v>25</v>
      </c>
      <c r="G576" s="36">
        <v>0.67013888888888884</v>
      </c>
      <c r="H576" s="2" t="s">
        <v>1965</v>
      </c>
      <c r="I5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76" s="22">
        <v>14.5</v>
      </c>
      <c r="K576" s="22">
        <v>14.5</v>
      </c>
      <c r="L576" s="37">
        <v>36892</v>
      </c>
      <c r="M576" s="2"/>
      <c r="N576" s="2" t="s">
        <v>1966</v>
      </c>
      <c r="O576" s="2" t="s">
        <v>27</v>
      </c>
      <c r="P576" s="2" t="s">
        <v>26</v>
      </c>
    </row>
    <row r="577" spans="1:16" ht="20.100000000000001" customHeight="1" x14ac:dyDescent="0.25">
      <c r="A577" s="26" t="str">
        <f>CONCATENATE(LEFT(ConsumoConcreto[[#This Row],[RecebimentoID]],4),"CNSC",TEXT(ConsumoConcreto[[#This Row],[Ordem]],"0000"),UPPER(LEFT(ConsumoConcreto[[#This Row],[Destino]],3)))</f>
        <v>0184CNSC0869RAD</v>
      </c>
      <c r="B577" s="1">
        <v>869</v>
      </c>
      <c r="C577" s="2" t="s">
        <v>2615</v>
      </c>
      <c r="D577" s="2" t="s">
        <v>2027</v>
      </c>
      <c r="E577" s="18">
        <v>13</v>
      </c>
      <c r="F577" s="2" t="s">
        <v>1801</v>
      </c>
      <c r="G577" s="36">
        <v>0.67361111111111116</v>
      </c>
      <c r="H577" s="2" t="s">
        <v>1968</v>
      </c>
      <c r="I5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77" s="22">
        <v>5.5</v>
      </c>
      <c r="K577" s="22">
        <v>5.5</v>
      </c>
      <c r="L577" s="37">
        <v>36892</v>
      </c>
      <c r="M577" s="2"/>
      <c r="N577" s="2" t="s">
        <v>1963</v>
      </c>
      <c r="O577" s="2" t="s">
        <v>27</v>
      </c>
      <c r="P577" s="2" t="s">
        <v>26</v>
      </c>
    </row>
    <row r="578" spans="1:16" ht="20.100000000000001" customHeight="1" x14ac:dyDescent="0.25">
      <c r="A578" s="26" t="str">
        <f>CONCATENATE(LEFT(ConsumoConcreto[[#This Row],[RecebimentoID]],4),"CNSC",TEXT(ConsumoConcreto[[#This Row],[Ordem]],"0000"),UPPER(LEFT(ConsumoConcreto[[#This Row],[Destino]],3)))</f>
        <v>0184CNSC0910PAR</v>
      </c>
      <c r="B578" s="1">
        <v>910</v>
      </c>
      <c r="C578" s="2" t="s">
        <v>2616</v>
      </c>
      <c r="D578" s="2" t="s">
        <v>2030</v>
      </c>
      <c r="E578" s="18">
        <v>13</v>
      </c>
      <c r="F578" s="2" t="s">
        <v>25</v>
      </c>
      <c r="G578" s="36">
        <v>0.76458333333333339</v>
      </c>
      <c r="H578" s="2" t="s">
        <v>1965</v>
      </c>
      <c r="I5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78" s="22">
        <v>15</v>
      </c>
      <c r="K578" s="22">
        <v>15</v>
      </c>
      <c r="L578" s="37">
        <v>36892</v>
      </c>
      <c r="M578" s="2" t="s">
        <v>2082</v>
      </c>
      <c r="N578" s="2" t="s">
        <v>1966</v>
      </c>
      <c r="O578" s="2" t="s">
        <v>27</v>
      </c>
      <c r="P578" s="2" t="s">
        <v>26</v>
      </c>
    </row>
    <row r="579" spans="1:16" ht="20.100000000000001" customHeight="1" x14ac:dyDescent="0.25">
      <c r="A579" s="26" t="str">
        <f>CONCATENATE(LEFT(ConsumoConcreto[[#This Row],[RecebimentoID]],4),"CNSC",TEXT(ConsumoConcreto[[#This Row],[Ordem]],"0000"),UPPER(LEFT(ConsumoConcreto[[#This Row],[Destino]],3)))</f>
        <v>0184CNSC0908RAD</v>
      </c>
      <c r="B579" s="1">
        <v>908</v>
      </c>
      <c r="C579" s="2" t="s">
        <v>2617</v>
      </c>
      <c r="D579" s="2" t="s">
        <v>2030</v>
      </c>
      <c r="E579" s="18">
        <v>13</v>
      </c>
      <c r="F579" s="2" t="s">
        <v>1801</v>
      </c>
      <c r="G579" s="36"/>
      <c r="H579" s="2" t="s">
        <v>1968</v>
      </c>
      <c r="I5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79" s="22">
        <v>5.78</v>
      </c>
      <c r="K579" s="22">
        <v>5.4809999999999999</v>
      </c>
      <c r="L579" s="37">
        <v>36892</v>
      </c>
      <c r="M579" s="2"/>
      <c r="N579" s="2"/>
      <c r="O579" s="2" t="s">
        <v>27</v>
      </c>
      <c r="P579" s="2" t="s">
        <v>26</v>
      </c>
    </row>
    <row r="580" spans="1:16" ht="20.100000000000001" customHeight="1" x14ac:dyDescent="0.25">
      <c r="A580" s="26" t="str">
        <f>CONCATENATE(LEFT(ConsumoConcreto[[#This Row],[RecebimentoID]],4),"CNSC",TEXT(ConsumoConcreto[[#This Row],[Ordem]],"0000"),UPPER(LEFT(ConsumoConcreto[[#This Row],[Destino]],3)))</f>
        <v>0184CNSC0970PAR</v>
      </c>
      <c r="B580" s="1">
        <v>970</v>
      </c>
      <c r="C580" s="2" t="s">
        <v>2618</v>
      </c>
      <c r="D580" s="2" t="s">
        <v>2033</v>
      </c>
      <c r="E580" s="18">
        <v>13</v>
      </c>
      <c r="F580" s="2" t="s">
        <v>25</v>
      </c>
      <c r="G580" s="36">
        <v>0.77638888888888891</v>
      </c>
      <c r="H580" s="2" t="s">
        <v>1965</v>
      </c>
      <c r="I5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80" s="22">
        <v>14.5</v>
      </c>
      <c r="K580" s="22">
        <v>14.5</v>
      </c>
      <c r="L580" s="37">
        <v>36892</v>
      </c>
      <c r="M580" s="2"/>
      <c r="N580" s="2" t="s">
        <v>1966</v>
      </c>
      <c r="O580" s="2" t="s">
        <v>27</v>
      </c>
      <c r="P580" s="2" t="s">
        <v>26</v>
      </c>
    </row>
    <row r="581" spans="1:16" ht="20.100000000000001" customHeight="1" x14ac:dyDescent="0.25">
      <c r="A581" s="26" t="str">
        <f>CONCATENATE(LEFT(ConsumoConcreto[[#This Row],[RecebimentoID]],4),"CNSC",TEXT(ConsumoConcreto[[#This Row],[Ordem]],"0000"),UPPER(LEFT(ConsumoConcreto[[#This Row],[Destino]],3)))</f>
        <v>0184CNSC0938RAD</v>
      </c>
      <c r="B581" s="1">
        <v>938</v>
      </c>
      <c r="C581" s="2" t="s">
        <v>2619</v>
      </c>
      <c r="D581" s="2" t="s">
        <v>2033</v>
      </c>
      <c r="E581" s="18">
        <v>13</v>
      </c>
      <c r="F581" s="2" t="s">
        <v>1801</v>
      </c>
      <c r="G581" s="36">
        <v>0.66180555555555554</v>
      </c>
      <c r="H581" s="2" t="s">
        <v>1968</v>
      </c>
      <c r="I5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81" s="22">
        <v>5.5</v>
      </c>
      <c r="K581" s="22">
        <v>5.5</v>
      </c>
      <c r="L581" s="37">
        <v>36892</v>
      </c>
      <c r="M581" s="2"/>
      <c r="N581" s="2" t="s">
        <v>1963</v>
      </c>
      <c r="O581" s="2" t="s">
        <v>27</v>
      </c>
      <c r="P581" s="2" t="s">
        <v>26</v>
      </c>
    </row>
    <row r="582" spans="1:16" ht="20.100000000000001" customHeight="1" x14ac:dyDescent="0.25">
      <c r="A582" s="26" t="str">
        <f>CONCATENATE(LEFT(ConsumoConcreto[[#This Row],[RecebimentoID]],4),"CNSC",TEXT(ConsumoConcreto[[#This Row],[Ordem]],"0000"),UPPER(LEFT(ConsumoConcreto[[#This Row],[Destino]],3)))</f>
        <v>0184CNSC1063PAR</v>
      </c>
      <c r="B582" s="1">
        <v>1063</v>
      </c>
      <c r="C582" s="2" t="s">
        <v>2620</v>
      </c>
      <c r="D582" s="2" t="s">
        <v>2036</v>
      </c>
      <c r="E582" s="18">
        <v>13</v>
      </c>
      <c r="F582" s="2" t="s">
        <v>25</v>
      </c>
      <c r="G582" s="36">
        <v>0.95000000000000007</v>
      </c>
      <c r="H582" s="2" t="s">
        <v>1965</v>
      </c>
      <c r="I5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82" s="22">
        <v>14.5</v>
      </c>
      <c r="K582" s="22">
        <v>14.5</v>
      </c>
      <c r="L582" s="37">
        <v>36892</v>
      </c>
      <c r="M582" s="2"/>
      <c r="N582" s="2" t="s">
        <v>1966</v>
      </c>
      <c r="O582" s="2" t="s">
        <v>27</v>
      </c>
      <c r="P582" s="2" t="s">
        <v>26</v>
      </c>
    </row>
    <row r="583" spans="1:16" ht="20.100000000000001" customHeight="1" x14ac:dyDescent="0.25">
      <c r="A583" s="26" t="str">
        <f>CONCATENATE(LEFT(ConsumoConcreto[[#This Row],[RecebimentoID]],4),"CNSC",TEXT(ConsumoConcreto[[#This Row],[Ordem]],"0000"),UPPER(LEFT(ConsumoConcreto[[#This Row],[Destino]],3)))</f>
        <v>0184CNSC1041RAD</v>
      </c>
      <c r="B583" s="1">
        <v>1041</v>
      </c>
      <c r="C583" s="2" t="s">
        <v>2621</v>
      </c>
      <c r="D583" s="2" t="s">
        <v>2036</v>
      </c>
      <c r="E583" s="18">
        <v>13</v>
      </c>
      <c r="F583" s="2" t="s">
        <v>1801</v>
      </c>
      <c r="G583" s="36">
        <v>0.65972222222222221</v>
      </c>
      <c r="H583" s="2" t="s">
        <v>1968</v>
      </c>
      <c r="I5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83" s="22">
        <v>5.5</v>
      </c>
      <c r="K583" s="22">
        <v>5.5</v>
      </c>
      <c r="L583" s="37">
        <v>36892</v>
      </c>
      <c r="M583" s="2"/>
      <c r="N583" s="2" t="s">
        <v>1963</v>
      </c>
      <c r="O583" s="2" t="s">
        <v>27</v>
      </c>
      <c r="P583" s="2" t="s">
        <v>26</v>
      </c>
    </row>
    <row r="584" spans="1:16" ht="20.100000000000001" customHeight="1" x14ac:dyDescent="0.25">
      <c r="A584" s="26" t="str">
        <f>CONCATENATE(LEFT(ConsumoConcreto[[#This Row],[RecebimentoID]],4),"CNSC",TEXT(ConsumoConcreto[[#This Row],[Ordem]],"0000"),UPPER(LEFT(ConsumoConcreto[[#This Row],[Destino]],3)))</f>
        <v>0184CNSC0066PAR</v>
      </c>
      <c r="B584" s="1">
        <v>66</v>
      </c>
      <c r="C584" s="2" t="s">
        <v>2622</v>
      </c>
      <c r="D584" s="2" t="s">
        <v>1970</v>
      </c>
      <c r="E584" s="18">
        <v>14</v>
      </c>
      <c r="F584" s="2" t="s">
        <v>25</v>
      </c>
      <c r="G584" s="36"/>
      <c r="H584" s="2" t="s">
        <v>1965</v>
      </c>
      <c r="I5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84" s="22">
        <v>14</v>
      </c>
      <c r="K584" s="22">
        <v>14</v>
      </c>
      <c r="L584" s="37">
        <v>36892</v>
      </c>
      <c r="M584" s="2"/>
      <c r="N584" s="2" t="s">
        <v>1966</v>
      </c>
      <c r="O584" s="2" t="s">
        <v>27</v>
      </c>
      <c r="P584" s="2" t="s">
        <v>26</v>
      </c>
    </row>
    <row r="585" spans="1:16" ht="20.100000000000001" customHeight="1" x14ac:dyDescent="0.25">
      <c r="A585" s="26" t="str">
        <f>CONCATENATE(LEFT(ConsumoConcreto[[#This Row],[RecebimentoID]],4),"CNSC",TEXT(ConsumoConcreto[[#This Row],[Ordem]],"0000"),UPPER(LEFT(ConsumoConcreto[[#This Row],[Destino]],3)))</f>
        <v>0184CNSC0083PIL</v>
      </c>
      <c r="B585" s="1">
        <v>83</v>
      </c>
      <c r="C585" s="2" t="s">
        <v>2623</v>
      </c>
      <c r="D585" s="2" t="s">
        <v>1970</v>
      </c>
      <c r="E585" s="18">
        <v>14</v>
      </c>
      <c r="F585" s="2" t="s">
        <v>25</v>
      </c>
      <c r="G585" s="36"/>
      <c r="H585" s="2" t="s">
        <v>1962</v>
      </c>
      <c r="I5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85" s="22">
        <v>0.1</v>
      </c>
      <c r="K585" s="22">
        <v>0.1</v>
      </c>
      <c r="L585" s="37">
        <v>36892</v>
      </c>
      <c r="M585" s="2"/>
      <c r="N585" s="2" t="s">
        <v>1963</v>
      </c>
      <c r="O585" s="2" t="s">
        <v>27</v>
      </c>
      <c r="P585" s="2" t="s">
        <v>26</v>
      </c>
    </row>
    <row r="586" spans="1:16" ht="20.100000000000001" customHeight="1" x14ac:dyDescent="0.25">
      <c r="A586" s="26" t="str">
        <f>CONCATENATE(LEFT(ConsumoConcreto[[#This Row],[RecebimentoID]],4),"CNSC",TEXT(ConsumoConcreto[[#This Row],[Ordem]],"0000"),UPPER(LEFT(ConsumoConcreto[[#This Row],[Destino]],3)))</f>
        <v>0184CNSC0041RAD</v>
      </c>
      <c r="B586" s="1">
        <v>41</v>
      </c>
      <c r="C586" s="2" t="s">
        <v>2624</v>
      </c>
      <c r="D586" s="2" t="s">
        <v>1970</v>
      </c>
      <c r="E586" s="18">
        <v>14</v>
      </c>
      <c r="F586" s="2" t="s">
        <v>1801</v>
      </c>
      <c r="G586" s="36"/>
      <c r="H586" s="2" t="s">
        <v>1968</v>
      </c>
      <c r="I5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86" s="22">
        <v>5.5</v>
      </c>
      <c r="K586" s="22">
        <v>5.5</v>
      </c>
      <c r="L586" s="37">
        <v>36892</v>
      </c>
      <c r="M586" s="2"/>
      <c r="N586" s="2"/>
      <c r="O586" s="2" t="s">
        <v>27</v>
      </c>
      <c r="P586" s="2" t="s">
        <v>26</v>
      </c>
    </row>
    <row r="587" spans="1:16" ht="20.100000000000001" customHeight="1" x14ac:dyDescent="0.25">
      <c r="A587" s="26" t="str">
        <f>CONCATENATE(LEFT(ConsumoConcreto[[#This Row],[RecebimentoID]],4),"CNSC",TEXT(ConsumoConcreto[[#This Row],[Ordem]],"0000"),UPPER(LEFT(ConsumoConcreto[[#This Row],[Destino]],3)))</f>
        <v>0184CNSC0137PAR</v>
      </c>
      <c r="B587" s="1">
        <v>137</v>
      </c>
      <c r="C587" s="2" t="s">
        <v>2625</v>
      </c>
      <c r="D587" s="2" t="s">
        <v>1975</v>
      </c>
      <c r="E587" s="18">
        <v>14</v>
      </c>
      <c r="F587" s="2" t="s">
        <v>25</v>
      </c>
      <c r="G587" s="36"/>
      <c r="H587" s="2" t="s">
        <v>1965</v>
      </c>
      <c r="I5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87" s="22">
        <v>14.5</v>
      </c>
      <c r="K587" s="22">
        <v>14</v>
      </c>
      <c r="L587" s="37">
        <v>36892</v>
      </c>
      <c r="M587" s="2"/>
      <c r="N587" s="2" t="s">
        <v>1966</v>
      </c>
      <c r="O587" s="2" t="s">
        <v>27</v>
      </c>
      <c r="P587" s="2" t="s">
        <v>26</v>
      </c>
    </row>
    <row r="588" spans="1:16" ht="20.100000000000001" customHeight="1" x14ac:dyDescent="0.25">
      <c r="A588" s="26" t="str">
        <f>CONCATENATE(LEFT(ConsumoConcreto[[#This Row],[RecebimentoID]],4),"CNSC",TEXT(ConsumoConcreto[[#This Row],[Ordem]],"0000"),UPPER(LEFT(ConsumoConcreto[[#This Row],[Destino]],3)))</f>
        <v>0184CNSC0100RAD</v>
      </c>
      <c r="B588" s="1">
        <v>100</v>
      </c>
      <c r="C588" s="2" t="s">
        <v>2626</v>
      </c>
      <c r="D588" s="2" t="s">
        <v>1975</v>
      </c>
      <c r="E588" s="18">
        <v>14</v>
      </c>
      <c r="F588" s="2" t="s">
        <v>1801</v>
      </c>
      <c r="G588" s="36"/>
      <c r="H588" s="2" t="s">
        <v>1968</v>
      </c>
      <c r="I5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88" s="22">
        <v>5.5</v>
      </c>
      <c r="K588" s="22">
        <v>5.5</v>
      </c>
      <c r="L588" s="37">
        <v>36892</v>
      </c>
      <c r="M588" s="2"/>
      <c r="N588" s="2" t="s">
        <v>1966</v>
      </c>
      <c r="O588" s="2" t="s">
        <v>27</v>
      </c>
      <c r="P588" s="2" t="s">
        <v>26</v>
      </c>
    </row>
    <row r="589" spans="1:16" ht="20.100000000000001" customHeight="1" x14ac:dyDescent="0.25">
      <c r="A589" s="26" t="str">
        <f>CONCATENATE(LEFT(ConsumoConcreto[[#This Row],[RecebimentoID]],4),"CNSC",TEXT(ConsumoConcreto[[#This Row],[Ordem]],"0000"),UPPER(LEFT(ConsumoConcreto[[#This Row],[Destino]],3)))</f>
        <v>0184CNSC0161PIL</v>
      </c>
      <c r="B589" s="1">
        <v>161</v>
      </c>
      <c r="C589" s="2" t="s">
        <v>2627</v>
      </c>
      <c r="D589" s="2" t="s">
        <v>1975</v>
      </c>
      <c r="E589" s="18">
        <v>14</v>
      </c>
      <c r="F589" s="2" t="s">
        <v>1801</v>
      </c>
      <c r="G589" s="36"/>
      <c r="H589" s="2" t="s">
        <v>1962</v>
      </c>
      <c r="I5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89" s="22">
        <v>0.2</v>
      </c>
      <c r="K589" s="22">
        <v>0.1</v>
      </c>
      <c r="L589" s="37">
        <v>36892</v>
      </c>
      <c r="M589" s="2"/>
      <c r="N589" s="2" t="s">
        <v>1963</v>
      </c>
      <c r="O589" s="2" t="s">
        <v>27</v>
      </c>
      <c r="P589" s="2" t="s">
        <v>26</v>
      </c>
    </row>
    <row r="590" spans="1:16" ht="20.100000000000001" customHeight="1" x14ac:dyDescent="0.25">
      <c r="A590" s="26" t="str">
        <f>CONCATENATE(LEFT(ConsumoConcreto[[#This Row],[RecebimentoID]],4),"CNSC",TEXT(ConsumoConcreto[[#This Row],[Ordem]],"0000"),UPPER(LEFT(ConsumoConcreto[[#This Row],[Destino]],3)))</f>
        <v>0184CNSC0219PAR</v>
      </c>
      <c r="B590" s="1">
        <v>219</v>
      </c>
      <c r="C590" s="2" t="s">
        <v>2628</v>
      </c>
      <c r="D590" s="2" t="s">
        <v>1979</v>
      </c>
      <c r="E590" s="18">
        <v>14</v>
      </c>
      <c r="F590" s="2" t="s">
        <v>25</v>
      </c>
      <c r="G590" s="36">
        <v>0.90138888888888891</v>
      </c>
      <c r="H590" s="2" t="s">
        <v>1965</v>
      </c>
      <c r="I5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90" s="22">
        <v>15</v>
      </c>
      <c r="K590" s="22">
        <v>15</v>
      </c>
      <c r="L590" s="37">
        <v>36892</v>
      </c>
      <c r="M590" s="2"/>
      <c r="N590" s="2" t="s">
        <v>1966</v>
      </c>
      <c r="O590" s="2" t="s">
        <v>27</v>
      </c>
      <c r="P590" s="2" t="s">
        <v>26</v>
      </c>
    </row>
    <row r="591" spans="1:16" ht="20.100000000000001" customHeight="1" x14ac:dyDescent="0.25">
      <c r="A591" s="26" t="str">
        <f>CONCATENATE(LEFT(ConsumoConcreto[[#This Row],[RecebimentoID]],4),"CNSC",TEXT(ConsumoConcreto[[#This Row],[Ordem]],"0000"),UPPER(LEFT(ConsumoConcreto[[#This Row],[Destino]],3)))</f>
        <v>0184CNSC0188RAD</v>
      </c>
      <c r="B591" s="1">
        <v>188</v>
      </c>
      <c r="C591" s="2" t="s">
        <v>2629</v>
      </c>
      <c r="D591" s="2" t="s">
        <v>1979</v>
      </c>
      <c r="E591" s="18">
        <v>14</v>
      </c>
      <c r="F591" s="2" t="s">
        <v>1801</v>
      </c>
      <c r="G591" s="36"/>
      <c r="H591" s="2" t="s">
        <v>1968</v>
      </c>
      <c r="I5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91" s="22">
        <v>6.5</v>
      </c>
      <c r="K591" s="22">
        <v>5.5</v>
      </c>
      <c r="L591" s="37">
        <v>36892</v>
      </c>
      <c r="M591" s="2" t="s">
        <v>2252</v>
      </c>
      <c r="N591" s="2" t="s">
        <v>1966</v>
      </c>
      <c r="O591" s="2" t="s">
        <v>27</v>
      </c>
      <c r="P591" s="2" t="s">
        <v>26</v>
      </c>
    </row>
    <row r="592" spans="1:16" ht="20.100000000000001" customHeight="1" x14ac:dyDescent="0.25">
      <c r="A592" s="26" t="str">
        <f>CONCATENATE(LEFT(ConsumoConcreto[[#This Row],[RecebimentoID]],4),"CNSC",TEXT(ConsumoConcreto[[#This Row],[Ordem]],"0000"),UPPER(LEFT(ConsumoConcreto[[#This Row],[Destino]],3)))</f>
        <v>0184CNSC0286PAR</v>
      </c>
      <c r="B592" s="1">
        <v>286</v>
      </c>
      <c r="C592" s="2" t="s">
        <v>2630</v>
      </c>
      <c r="D592" s="2" t="s">
        <v>1985</v>
      </c>
      <c r="E592" s="18">
        <v>14</v>
      </c>
      <c r="F592" s="2" t="s">
        <v>25</v>
      </c>
      <c r="G592" s="36">
        <v>0.84513888888888899</v>
      </c>
      <c r="H592" s="2" t="s">
        <v>1965</v>
      </c>
      <c r="I5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92" s="22">
        <v>18.5</v>
      </c>
      <c r="K592" s="22">
        <v>18.5</v>
      </c>
      <c r="L592" s="37">
        <v>36892</v>
      </c>
      <c r="M592" s="2"/>
      <c r="N592" s="2" t="s">
        <v>2017</v>
      </c>
      <c r="O592" s="2" t="s">
        <v>27</v>
      </c>
      <c r="P592" s="2" t="s">
        <v>26</v>
      </c>
    </row>
    <row r="593" spans="1:16" ht="20.100000000000001" customHeight="1" x14ac:dyDescent="0.25">
      <c r="A593" s="26" t="str">
        <f>CONCATENATE(LEFT(ConsumoConcreto[[#This Row],[RecebimentoID]],4),"CNSC",TEXT(ConsumoConcreto[[#This Row],[Ordem]],"0000"),UPPER(LEFT(ConsumoConcreto[[#This Row],[Destino]],3)))</f>
        <v>0184CNSC0303PIL</v>
      </c>
      <c r="B593" s="1">
        <v>303</v>
      </c>
      <c r="C593" s="2" t="s">
        <v>2631</v>
      </c>
      <c r="D593" s="2" t="s">
        <v>1985</v>
      </c>
      <c r="E593" s="18">
        <v>14</v>
      </c>
      <c r="F593" s="2" t="s">
        <v>25</v>
      </c>
      <c r="G593" s="36"/>
      <c r="H593" s="2" t="s">
        <v>1962</v>
      </c>
      <c r="I5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93" s="22">
        <v>0.1</v>
      </c>
      <c r="K593" s="22">
        <v>0.1</v>
      </c>
      <c r="L593" s="37">
        <v>36892</v>
      </c>
      <c r="M593" s="2"/>
      <c r="N593" s="2" t="s">
        <v>1963</v>
      </c>
      <c r="O593" s="2" t="s">
        <v>27</v>
      </c>
      <c r="P593" s="2" t="s">
        <v>26</v>
      </c>
    </row>
    <row r="594" spans="1:16" ht="20.100000000000001" customHeight="1" x14ac:dyDescent="0.25">
      <c r="A594" s="26" t="str">
        <f>CONCATENATE(LEFT(ConsumoConcreto[[#This Row],[RecebimentoID]],4),"CNSC",TEXT(ConsumoConcreto[[#This Row],[Ordem]],"0000"),UPPER(LEFT(ConsumoConcreto[[#This Row],[Destino]],3)))</f>
        <v>0184CNSC0260RAD</v>
      </c>
      <c r="B594" s="1">
        <v>260</v>
      </c>
      <c r="C594" s="2" t="s">
        <v>2632</v>
      </c>
      <c r="D594" s="2" t="s">
        <v>1985</v>
      </c>
      <c r="E594" s="18">
        <v>14</v>
      </c>
      <c r="F594" s="2" t="s">
        <v>1801</v>
      </c>
      <c r="G594" s="36">
        <v>0.60625000000000007</v>
      </c>
      <c r="H594" s="2" t="s">
        <v>1968</v>
      </c>
      <c r="I5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94" s="22">
        <v>7</v>
      </c>
      <c r="K594" s="22">
        <v>7</v>
      </c>
      <c r="L594" s="37">
        <v>36892</v>
      </c>
      <c r="M594" s="2"/>
      <c r="N594" s="2" t="s">
        <v>1963</v>
      </c>
      <c r="O594" s="2" t="s">
        <v>27</v>
      </c>
      <c r="P594" s="2" t="s">
        <v>26</v>
      </c>
    </row>
    <row r="595" spans="1:16" ht="20.100000000000001" customHeight="1" x14ac:dyDescent="0.25">
      <c r="A595" s="26" t="str">
        <f>CONCATENATE(LEFT(ConsumoConcreto[[#This Row],[RecebimentoID]],4),"CNSC",TEXT(ConsumoConcreto[[#This Row],[Ordem]],"0000"),UPPER(LEFT(ConsumoConcreto[[#This Row],[Destino]],3)))</f>
        <v>0184CNSC0319PAR</v>
      </c>
      <c r="B595" s="1">
        <v>319</v>
      </c>
      <c r="C595" s="2" t="s">
        <v>2633</v>
      </c>
      <c r="D595" s="2" t="s">
        <v>1989</v>
      </c>
      <c r="E595" s="18">
        <v>14</v>
      </c>
      <c r="F595" s="2" t="s">
        <v>25</v>
      </c>
      <c r="G595" s="36">
        <v>0.8208333333333333</v>
      </c>
      <c r="H595" s="2" t="s">
        <v>1965</v>
      </c>
      <c r="I5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595" s="22">
        <v>14.5</v>
      </c>
      <c r="K595" s="22">
        <v>14.5</v>
      </c>
      <c r="L595" s="37">
        <v>36892</v>
      </c>
      <c r="M595" s="2"/>
      <c r="N595" s="2" t="s">
        <v>1966</v>
      </c>
      <c r="O595" s="2" t="s">
        <v>27</v>
      </c>
      <c r="P595" s="2" t="s">
        <v>26</v>
      </c>
    </row>
    <row r="596" spans="1:16" ht="20.100000000000001" customHeight="1" x14ac:dyDescent="0.25">
      <c r="A596" s="26" t="str">
        <f>CONCATENATE(LEFT(ConsumoConcreto[[#This Row],[RecebimentoID]],4),"CNSC",TEXT(ConsumoConcreto[[#This Row],[Ordem]],"0000"),UPPER(LEFT(ConsumoConcreto[[#This Row],[Destino]],3)))</f>
        <v>0184CNSC0311RAD</v>
      </c>
      <c r="B596" s="1">
        <v>311</v>
      </c>
      <c r="C596" s="2" t="s">
        <v>2634</v>
      </c>
      <c r="D596" s="2" t="s">
        <v>1989</v>
      </c>
      <c r="E596" s="18">
        <v>14</v>
      </c>
      <c r="F596" s="2" t="s">
        <v>1801</v>
      </c>
      <c r="G596" s="36">
        <v>0.66666666666666663</v>
      </c>
      <c r="H596" s="2" t="s">
        <v>1968</v>
      </c>
      <c r="I5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596" s="22">
        <v>5.5</v>
      </c>
      <c r="K596" s="22">
        <v>5.5</v>
      </c>
      <c r="L596" s="37">
        <v>36892</v>
      </c>
      <c r="M596" s="2"/>
      <c r="N596" s="2" t="s">
        <v>1963</v>
      </c>
      <c r="O596" s="2" t="s">
        <v>27</v>
      </c>
      <c r="P596" s="2" t="s">
        <v>26</v>
      </c>
    </row>
    <row r="597" spans="1:16" ht="20.100000000000001" customHeight="1" x14ac:dyDescent="0.25">
      <c r="A597" s="26" t="str">
        <f>CONCATENATE(LEFT(ConsumoConcreto[[#This Row],[RecebimentoID]],4),"CNSC",TEXT(ConsumoConcreto[[#This Row],[Ordem]],"0000"),UPPER(LEFT(ConsumoConcreto[[#This Row],[Destino]],3)))</f>
        <v>0184CNSC0358PAR</v>
      </c>
      <c r="B597" s="1">
        <v>358</v>
      </c>
      <c r="C597" s="2" t="s">
        <v>2635</v>
      </c>
      <c r="D597" s="2" t="s">
        <v>1992</v>
      </c>
      <c r="E597" s="18">
        <v>14</v>
      </c>
      <c r="F597" s="2" t="s">
        <v>25</v>
      </c>
      <c r="G597" s="36">
        <v>0.74652777777777779</v>
      </c>
      <c r="H597" s="2" t="s">
        <v>1965</v>
      </c>
      <c r="I5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597" s="22">
        <v>18</v>
      </c>
      <c r="K597" s="22">
        <v>18</v>
      </c>
      <c r="L597" s="37">
        <v>36892</v>
      </c>
      <c r="M597" s="2"/>
      <c r="N597" s="2" t="s">
        <v>1966</v>
      </c>
      <c r="O597" s="2" t="s">
        <v>27</v>
      </c>
      <c r="P597" s="2" t="s">
        <v>26</v>
      </c>
    </row>
    <row r="598" spans="1:16" ht="20.100000000000001" customHeight="1" x14ac:dyDescent="0.25">
      <c r="A598" s="26" t="str">
        <f>CONCATENATE(LEFT(ConsumoConcreto[[#This Row],[RecebimentoID]],4),"CNSC",TEXT(ConsumoConcreto[[#This Row],[Ordem]],"0000"),UPPER(LEFT(ConsumoConcreto[[#This Row],[Destino]],3)))</f>
        <v>0184CNSC0345RAD</v>
      </c>
      <c r="B598" s="1">
        <v>345</v>
      </c>
      <c r="C598" s="2" t="s">
        <v>2636</v>
      </c>
      <c r="D598" s="2" t="s">
        <v>1992</v>
      </c>
      <c r="E598" s="18">
        <v>14</v>
      </c>
      <c r="F598" s="2" t="s">
        <v>1801</v>
      </c>
      <c r="G598" s="36">
        <v>0.53125</v>
      </c>
      <c r="H598" s="2" t="s">
        <v>1968</v>
      </c>
      <c r="I5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598" s="22">
        <v>7</v>
      </c>
      <c r="K598" s="22">
        <v>7</v>
      </c>
      <c r="L598" s="37">
        <v>36892</v>
      </c>
      <c r="M598" s="2"/>
      <c r="N598" s="2" t="s">
        <v>1963</v>
      </c>
      <c r="O598" s="2" t="s">
        <v>27</v>
      </c>
      <c r="P598" s="2" t="s">
        <v>26</v>
      </c>
    </row>
    <row r="599" spans="1:16" ht="20.100000000000001" customHeight="1" x14ac:dyDescent="0.25">
      <c r="A599" s="26" t="str">
        <f>CONCATENATE(LEFT(ConsumoConcreto[[#This Row],[RecebimentoID]],4),"CNSC",TEXT(ConsumoConcreto[[#This Row],[Ordem]],"0000"),UPPER(LEFT(ConsumoConcreto[[#This Row],[Destino]],3)))</f>
        <v>0184CNSC0408PIL</v>
      </c>
      <c r="B599" s="1">
        <v>408</v>
      </c>
      <c r="C599" s="2" t="s">
        <v>2637</v>
      </c>
      <c r="D599" s="2" t="s">
        <v>1995</v>
      </c>
      <c r="E599" s="18">
        <v>14</v>
      </c>
      <c r="F599" s="2" t="s">
        <v>25</v>
      </c>
      <c r="G599" s="36"/>
      <c r="H599" s="2" t="s">
        <v>1962</v>
      </c>
      <c r="I5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599" s="22">
        <v>0.1</v>
      </c>
      <c r="K599" s="22">
        <v>0.1</v>
      </c>
      <c r="L599" s="37">
        <v>36892</v>
      </c>
      <c r="M599" s="2"/>
      <c r="N599" s="2" t="s">
        <v>1963</v>
      </c>
      <c r="O599" s="2" t="s">
        <v>27</v>
      </c>
      <c r="P599" s="2" t="s">
        <v>26</v>
      </c>
    </row>
    <row r="600" spans="1:16" ht="20.100000000000001" customHeight="1" x14ac:dyDescent="0.25">
      <c r="A600" s="26" t="str">
        <f>CONCATENATE(LEFT(ConsumoConcreto[[#This Row],[RecebimentoID]],4),"CNSC",TEXT(ConsumoConcreto[[#This Row],[Ordem]],"0000"),UPPER(LEFT(ConsumoConcreto[[#This Row],[Destino]],3)))</f>
        <v>0184CNSC0393PAR</v>
      </c>
      <c r="B600" s="1">
        <v>393</v>
      </c>
      <c r="C600" s="2" t="s">
        <v>2638</v>
      </c>
      <c r="D600" s="2" t="s">
        <v>1995</v>
      </c>
      <c r="E600" s="18">
        <v>14</v>
      </c>
      <c r="F600" s="2" t="s">
        <v>25</v>
      </c>
      <c r="G600" s="36">
        <v>0.9277777777777777</v>
      </c>
      <c r="H600" s="2" t="s">
        <v>1965</v>
      </c>
      <c r="I6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00" s="22">
        <v>18.5</v>
      </c>
      <c r="K600" s="22">
        <v>18.5</v>
      </c>
      <c r="L600" s="37">
        <v>36892</v>
      </c>
      <c r="M600" s="2"/>
      <c r="N600" s="2" t="s">
        <v>1966</v>
      </c>
      <c r="O600" s="2" t="s">
        <v>27</v>
      </c>
      <c r="P600" s="2" t="s">
        <v>26</v>
      </c>
    </row>
    <row r="601" spans="1:16" ht="20.100000000000001" customHeight="1" x14ac:dyDescent="0.25">
      <c r="A601" s="26" t="str">
        <f>CONCATENATE(LEFT(ConsumoConcreto[[#This Row],[RecebimentoID]],4),"CNSC",TEXT(ConsumoConcreto[[#This Row],[Ordem]],"0000"),UPPER(LEFT(ConsumoConcreto[[#This Row],[Destino]],3)))</f>
        <v>0184CNSC0369RAD</v>
      </c>
      <c r="B601" s="1">
        <v>369</v>
      </c>
      <c r="C601" s="2" t="s">
        <v>2639</v>
      </c>
      <c r="D601" s="2" t="s">
        <v>1995</v>
      </c>
      <c r="E601" s="18">
        <v>14</v>
      </c>
      <c r="F601" s="2" t="s">
        <v>1801</v>
      </c>
      <c r="G601" s="36">
        <v>0.64583333333333337</v>
      </c>
      <c r="H601" s="2" t="s">
        <v>1968</v>
      </c>
      <c r="I6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01" s="22">
        <v>7</v>
      </c>
      <c r="K601" s="22">
        <v>7</v>
      </c>
      <c r="L601" s="37">
        <v>36892</v>
      </c>
      <c r="M601" s="2"/>
      <c r="N601" s="2" t="s">
        <v>1963</v>
      </c>
      <c r="O601" s="2" t="s">
        <v>27</v>
      </c>
      <c r="P601" s="2" t="s">
        <v>26</v>
      </c>
    </row>
    <row r="602" spans="1:16" ht="20.100000000000001" customHeight="1" x14ac:dyDescent="0.25">
      <c r="A602" s="26" t="str">
        <f>CONCATENATE(LEFT(ConsumoConcreto[[#This Row],[RecebimentoID]],4),"CNSC",TEXT(ConsumoConcreto[[#This Row],[Ordem]],"0000"),UPPER(LEFT(ConsumoConcreto[[#This Row],[Destino]],3)))</f>
        <v>0184CNSC0427PAR</v>
      </c>
      <c r="B602" s="1">
        <v>427</v>
      </c>
      <c r="C602" s="2" t="s">
        <v>2640</v>
      </c>
      <c r="D602" s="2" t="s">
        <v>1999</v>
      </c>
      <c r="E602" s="18">
        <v>14</v>
      </c>
      <c r="F602" s="2" t="s">
        <v>25</v>
      </c>
      <c r="G602" s="36">
        <v>0.82847222222222217</v>
      </c>
      <c r="H602" s="2" t="s">
        <v>1965</v>
      </c>
      <c r="I6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02" s="22">
        <v>14.5</v>
      </c>
      <c r="K602" s="22">
        <v>14.5</v>
      </c>
      <c r="L602" s="37">
        <v>36892</v>
      </c>
      <c r="M602" s="2"/>
      <c r="N602" s="2" t="s">
        <v>1966</v>
      </c>
      <c r="O602" s="2" t="s">
        <v>27</v>
      </c>
      <c r="P602" s="2" t="s">
        <v>26</v>
      </c>
    </row>
    <row r="603" spans="1:16" ht="20.100000000000001" customHeight="1" x14ac:dyDescent="0.25">
      <c r="A603" s="26" t="str">
        <f>CONCATENATE(LEFT(ConsumoConcreto[[#This Row],[RecebimentoID]],4),"CNSC",TEXT(ConsumoConcreto[[#This Row],[Ordem]],"0000"),UPPER(LEFT(ConsumoConcreto[[#This Row],[Destino]],3)))</f>
        <v>0184CNSC0425RAD</v>
      </c>
      <c r="B603" s="1">
        <v>425</v>
      </c>
      <c r="C603" s="2" t="s">
        <v>2641</v>
      </c>
      <c r="D603" s="2" t="s">
        <v>1999</v>
      </c>
      <c r="E603" s="18">
        <v>14</v>
      </c>
      <c r="F603" s="2" t="s">
        <v>1801</v>
      </c>
      <c r="G603" s="36">
        <v>0.49652777777777773</v>
      </c>
      <c r="H603" s="2" t="s">
        <v>1968</v>
      </c>
      <c r="I6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03" s="22">
        <v>5.5</v>
      </c>
      <c r="K603" s="22">
        <v>5</v>
      </c>
      <c r="L603" s="37">
        <v>36892</v>
      </c>
      <c r="M603" s="2" t="s">
        <v>2642</v>
      </c>
      <c r="N603" s="2" t="s">
        <v>1963</v>
      </c>
      <c r="O603" s="2" t="s">
        <v>27</v>
      </c>
      <c r="P603" s="2" t="s">
        <v>26</v>
      </c>
    </row>
    <row r="604" spans="1:16" ht="20.100000000000001" customHeight="1" x14ac:dyDescent="0.25">
      <c r="A604" s="26" t="str">
        <f>CONCATENATE(LEFT(ConsumoConcreto[[#This Row],[RecebimentoID]],4),"CNSC",TEXT(ConsumoConcreto[[#This Row],[Ordem]],"0000"),UPPER(LEFT(ConsumoConcreto[[#This Row],[Destino]],3)))</f>
        <v>0184CNSC0441PAR</v>
      </c>
      <c r="B604" s="1">
        <v>441</v>
      </c>
      <c r="C604" s="2" t="s">
        <v>2643</v>
      </c>
      <c r="D604" s="2" t="s">
        <v>2002</v>
      </c>
      <c r="E604" s="18">
        <v>14</v>
      </c>
      <c r="F604" s="2" t="s">
        <v>25</v>
      </c>
      <c r="G604" s="36">
        <v>0.76597222222222217</v>
      </c>
      <c r="H604" s="2" t="s">
        <v>1965</v>
      </c>
      <c r="I6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04" s="22">
        <v>18</v>
      </c>
      <c r="K604" s="22">
        <v>18</v>
      </c>
      <c r="L604" s="37">
        <v>36892</v>
      </c>
      <c r="M604" s="2"/>
      <c r="N604" s="2" t="s">
        <v>1966</v>
      </c>
      <c r="O604" s="2" t="s">
        <v>27</v>
      </c>
      <c r="P604" s="2" t="s">
        <v>26</v>
      </c>
    </row>
    <row r="605" spans="1:16" ht="20.100000000000001" customHeight="1" x14ac:dyDescent="0.25">
      <c r="A605" s="26" t="str">
        <f>CONCATENATE(LEFT(ConsumoConcreto[[#This Row],[RecebimentoID]],4),"CNSC",TEXT(ConsumoConcreto[[#This Row],[Ordem]],"0000"),UPPER(LEFT(ConsumoConcreto[[#This Row],[Destino]],3)))</f>
        <v>0184CNSC0445RAD</v>
      </c>
      <c r="B605" s="1">
        <v>445</v>
      </c>
      <c r="C605" s="2" t="s">
        <v>2644</v>
      </c>
      <c r="D605" s="2" t="s">
        <v>2002</v>
      </c>
      <c r="E605" s="18">
        <v>14</v>
      </c>
      <c r="F605" s="2" t="s">
        <v>1801</v>
      </c>
      <c r="G605" s="36">
        <v>0.4826388888888889</v>
      </c>
      <c r="H605" s="2" t="s">
        <v>1968</v>
      </c>
      <c r="I6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05" s="22">
        <v>7</v>
      </c>
      <c r="K605" s="22">
        <v>7</v>
      </c>
      <c r="L605" s="37">
        <v>36892</v>
      </c>
      <c r="M605" s="2"/>
      <c r="N605" s="2" t="s">
        <v>1963</v>
      </c>
      <c r="O605" s="2" t="s">
        <v>27</v>
      </c>
      <c r="P605" s="2" t="s">
        <v>26</v>
      </c>
    </row>
    <row r="606" spans="1:16" ht="20.100000000000001" customHeight="1" x14ac:dyDescent="0.25">
      <c r="A606" s="26" t="str">
        <f>CONCATENATE(LEFT(ConsumoConcreto[[#This Row],[RecebimentoID]],4),"CNSC",TEXT(ConsumoConcreto[[#This Row],[Ordem]],"0000"),UPPER(LEFT(ConsumoConcreto[[#This Row],[Destino]],3)))</f>
        <v>0184CNSC0506PAR</v>
      </c>
      <c r="B606" s="1">
        <v>506</v>
      </c>
      <c r="C606" s="2" t="s">
        <v>2645</v>
      </c>
      <c r="D606" s="2" t="s">
        <v>2005</v>
      </c>
      <c r="E606" s="18">
        <v>14</v>
      </c>
      <c r="F606" s="2" t="s">
        <v>25</v>
      </c>
      <c r="G606" s="36">
        <v>0.6777777777777777</v>
      </c>
      <c r="H606" s="2" t="s">
        <v>1965</v>
      </c>
      <c r="I6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06" s="22">
        <v>14.5</v>
      </c>
      <c r="K606" s="22">
        <v>14.5</v>
      </c>
      <c r="L606" s="37">
        <v>36892</v>
      </c>
      <c r="M606" s="2"/>
      <c r="N606" s="2" t="s">
        <v>1966</v>
      </c>
      <c r="O606" s="2" t="s">
        <v>27</v>
      </c>
      <c r="P606" s="2" t="s">
        <v>26</v>
      </c>
    </row>
    <row r="607" spans="1:16" ht="20.100000000000001" customHeight="1" x14ac:dyDescent="0.25">
      <c r="A607" s="26" t="str">
        <f>CONCATENATE(LEFT(ConsumoConcreto[[#This Row],[RecebimentoID]],4),"CNSC",TEXT(ConsumoConcreto[[#This Row],[Ordem]],"0000"),UPPER(LEFT(ConsumoConcreto[[#This Row],[Destino]],3)))</f>
        <v>0184CNSC0475RAD</v>
      </c>
      <c r="B607" s="1">
        <v>475</v>
      </c>
      <c r="C607" s="2" t="s">
        <v>2646</v>
      </c>
      <c r="D607" s="2" t="s">
        <v>2005</v>
      </c>
      <c r="E607" s="18">
        <v>14</v>
      </c>
      <c r="F607" s="2" t="s">
        <v>1801</v>
      </c>
      <c r="G607" s="36">
        <v>0.70138888888888884</v>
      </c>
      <c r="H607" s="2" t="s">
        <v>1968</v>
      </c>
      <c r="I6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07" s="22">
        <v>5.5</v>
      </c>
      <c r="K607" s="22">
        <v>5.5</v>
      </c>
      <c r="L607" s="37">
        <v>36892</v>
      </c>
      <c r="M607" s="2"/>
      <c r="N607" s="2" t="s">
        <v>1963</v>
      </c>
      <c r="O607" s="2" t="s">
        <v>27</v>
      </c>
      <c r="P607" s="2" t="s">
        <v>26</v>
      </c>
    </row>
    <row r="608" spans="1:16" ht="20.100000000000001" customHeight="1" x14ac:dyDescent="0.25">
      <c r="A608" s="26" t="str">
        <f>CONCATENATE(LEFT(ConsumoConcreto[[#This Row],[RecebimentoID]],4),"CNSC",TEXT(ConsumoConcreto[[#This Row],[Ordem]],"0000"),UPPER(LEFT(ConsumoConcreto[[#This Row],[Destino]],3)))</f>
        <v>0184CNSC0584PAR</v>
      </c>
      <c r="B608" s="1">
        <v>584</v>
      </c>
      <c r="C608" s="2" t="s">
        <v>2647</v>
      </c>
      <c r="D608" s="2" t="s">
        <v>2007</v>
      </c>
      <c r="E608" s="18">
        <v>14</v>
      </c>
      <c r="F608" s="2" t="s">
        <v>25</v>
      </c>
      <c r="G608" s="36">
        <v>0.60625000000000007</v>
      </c>
      <c r="H608" s="2" t="s">
        <v>1965</v>
      </c>
      <c r="I6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08" s="22">
        <v>14.5</v>
      </c>
      <c r="K608" s="22">
        <v>14.5</v>
      </c>
      <c r="L608" s="37">
        <v>36892</v>
      </c>
      <c r="M608" s="2"/>
      <c r="N608" s="2" t="s">
        <v>1966</v>
      </c>
      <c r="O608" s="2" t="s">
        <v>27</v>
      </c>
      <c r="P608" s="2" t="s">
        <v>26</v>
      </c>
    </row>
    <row r="609" spans="1:16" ht="20.100000000000001" customHeight="1" x14ac:dyDescent="0.25">
      <c r="A609" s="26" t="str">
        <f>CONCATENATE(LEFT(ConsumoConcreto[[#This Row],[RecebimentoID]],4),"CNSC",TEXT(ConsumoConcreto[[#This Row],[Ordem]],"0000"),UPPER(LEFT(ConsumoConcreto[[#This Row],[Destino]],3)))</f>
        <v>0184CNSC0562RAD</v>
      </c>
      <c r="B609" s="1">
        <v>562</v>
      </c>
      <c r="C609" s="2" t="s">
        <v>2648</v>
      </c>
      <c r="D609" s="2" t="s">
        <v>2007</v>
      </c>
      <c r="E609" s="18">
        <v>14</v>
      </c>
      <c r="F609" s="2" t="s">
        <v>1801</v>
      </c>
      <c r="G609" s="36"/>
      <c r="H609" s="2" t="s">
        <v>1968</v>
      </c>
      <c r="I6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09" s="22">
        <v>5.5</v>
      </c>
      <c r="K609" s="22">
        <v>5.5</v>
      </c>
      <c r="L609" s="37">
        <v>36892</v>
      </c>
      <c r="M609" s="2"/>
      <c r="N609" s="2" t="s">
        <v>1963</v>
      </c>
      <c r="O609" s="2" t="s">
        <v>27</v>
      </c>
      <c r="P609" s="2" t="s">
        <v>26</v>
      </c>
    </row>
    <row r="610" spans="1:16" ht="20.100000000000001" customHeight="1" x14ac:dyDescent="0.25">
      <c r="A610" s="26" t="str">
        <f>CONCATENATE(LEFT(ConsumoConcreto[[#This Row],[RecebimentoID]],4),"CNSC",TEXT(ConsumoConcreto[[#This Row],[Ordem]],"0000"),UPPER(LEFT(ConsumoConcreto[[#This Row],[Destino]],3)))</f>
        <v>0184CNSC0651PAR</v>
      </c>
      <c r="B610" s="1">
        <v>651</v>
      </c>
      <c r="C610" s="2" t="s">
        <v>2649</v>
      </c>
      <c r="D610" s="2" t="s">
        <v>2010</v>
      </c>
      <c r="E610" s="18">
        <v>14</v>
      </c>
      <c r="F610" s="2" t="s">
        <v>25</v>
      </c>
      <c r="G610" s="36">
        <v>0.78333333333333333</v>
      </c>
      <c r="H610" s="2" t="s">
        <v>1965</v>
      </c>
      <c r="I6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10" s="22">
        <v>14.5</v>
      </c>
      <c r="K610" s="22">
        <v>14.5</v>
      </c>
      <c r="L610" s="37">
        <v>36892</v>
      </c>
      <c r="M610" s="2"/>
      <c r="N610" s="2" t="s">
        <v>1966</v>
      </c>
      <c r="O610" s="2" t="s">
        <v>27</v>
      </c>
      <c r="P610" s="2" t="s">
        <v>26</v>
      </c>
    </row>
    <row r="611" spans="1:16" ht="20.100000000000001" customHeight="1" x14ac:dyDescent="0.25">
      <c r="A611" s="26" t="str">
        <f>CONCATENATE(LEFT(ConsumoConcreto[[#This Row],[RecebimentoID]],4),"CNSC",TEXT(ConsumoConcreto[[#This Row],[Ordem]],"0000"),UPPER(LEFT(ConsumoConcreto[[#This Row],[Destino]],3)))</f>
        <v>0184CNSC0609RAD</v>
      </c>
      <c r="B611" s="1">
        <v>609</v>
      </c>
      <c r="C611" s="2" t="s">
        <v>2650</v>
      </c>
      <c r="D611" s="2" t="s">
        <v>2010</v>
      </c>
      <c r="E611" s="18">
        <v>14</v>
      </c>
      <c r="F611" s="2" t="s">
        <v>1801</v>
      </c>
      <c r="G611" s="36">
        <v>0.47916666666666669</v>
      </c>
      <c r="H611" s="2" t="s">
        <v>1968</v>
      </c>
      <c r="I6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11" s="22">
        <v>5.5</v>
      </c>
      <c r="K611" s="22">
        <v>5.5</v>
      </c>
      <c r="L611" s="37">
        <v>36892</v>
      </c>
      <c r="M611" s="2"/>
      <c r="N611" s="2" t="s">
        <v>1966</v>
      </c>
      <c r="O611" s="2" t="s">
        <v>27</v>
      </c>
      <c r="P611" s="2" t="s">
        <v>26</v>
      </c>
    </row>
    <row r="612" spans="1:16" ht="20.100000000000001" customHeight="1" x14ac:dyDescent="0.25">
      <c r="A612" s="26" t="str">
        <f>CONCATENATE(LEFT(ConsumoConcreto[[#This Row],[RecebimentoID]],4),"CNSC",TEXT(ConsumoConcreto[[#This Row],[Ordem]],"0000"),UPPER(LEFT(ConsumoConcreto[[#This Row],[Destino]],3)))</f>
        <v>0184CNSC0723PAR</v>
      </c>
      <c r="B612" s="1">
        <v>723</v>
      </c>
      <c r="C612" s="2" t="s">
        <v>2651</v>
      </c>
      <c r="D612" s="2" t="s">
        <v>2013</v>
      </c>
      <c r="E612" s="18">
        <v>14</v>
      </c>
      <c r="F612" s="2" t="s">
        <v>25</v>
      </c>
      <c r="G612" s="36">
        <v>0.72569444444444453</v>
      </c>
      <c r="H612" s="2" t="s">
        <v>1965</v>
      </c>
      <c r="I6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12" s="22">
        <v>15</v>
      </c>
      <c r="K612" s="22">
        <v>15</v>
      </c>
      <c r="L612" s="37">
        <v>36892</v>
      </c>
      <c r="M612" s="2" t="s">
        <v>2082</v>
      </c>
      <c r="N612" s="2" t="s">
        <v>1966</v>
      </c>
      <c r="O612" s="2" t="s">
        <v>27</v>
      </c>
      <c r="P612" s="2" t="s">
        <v>26</v>
      </c>
    </row>
    <row r="613" spans="1:16" ht="20.100000000000001" customHeight="1" x14ac:dyDescent="0.25">
      <c r="A613" s="26" t="str">
        <f>CONCATENATE(LEFT(ConsumoConcreto[[#This Row],[RecebimentoID]],4),"CNSC",TEXT(ConsumoConcreto[[#This Row],[Ordem]],"0000"),UPPER(LEFT(ConsumoConcreto[[#This Row],[Destino]],3)))</f>
        <v>0184CNSC0706RAD</v>
      </c>
      <c r="B613" s="1">
        <v>706</v>
      </c>
      <c r="C613" s="2" t="s">
        <v>2652</v>
      </c>
      <c r="D613" s="2" t="s">
        <v>2013</v>
      </c>
      <c r="E613" s="18">
        <v>14</v>
      </c>
      <c r="F613" s="2" t="s">
        <v>1801</v>
      </c>
      <c r="G613" s="36">
        <v>0.69166666666666676</v>
      </c>
      <c r="H613" s="2" t="s">
        <v>1968</v>
      </c>
      <c r="I6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13" s="22">
        <v>5.5</v>
      </c>
      <c r="K613" s="22">
        <v>5.5</v>
      </c>
      <c r="L613" s="37">
        <v>36892</v>
      </c>
      <c r="M613" s="2"/>
      <c r="N613" s="2" t="s">
        <v>1963</v>
      </c>
      <c r="O613" s="2" t="s">
        <v>27</v>
      </c>
      <c r="P613" s="2" t="s">
        <v>26</v>
      </c>
    </row>
    <row r="614" spans="1:16" ht="20.100000000000001" customHeight="1" x14ac:dyDescent="0.25">
      <c r="A614" s="26" t="str">
        <f>CONCATENATE(LEFT(ConsumoConcreto[[#This Row],[RecebimentoID]],4),"CNSC",TEXT(ConsumoConcreto[[#This Row],[Ordem]],"0000"),UPPER(LEFT(ConsumoConcreto[[#This Row],[Destino]],3)))</f>
        <v>0184CNSC0772PAR</v>
      </c>
      <c r="B614" s="1">
        <v>772</v>
      </c>
      <c r="C614" s="2" t="s">
        <v>2653</v>
      </c>
      <c r="D614" s="2" t="s">
        <v>2016</v>
      </c>
      <c r="E614" s="18">
        <v>14</v>
      </c>
      <c r="F614" s="2" t="s">
        <v>25</v>
      </c>
      <c r="G614" s="36">
        <v>0.86805555555555547</v>
      </c>
      <c r="H614" s="2" t="s">
        <v>1965</v>
      </c>
      <c r="I6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14" s="22">
        <v>18</v>
      </c>
      <c r="K614" s="22">
        <v>18</v>
      </c>
      <c r="L614" s="37">
        <v>36892</v>
      </c>
      <c r="M614" s="2"/>
      <c r="N614" s="2" t="s">
        <v>2017</v>
      </c>
      <c r="O614" s="2" t="s">
        <v>27</v>
      </c>
      <c r="P614" s="2" t="s">
        <v>26</v>
      </c>
    </row>
    <row r="615" spans="1:16" ht="20.100000000000001" customHeight="1" x14ac:dyDescent="0.25">
      <c r="A615" s="26" t="str">
        <f>CONCATENATE(LEFT(ConsumoConcreto[[#This Row],[RecebimentoID]],4),"CNSC",TEXT(ConsumoConcreto[[#This Row],[Ordem]],"0000"),UPPER(LEFT(ConsumoConcreto[[#This Row],[Destino]],3)))</f>
        <v>0184CNSC0752RAD</v>
      </c>
      <c r="B615" s="1">
        <v>752</v>
      </c>
      <c r="C615" s="2" t="s">
        <v>2654</v>
      </c>
      <c r="D615" s="2" t="s">
        <v>2016</v>
      </c>
      <c r="E615" s="18">
        <v>14</v>
      </c>
      <c r="F615" s="2" t="s">
        <v>1801</v>
      </c>
      <c r="G615" s="36">
        <v>0.62361111111111112</v>
      </c>
      <c r="H615" s="2" t="s">
        <v>1968</v>
      </c>
      <c r="I6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15" s="22">
        <v>7</v>
      </c>
      <c r="K615" s="22">
        <v>7</v>
      </c>
      <c r="L615" s="37">
        <v>36892</v>
      </c>
      <c r="M615" s="2"/>
      <c r="N615" s="2" t="s">
        <v>2017</v>
      </c>
      <c r="O615" s="2" t="s">
        <v>27</v>
      </c>
      <c r="P615" s="2" t="s">
        <v>26</v>
      </c>
    </row>
    <row r="616" spans="1:16" ht="20.100000000000001" customHeight="1" x14ac:dyDescent="0.25">
      <c r="A616" s="26" t="str">
        <f>CONCATENATE(LEFT(ConsumoConcreto[[#This Row],[RecebimentoID]],4),"CNSC",TEXT(ConsumoConcreto[[#This Row],[Ordem]],"0000"),UPPER(LEFT(ConsumoConcreto[[#This Row],[Destino]],3)))</f>
        <v>0184CNSC0787PAR</v>
      </c>
      <c r="B616" s="1">
        <v>787</v>
      </c>
      <c r="C616" s="2" t="s">
        <v>2655</v>
      </c>
      <c r="D616" s="2" t="s">
        <v>2021</v>
      </c>
      <c r="E616" s="18">
        <v>14</v>
      </c>
      <c r="F616" s="2" t="s">
        <v>25</v>
      </c>
      <c r="G616" s="36">
        <v>0.78472222222222221</v>
      </c>
      <c r="H616" s="2" t="s">
        <v>1965</v>
      </c>
      <c r="I6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16" s="22">
        <v>14.5</v>
      </c>
      <c r="K616" s="22">
        <v>14.5</v>
      </c>
      <c r="L616" s="37">
        <v>36892</v>
      </c>
      <c r="M616" s="2"/>
      <c r="N616" s="2" t="s">
        <v>1966</v>
      </c>
      <c r="O616" s="2" t="s">
        <v>27</v>
      </c>
      <c r="P616" s="2" t="s">
        <v>26</v>
      </c>
    </row>
    <row r="617" spans="1:16" ht="20.100000000000001" customHeight="1" x14ac:dyDescent="0.25">
      <c r="A617" s="26" t="str">
        <f>CONCATENATE(LEFT(ConsumoConcreto[[#This Row],[RecebimentoID]],4),"CNSC",TEXT(ConsumoConcreto[[#This Row],[Ordem]],"0000"),UPPER(LEFT(ConsumoConcreto[[#This Row],[Destino]],3)))</f>
        <v>0184CNSC0785RAD</v>
      </c>
      <c r="B617" s="1">
        <v>785</v>
      </c>
      <c r="C617" s="2" t="s">
        <v>2656</v>
      </c>
      <c r="D617" s="2" t="s">
        <v>2021</v>
      </c>
      <c r="E617" s="18">
        <v>14</v>
      </c>
      <c r="F617" s="2" t="s">
        <v>1801</v>
      </c>
      <c r="G617" s="36">
        <v>0.4069444444444445</v>
      </c>
      <c r="H617" s="2" t="s">
        <v>1968</v>
      </c>
      <c r="I6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17" s="22">
        <v>5.5</v>
      </c>
      <c r="K617" s="22">
        <v>5.5</v>
      </c>
      <c r="L617" s="37">
        <v>36892</v>
      </c>
      <c r="M617" s="2"/>
      <c r="N617" s="2" t="s">
        <v>1963</v>
      </c>
      <c r="O617" s="2" t="s">
        <v>27</v>
      </c>
      <c r="P617" s="2" t="s">
        <v>26</v>
      </c>
    </row>
    <row r="618" spans="1:16" ht="20.100000000000001" customHeight="1" x14ac:dyDescent="0.25">
      <c r="A618" s="26" t="str">
        <f>CONCATENATE(LEFT(ConsumoConcreto[[#This Row],[RecebimentoID]],4),"CNSC",TEXT(ConsumoConcreto[[#This Row],[Ordem]],"0000"),UPPER(LEFT(ConsumoConcreto[[#This Row],[Destino]],3)))</f>
        <v>0184CNSC0845PAR</v>
      </c>
      <c r="B618" s="1">
        <v>845</v>
      </c>
      <c r="C618" s="2" t="s">
        <v>2657</v>
      </c>
      <c r="D618" s="2" t="s">
        <v>2024</v>
      </c>
      <c r="E618" s="18">
        <v>14</v>
      </c>
      <c r="F618" s="2" t="s">
        <v>25</v>
      </c>
      <c r="G618" s="36">
        <v>0.75347222222222221</v>
      </c>
      <c r="H618" s="2" t="s">
        <v>1965</v>
      </c>
      <c r="I6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18" s="22">
        <v>14.5</v>
      </c>
      <c r="K618" s="22">
        <v>14.5</v>
      </c>
      <c r="L618" s="37">
        <v>36892</v>
      </c>
      <c r="M618" s="2"/>
      <c r="N618" s="2" t="s">
        <v>1966</v>
      </c>
      <c r="O618" s="2" t="s">
        <v>27</v>
      </c>
      <c r="P618" s="2" t="s">
        <v>26</v>
      </c>
    </row>
    <row r="619" spans="1:16" ht="20.100000000000001" customHeight="1" x14ac:dyDescent="0.25">
      <c r="A619" s="26" t="str">
        <f>CONCATENATE(LEFT(ConsumoConcreto[[#This Row],[RecebimentoID]],4),"CNSC",TEXT(ConsumoConcreto[[#This Row],[Ordem]],"0000"),UPPER(LEFT(ConsumoConcreto[[#This Row],[Destino]],3)))</f>
        <v>0184CNSC0813RAD</v>
      </c>
      <c r="B619" s="1">
        <v>813</v>
      </c>
      <c r="C619" s="2" t="s">
        <v>2658</v>
      </c>
      <c r="D619" s="2" t="s">
        <v>2024</v>
      </c>
      <c r="E619" s="18">
        <v>14</v>
      </c>
      <c r="F619" s="2" t="s">
        <v>1801</v>
      </c>
      <c r="G619" s="36">
        <v>0.625</v>
      </c>
      <c r="H619" s="2" t="s">
        <v>1968</v>
      </c>
      <c r="I6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19" s="22">
        <v>5.5</v>
      </c>
      <c r="K619" s="22">
        <v>5.5</v>
      </c>
      <c r="L619" s="37">
        <v>36892</v>
      </c>
      <c r="M619" s="2"/>
      <c r="N619" s="2" t="s">
        <v>1966</v>
      </c>
      <c r="O619" s="2" t="s">
        <v>27</v>
      </c>
      <c r="P619" s="2" t="s">
        <v>26</v>
      </c>
    </row>
    <row r="620" spans="1:16" ht="20.100000000000001" customHeight="1" x14ac:dyDescent="0.25">
      <c r="A620" s="26" t="str">
        <f>CONCATENATE(LEFT(ConsumoConcreto[[#This Row],[RecebimentoID]],4),"CNSC",TEXT(ConsumoConcreto[[#This Row],[Ordem]],"0000"),UPPER(LEFT(ConsumoConcreto[[#This Row],[Destino]],3)))</f>
        <v>0184CNSC0928PAR</v>
      </c>
      <c r="B620" s="1">
        <v>928</v>
      </c>
      <c r="C620" s="2" t="s">
        <v>2659</v>
      </c>
      <c r="D620" s="2" t="s">
        <v>2030</v>
      </c>
      <c r="E620" s="18">
        <v>14</v>
      </c>
      <c r="F620" s="2" t="s">
        <v>25</v>
      </c>
      <c r="G620" s="36">
        <v>0.64583333333333337</v>
      </c>
      <c r="H620" s="2" t="s">
        <v>1965</v>
      </c>
      <c r="I6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20" s="22">
        <v>14.5</v>
      </c>
      <c r="K620" s="22">
        <v>14.5</v>
      </c>
      <c r="L620" s="37">
        <v>36892</v>
      </c>
      <c r="M620" s="2"/>
      <c r="N620" s="2" t="s">
        <v>1966</v>
      </c>
      <c r="O620" s="2" t="s">
        <v>27</v>
      </c>
      <c r="P620" s="2" t="s">
        <v>26</v>
      </c>
    </row>
    <row r="621" spans="1:16" ht="20.100000000000001" customHeight="1" x14ac:dyDescent="0.25">
      <c r="A621" s="26" t="str">
        <f>CONCATENATE(LEFT(ConsumoConcreto[[#This Row],[RecebimentoID]],4),"CNSC",TEXT(ConsumoConcreto[[#This Row],[Ordem]],"0000"),UPPER(LEFT(ConsumoConcreto[[#This Row],[Destino]],3)))</f>
        <v>0184CNSC0922RAD</v>
      </c>
      <c r="B621" s="1">
        <v>922</v>
      </c>
      <c r="C621" s="2" t="s">
        <v>2660</v>
      </c>
      <c r="D621" s="2" t="s">
        <v>2030</v>
      </c>
      <c r="E621" s="18">
        <v>14</v>
      </c>
      <c r="F621" s="2" t="s">
        <v>1801</v>
      </c>
      <c r="G621" s="36">
        <v>0.59722222222222221</v>
      </c>
      <c r="H621" s="2" t="s">
        <v>1968</v>
      </c>
      <c r="I6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21" s="22">
        <v>5.5</v>
      </c>
      <c r="K621" s="22">
        <v>5.5</v>
      </c>
      <c r="L621" s="37">
        <v>36892</v>
      </c>
      <c r="M621" s="2"/>
      <c r="N621" s="2" t="s">
        <v>1963</v>
      </c>
      <c r="O621" s="2" t="s">
        <v>27</v>
      </c>
      <c r="P621" s="2" t="s">
        <v>26</v>
      </c>
    </row>
    <row r="622" spans="1:16" ht="20.100000000000001" customHeight="1" x14ac:dyDescent="0.25">
      <c r="A622" s="26" t="str">
        <f>CONCATENATE(LEFT(ConsumoConcreto[[#This Row],[RecebimentoID]],4),"CNSC",TEXT(ConsumoConcreto[[#This Row],[Ordem]],"0000"),UPPER(LEFT(ConsumoConcreto[[#This Row],[Destino]],3)))</f>
        <v>0184CNSC0967PAR</v>
      </c>
      <c r="B622" s="1">
        <v>967</v>
      </c>
      <c r="C622" s="2" t="s">
        <v>2661</v>
      </c>
      <c r="D622" s="2" t="s">
        <v>2033</v>
      </c>
      <c r="E622" s="18">
        <v>14</v>
      </c>
      <c r="F622" s="2" t="s">
        <v>25</v>
      </c>
      <c r="G622" s="36">
        <v>0.67361111111111116</v>
      </c>
      <c r="H622" s="2" t="s">
        <v>1965</v>
      </c>
      <c r="I6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22" s="22">
        <v>14.5</v>
      </c>
      <c r="K622" s="22">
        <v>14.5</v>
      </c>
      <c r="L622" s="37">
        <v>36892</v>
      </c>
      <c r="M622" s="2"/>
      <c r="N622" s="2" t="s">
        <v>1966</v>
      </c>
      <c r="O622" s="2" t="s">
        <v>27</v>
      </c>
      <c r="P622" s="2" t="s">
        <v>26</v>
      </c>
    </row>
    <row r="623" spans="1:16" ht="20.100000000000001" customHeight="1" x14ac:dyDescent="0.25">
      <c r="A623" s="26" t="str">
        <f>CONCATENATE(LEFT(ConsumoConcreto[[#This Row],[RecebimentoID]],4),"CNSC",TEXT(ConsumoConcreto[[#This Row],[Ordem]],"0000"),UPPER(LEFT(ConsumoConcreto[[#This Row],[Destino]],3)))</f>
        <v>0184CNSC0952RAD</v>
      </c>
      <c r="B623" s="1">
        <v>952</v>
      </c>
      <c r="C623" s="2" t="s">
        <v>2662</v>
      </c>
      <c r="D623" s="2" t="s">
        <v>2033</v>
      </c>
      <c r="E623" s="18">
        <v>14</v>
      </c>
      <c r="F623" s="2" t="s">
        <v>1801</v>
      </c>
      <c r="G623" s="36">
        <v>0.70000000000000007</v>
      </c>
      <c r="H623" s="2" t="s">
        <v>1968</v>
      </c>
      <c r="I6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23" s="22">
        <v>7.5</v>
      </c>
      <c r="K623" s="22">
        <v>7.5</v>
      </c>
      <c r="L623" s="37">
        <v>36892</v>
      </c>
      <c r="M623" s="2" t="s">
        <v>2289</v>
      </c>
      <c r="N623" s="2" t="s">
        <v>1963</v>
      </c>
      <c r="O623" s="2" t="s">
        <v>27</v>
      </c>
      <c r="P623" s="2" t="s">
        <v>26</v>
      </c>
    </row>
    <row r="624" spans="1:16" ht="20.100000000000001" customHeight="1" x14ac:dyDescent="0.25">
      <c r="A624" s="26" t="str">
        <f>CONCATENATE(LEFT(ConsumoConcreto[[#This Row],[RecebimentoID]],4),"CNSC",TEXT(ConsumoConcreto[[#This Row],[Ordem]],"0000"),UPPER(LEFT(ConsumoConcreto[[#This Row],[Destino]],3)))</f>
        <v>0184CNSC1064PAR</v>
      </c>
      <c r="B624" s="1">
        <v>1064</v>
      </c>
      <c r="C624" s="2" t="s">
        <v>2663</v>
      </c>
      <c r="D624" s="2" t="s">
        <v>2036</v>
      </c>
      <c r="E624" s="18">
        <v>14</v>
      </c>
      <c r="F624" s="2" t="s">
        <v>25</v>
      </c>
      <c r="G624" s="36">
        <v>0.78194444444444444</v>
      </c>
      <c r="H624" s="2" t="s">
        <v>1965</v>
      </c>
      <c r="I6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24" s="22">
        <v>14.5</v>
      </c>
      <c r="K624" s="22">
        <v>14.5</v>
      </c>
      <c r="L624" s="37">
        <v>36892</v>
      </c>
      <c r="M624" s="2"/>
      <c r="N624" s="2" t="s">
        <v>1966</v>
      </c>
      <c r="O624" s="2" t="s">
        <v>27</v>
      </c>
      <c r="P624" s="2" t="s">
        <v>26</v>
      </c>
    </row>
    <row r="625" spans="1:16" ht="20.100000000000001" customHeight="1" x14ac:dyDescent="0.25">
      <c r="A625" s="26" t="str">
        <f>CONCATENATE(LEFT(ConsumoConcreto[[#This Row],[RecebimentoID]],4),"CNSC",TEXT(ConsumoConcreto[[#This Row],[Ordem]],"0000"),UPPER(LEFT(ConsumoConcreto[[#This Row],[Destino]],3)))</f>
        <v>0184CNSC1016RAD</v>
      </c>
      <c r="B625" s="1">
        <v>1016</v>
      </c>
      <c r="C625" s="2" t="s">
        <v>2664</v>
      </c>
      <c r="D625" s="2" t="s">
        <v>2036</v>
      </c>
      <c r="E625" s="18">
        <v>14</v>
      </c>
      <c r="F625" s="2" t="s">
        <v>1801</v>
      </c>
      <c r="G625" s="36">
        <v>0.5</v>
      </c>
      <c r="H625" s="2" t="s">
        <v>1968</v>
      </c>
      <c r="I6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25" s="22">
        <v>5.5</v>
      </c>
      <c r="K625" s="22">
        <v>5.5</v>
      </c>
      <c r="L625" s="37">
        <v>36892</v>
      </c>
      <c r="M625" s="2"/>
      <c r="N625" s="2" t="s">
        <v>1963</v>
      </c>
      <c r="O625" s="2" t="s">
        <v>27</v>
      </c>
      <c r="P625" s="2" t="s">
        <v>26</v>
      </c>
    </row>
    <row r="626" spans="1:16" ht="20.100000000000001" customHeight="1" x14ac:dyDescent="0.25">
      <c r="A626" s="26" t="str">
        <f>CONCATENATE(LEFT(ConsumoConcreto[[#This Row],[RecebimentoID]],4),"CNSC",TEXT(ConsumoConcreto[[#This Row],[Ordem]],"0000"),UPPER(LEFT(ConsumoConcreto[[#This Row],[Destino]],3)))</f>
        <v>0184CNSC0059PAR</v>
      </c>
      <c r="B626" s="1">
        <v>59</v>
      </c>
      <c r="C626" s="2" t="s">
        <v>2665</v>
      </c>
      <c r="D626" s="2" t="s">
        <v>1970</v>
      </c>
      <c r="E626" s="18">
        <v>15</v>
      </c>
      <c r="F626" s="2" t="s">
        <v>25</v>
      </c>
      <c r="G626" s="36"/>
      <c r="H626" s="2" t="s">
        <v>1965</v>
      </c>
      <c r="I6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26" s="22">
        <v>14.5</v>
      </c>
      <c r="K626" s="22">
        <v>14.5</v>
      </c>
      <c r="L626" s="37">
        <v>36892</v>
      </c>
      <c r="M626" s="2"/>
      <c r="N626" s="2" t="s">
        <v>1966</v>
      </c>
      <c r="O626" s="2" t="s">
        <v>27</v>
      </c>
      <c r="P626" s="2" t="s">
        <v>26</v>
      </c>
    </row>
    <row r="627" spans="1:16" ht="20.100000000000001" customHeight="1" x14ac:dyDescent="0.25">
      <c r="A627" s="26" t="str">
        <f>CONCATENATE(LEFT(ConsumoConcreto[[#This Row],[RecebimentoID]],4),"CNSC",TEXT(ConsumoConcreto[[#This Row],[Ordem]],"0000"),UPPER(LEFT(ConsumoConcreto[[#This Row],[Destino]],3)))</f>
        <v>0184CNSC0077PIL</v>
      </c>
      <c r="B627" s="1">
        <v>77</v>
      </c>
      <c r="C627" s="2" t="s">
        <v>2666</v>
      </c>
      <c r="D627" s="2" t="s">
        <v>1970</v>
      </c>
      <c r="E627" s="18">
        <v>15</v>
      </c>
      <c r="F627" s="2" t="s">
        <v>25</v>
      </c>
      <c r="G627" s="36"/>
      <c r="H627" s="2" t="s">
        <v>1962</v>
      </c>
      <c r="I6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27" s="22">
        <v>0.17</v>
      </c>
      <c r="K627" s="22">
        <v>0.16</v>
      </c>
      <c r="L627" s="37">
        <v>36892</v>
      </c>
      <c r="M627" s="2"/>
      <c r="N627" s="2" t="s">
        <v>1963</v>
      </c>
      <c r="O627" s="2" t="s">
        <v>27</v>
      </c>
      <c r="P627" s="2" t="s">
        <v>26</v>
      </c>
    </row>
    <row r="628" spans="1:16" ht="20.100000000000001" customHeight="1" x14ac:dyDescent="0.25">
      <c r="A628" s="26" t="str">
        <f>CONCATENATE(LEFT(ConsumoConcreto[[#This Row],[RecebimentoID]],4),"CNSC",TEXT(ConsumoConcreto[[#This Row],[Ordem]],"0000"),UPPER(LEFT(ConsumoConcreto[[#This Row],[Destino]],3)))</f>
        <v>0184CNSC0045RAD</v>
      </c>
      <c r="B628" s="1">
        <v>45</v>
      </c>
      <c r="C628" s="2" t="s">
        <v>2667</v>
      </c>
      <c r="D628" s="2" t="s">
        <v>1970</v>
      </c>
      <c r="E628" s="18">
        <v>15</v>
      </c>
      <c r="F628" s="2" t="s">
        <v>1801</v>
      </c>
      <c r="G628" s="36"/>
      <c r="H628" s="2" t="s">
        <v>1968</v>
      </c>
      <c r="I6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28" s="22">
        <v>5.5</v>
      </c>
      <c r="K628" s="22">
        <v>5.5</v>
      </c>
      <c r="L628" s="37">
        <v>36892</v>
      </c>
      <c r="M628" s="2"/>
      <c r="N628" s="2"/>
      <c r="O628" s="2" t="s">
        <v>27</v>
      </c>
      <c r="P628" s="2" t="s">
        <v>26</v>
      </c>
    </row>
    <row r="629" spans="1:16" ht="20.100000000000001" customHeight="1" x14ac:dyDescent="0.25">
      <c r="A629" s="26" t="str">
        <f>CONCATENATE(LEFT(ConsumoConcreto[[#This Row],[RecebimentoID]],4),"CNSC",TEXT(ConsumoConcreto[[#This Row],[Ordem]],"0000"),UPPER(LEFT(ConsumoConcreto[[#This Row],[Destino]],3)))</f>
        <v>0184CNSC0149PAR</v>
      </c>
      <c r="B629" s="1">
        <v>149</v>
      </c>
      <c r="C629" s="2" t="s">
        <v>2668</v>
      </c>
      <c r="D629" s="2" t="s">
        <v>1975</v>
      </c>
      <c r="E629" s="18">
        <v>15</v>
      </c>
      <c r="F629" s="2" t="s">
        <v>25</v>
      </c>
      <c r="G629" s="36">
        <v>0.72222222222222221</v>
      </c>
      <c r="H629" s="2" t="s">
        <v>1965</v>
      </c>
      <c r="I6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29" s="22">
        <v>14.5</v>
      </c>
      <c r="K629" s="22">
        <v>14.5</v>
      </c>
      <c r="L629" s="37">
        <v>36892</v>
      </c>
      <c r="M629" s="2"/>
      <c r="N629" s="2" t="s">
        <v>1966</v>
      </c>
      <c r="O629" s="2" t="s">
        <v>27</v>
      </c>
      <c r="P629" s="2" t="s">
        <v>26</v>
      </c>
    </row>
    <row r="630" spans="1:16" ht="20.100000000000001" customHeight="1" x14ac:dyDescent="0.25">
      <c r="A630" s="26" t="str">
        <f>CONCATENATE(LEFT(ConsumoConcreto[[#This Row],[RecebimentoID]],4),"CNSC",TEXT(ConsumoConcreto[[#This Row],[Ordem]],"0000"),UPPER(LEFT(ConsumoConcreto[[#This Row],[Destino]],3)))</f>
        <v>0184CNSC0116RAD</v>
      </c>
      <c r="B630" s="1">
        <v>116</v>
      </c>
      <c r="C630" s="2" t="s">
        <v>2669</v>
      </c>
      <c r="D630" s="2" t="s">
        <v>1975</v>
      </c>
      <c r="E630" s="18">
        <v>15</v>
      </c>
      <c r="F630" s="2" t="s">
        <v>1801</v>
      </c>
      <c r="G630" s="36"/>
      <c r="H630" s="2" t="s">
        <v>1968</v>
      </c>
      <c r="I6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30" s="22">
        <v>5.5</v>
      </c>
      <c r="K630" s="22">
        <v>5.5</v>
      </c>
      <c r="L630" s="37">
        <v>36892</v>
      </c>
      <c r="M630" s="2"/>
      <c r="N630" s="2" t="s">
        <v>1966</v>
      </c>
      <c r="O630" s="2" t="s">
        <v>27</v>
      </c>
      <c r="P630" s="2" t="s">
        <v>26</v>
      </c>
    </row>
    <row r="631" spans="1:16" ht="20.100000000000001" customHeight="1" x14ac:dyDescent="0.25">
      <c r="A631" s="26" t="str">
        <f>CONCATENATE(LEFT(ConsumoConcreto[[#This Row],[RecebimentoID]],4),"CNSC",TEXT(ConsumoConcreto[[#This Row],[Ordem]],"0000"),UPPER(LEFT(ConsumoConcreto[[#This Row],[Destino]],3)))</f>
        <v>0184CNSC0236PAR</v>
      </c>
      <c r="B631" s="1">
        <v>236</v>
      </c>
      <c r="C631" s="2" t="s">
        <v>2670</v>
      </c>
      <c r="D631" s="2" t="s">
        <v>1979</v>
      </c>
      <c r="E631" s="18">
        <v>15</v>
      </c>
      <c r="F631" s="2" t="s">
        <v>25</v>
      </c>
      <c r="G631" s="36">
        <v>0.9375</v>
      </c>
      <c r="H631" s="2" t="s">
        <v>1965</v>
      </c>
      <c r="I6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31" s="22">
        <v>15</v>
      </c>
      <c r="K631" s="22">
        <v>15</v>
      </c>
      <c r="L631" s="37">
        <v>36892</v>
      </c>
      <c r="M631" s="2"/>
      <c r="N631" s="2" t="s">
        <v>1966</v>
      </c>
      <c r="O631" s="2" t="s">
        <v>27</v>
      </c>
      <c r="P631" s="2" t="s">
        <v>26</v>
      </c>
    </row>
    <row r="632" spans="1:16" ht="20.100000000000001" customHeight="1" x14ac:dyDescent="0.25">
      <c r="A632" s="26" t="str">
        <f>CONCATENATE(LEFT(ConsumoConcreto[[#This Row],[RecebimentoID]],4),"CNSC",TEXT(ConsumoConcreto[[#This Row],[Ordem]],"0000"),UPPER(LEFT(ConsumoConcreto[[#This Row],[Destino]],3)))</f>
        <v>0184CNSC0193RAD</v>
      </c>
      <c r="B632" s="1">
        <v>193</v>
      </c>
      <c r="C632" s="2" t="s">
        <v>2671</v>
      </c>
      <c r="D632" s="2" t="s">
        <v>1979</v>
      </c>
      <c r="E632" s="18">
        <v>15</v>
      </c>
      <c r="F632" s="2" t="s">
        <v>1801</v>
      </c>
      <c r="G632" s="36"/>
      <c r="H632" s="2" t="s">
        <v>1968</v>
      </c>
      <c r="I6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32" s="22">
        <v>6</v>
      </c>
      <c r="K632" s="22">
        <v>5.5</v>
      </c>
      <c r="L632" s="37">
        <v>36892</v>
      </c>
      <c r="M632" s="2" t="s">
        <v>2252</v>
      </c>
      <c r="N632" s="2" t="s">
        <v>1966</v>
      </c>
      <c r="O632" s="2" t="s">
        <v>27</v>
      </c>
      <c r="P632" s="2" t="s">
        <v>26</v>
      </c>
    </row>
    <row r="633" spans="1:16" ht="20.100000000000001" customHeight="1" x14ac:dyDescent="0.25">
      <c r="A633" s="26" t="str">
        <f>CONCATENATE(LEFT(ConsumoConcreto[[#This Row],[RecebimentoID]],4),"CNSC",TEXT(ConsumoConcreto[[#This Row],[Ordem]],"0000"),UPPER(LEFT(ConsumoConcreto[[#This Row],[Destino]],3)))</f>
        <v>0184CNSC0285PAR</v>
      </c>
      <c r="B633" s="1">
        <v>285</v>
      </c>
      <c r="C633" s="2" t="s">
        <v>2672</v>
      </c>
      <c r="D633" s="2" t="s">
        <v>1985</v>
      </c>
      <c r="E633" s="18">
        <v>15</v>
      </c>
      <c r="F633" s="2" t="s">
        <v>25</v>
      </c>
      <c r="G633" s="36">
        <v>0.85486111111111107</v>
      </c>
      <c r="H633" s="2" t="s">
        <v>1965</v>
      </c>
      <c r="I6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33" s="22">
        <v>14.5</v>
      </c>
      <c r="K633" s="22">
        <v>14.5</v>
      </c>
      <c r="L633" s="37">
        <v>36892</v>
      </c>
      <c r="M633" s="2"/>
      <c r="N633" s="2" t="s">
        <v>2017</v>
      </c>
      <c r="O633" s="2" t="s">
        <v>27</v>
      </c>
      <c r="P633" s="2" t="s">
        <v>26</v>
      </c>
    </row>
    <row r="634" spans="1:16" ht="20.100000000000001" customHeight="1" x14ac:dyDescent="0.25">
      <c r="A634" s="26" t="str">
        <f>CONCATENATE(LEFT(ConsumoConcreto[[#This Row],[RecebimentoID]],4),"CNSC",TEXT(ConsumoConcreto[[#This Row],[Ordem]],"0000"),UPPER(LEFT(ConsumoConcreto[[#This Row],[Destino]],3)))</f>
        <v>0184CNSC0299PIL</v>
      </c>
      <c r="B634" s="1">
        <v>299</v>
      </c>
      <c r="C634" s="2" t="s">
        <v>2673</v>
      </c>
      <c r="D634" s="2" t="s">
        <v>1985</v>
      </c>
      <c r="E634" s="18">
        <v>15</v>
      </c>
      <c r="F634" s="2" t="s">
        <v>25</v>
      </c>
      <c r="G634" s="36"/>
      <c r="H634" s="2" t="s">
        <v>1962</v>
      </c>
      <c r="I6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34" s="22">
        <v>0.1</v>
      </c>
      <c r="K634" s="22">
        <v>0.1</v>
      </c>
      <c r="L634" s="37">
        <v>36892</v>
      </c>
      <c r="M634" s="2"/>
      <c r="N634" s="2" t="s">
        <v>1963</v>
      </c>
      <c r="O634" s="2" t="s">
        <v>27</v>
      </c>
      <c r="P634" s="2" t="s">
        <v>26</v>
      </c>
    </row>
    <row r="635" spans="1:16" ht="20.100000000000001" customHeight="1" x14ac:dyDescent="0.25">
      <c r="A635" s="26" t="str">
        <f>CONCATENATE(LEFT(ConsumoConcreto[[#This Row],[RecebimentoID]],4),"CNSC",TEXT(ConsumoConcreto[[#This Row],[Ordem]],"0000"),UPPER(LEFT(ConsumoConcreto[[#This Row],[Destino]],3)))</f>
        <v>0184CNSC0265RAD</v>
      </c>
      <c r="B635" s="1">
        <v>265</v>
      </c>
      <c r="C635" s="2" t="s">
        <v>2674</v>
      </c>
      <c r="D635" s="2" t="s">
        <v>1985</v>
      </c>
      <c r="E635" s="18">
        <v>15</v>
      </c>
      <c r="F635" s="2" t="s">
        <v>1801</v>
      </c>
      <c r="G635" s="36">
        <v>0.57291666666666663</v>
      </c>
      <c r="H635" s="2" t="s">
        <v>1968</v>
      </c>
      <c r="I6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35" s="22">
        <v>5.5</v>
      </c>
      <c r="K635" s="22">
        <v>5.5</v>
      </c>
      <c r="L635" s="37">
        <v>36892</v>
      </c>
      <c r="M635" s="2"/>
      <c r="N635" s="2" t="s">
        <v>1963</v>
      </c>
      <c r="O635" s="2" t="s">
        <v>27</v>
      </c>
      <c r="P635" s="2" t="s">
        <v>26</v>
      </c>
    </row>
    <row r="636" spans="1:16" ht="20.100000000000001" customHeight="1" x14ac:dyDescent="0.25">
      <c r="A636" s="26" t="str">
        <f>CONCATENATE(LEFT(ConsumoConcreto[[#This Row],[RecebimentoID]],4),"CNSC",TEXT(ConsumoConcreto[[#This Row],[Ordem]],"0000"),UPPER(LEFT(ConsumoConcreto[[#This Row],[Destino]],3)))</f>
        <v>0184CNSC0362PAR</v>
      </c>
      <c r="B636" s="1">
        <v>362</v>
      </c>
      <c r="C636" s="2" t="s">
        <v>2675</v>
      </c>
      <c r="D636" s="2" t="s">
        <v>1992</v>
      </c>
      <c r="E636" s="18">
        <v>15</v>
      </c>
      <c r="F636" s="2" t="s">
        <v>25</v>
      </c>
      <c r="G636" s="36">
        <v>0.47500000000000003</v>
      </c>
      <c r="H636" s="2" t="s">
        <v>1965</v>
      </c>
      <c r="I6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36" s="22">
        <v>14.5</v>
      </c>
      <c r="K636" s="22">
        <v>14.5</v>
      </c>
      <c r="L636" s="37">
        <v>36892</v>
      </c>
      <c r="M636" s="2"/>
      <c r="N636" s="2" t="s">
        <v>1966</v>
      </c>
      <c r="O636" s="2" t="s">
        <v>27</v>
      </c>
      <c r="P636" s="2" t="s">
        <v>26</v>
      </c>
    </row>
    <row r="637" spans="1:16" ht="20.100000000000001" customHeight="1" x14ac:dyDescent="0.25">
      <c r="A637" s="26" t="str">
        <f>CONCATENATE(LEFT(ConsumoConcreto[[#This Row],[RecebimentoID]],4),"CNSC",TEXT(ConsumoConcreto[[#This Row],[Ordem]],"0000"),UPPER(LEFT(ConsumoConcreto[[#This Row],[Destino]],3)))</f>
        <v>0184CNSC0347RAD</v>
      </c>
      <c r="B637" s="1">
        <v>347</v>
      </c>
      <c r="C637" s="2" t="s">
        <v>2676</v>
      </c>
      <c r="D637" s="2" t="s">
        <v>1992</v>
      </c>
      <c r="E637" s="18">
        <v>15</v>
      </c>
      <c r="F637" s="2" t="s">
        <v>1801</v>
      </c>
      <c r="G637" s="36">
        <v>0.5</v>
      </c>
      <c r="H637" s="2" t="s">
        <v>1968</v>
      </c>
      <c r="I6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37" s="22">
        <v>7</v>
      </c>
      <c r="K637" s="22">
        <v>7</v>
      </c>
      <c r="L637" s="37">
        <v>36892</v>
      </c>
      <c r="M637" s="2"/>
      <c r="N637" s="2" t="s">
        <v>1963</v>
      </c>
      <c r="O637" s="2" t="s">
        <v>27</v>
      </c>
      <c r="P637" s="2" t="s">
        <v>26</v>
      </c>
    </row>
    <row r="638" spans="1:16" ht="20.100000000000001" customHeight="1" x14ac:dyDescent="0.25">
      <c r="A638" s="26" t="str">
        <f>CONCATENATE(LEFT(ConsumoConcreto[[#This Row],[RecebimentoID]],4),"CNSC",TEXT(ConsumoConcreto[[#This Row],[Ordem]],"0000"),UPPER(LEFT(ConsumoConcreto[[#This Row],[Destino]],3)))</f>
        <v>0184CNSC0404PIL</v>
      </c>
      <c r="B638" s="1">
        <v>404</v>
      </c>
      <c r="C638" s="2" t="s">
        <v>2677</v>
      </c>
      <c r="D638" s="2" t="s">
        <v>1995</v>
      </c>
      <c r="E638" s="18">
        <v>15</v>
      </c>
      <c r="F638" s="2" t="s">
        <v>25</v>
      </c>
      <c r="G638" s="36"/>
      <c r="H638" s="2" t="s">
        <v>1962</v>
      </c>
      <c r="I6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38" s="22">
        <v>0.1</v>
      </c>
      <c r="K638" s="22">
        <v>0.1</v>
      </c>
      <c r="L638" s="37">
        <v>36892</v>
      </c>
      <c r="M638" s="2"/>
      <c r="N638" s="2" t="s">
        <v>1963</v>
      </c>
      <c r="O638" s="2" t="s">
        <v>27</v>
      </c>
      <c r="P638" s="2" t="s">
        <v>26</v>
      </c>
    </row>
    <row r="639" spans="1:16" ht="20.100000000000001" customHeight="1" x14ac:dyDescent="0.25">
      <c r="A639" s="26" t="str">
        <f>CONCATENATE(LEFT(ConsumoConcreto[[#This Row],[RecebimentoID]],4),"CNSC",TEXT(ConsumoConcreto[[#This Row],[Ordem]],"0000"),UPPER(LEFT(ConsumoConcreto[[#This Row],[Destino]],3)))</f>
        <v>0184CNSC0394PAR</v>
      </c>
      <c r="B639" s="1">
        <v>394</v>
      </c>
      <c r="C639" s="2" t="s">
        <v>2678</v>
      </c>
      <c r="D639" s="2" t="s">
        <v>1995</v>
      </c>
      <c r="E639" s="18">
        <v>15</v>
      </c>
      <c r="F639" s="2" t="s">
        <v>25</v>
      </c>
      <c r="G639" s="36">
        <v>0.87222222222222223</v>
      </c>
      <c r="H639" s="2" t="s">
        <v>1965</v>
      </c>
      <c r="I6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39" s="22">
        <v>17.5</v>
      </c>
      <c r="K639" s="22">
        <v>16</v>
      </c>
      <c r="L639" s="37">
        <v>36892</v>
      </c>
      <c r="M639" s="2" t="s">
        <v>2679</v>
      </c>
      <c r="N639" s="2" t="s">
        <v>1966</v>
      </c>
      <c r="O639" s="2" t="s">
        <v>27</v>
      </c>
      <c r="P639" s="2" t="s">
        <v>26</v>
      </c>
    </row>
    <row r="640" spans="1:16" ht="20.100000000000001" customHeight="1" x14ac:dyDescent="0.25">
      <c r="A640" s="26" t="str">
        <f>CONCATENATE(LEFT(ConsumoConcreto[[#This Row],[RecebimentoID]],4),"CNSC",TEXT(ConsumoConcreto[[#This Row],[Ordem]],"0000"),UPPER(LEFT(ConsumoConcreto[[#This Row],[Destino]],3)))</f>
        <v>0184CNSC0373RAD</v>
      </c>
      <c r="B640" s="1">
        <v>373</v>
      </c>
      <c r="C640" s="2" t="s">
        <v>2680</v>
      </c>
      <c r="D640" s="2" t="s">
        <v>1995</v>
      </c>
      <c r="E640" s="18">
        <v>15</v>
      </c>
      <c r="F640" s="2" t="s">
        <v>1801</v>
      </c>
      <c r="G640" s="36">
        <v>0.46527777777777773</v>
      </c>
      <c r="H640" s="2" t="s">
        <v>1968</v>
      </c>
      <c r="I6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40" s="22">
        <v>5.5</v>
      </c>
      <c r="K640" s="22">
        <v>5.5</v>
      </c>
      <c r="L640" s="37">
        <v>36892</v>
      </c>
      <c r="M640" s="2"/>
      <c r="N640" s="2" t="s">
        <v>1963</v>
      </c>
      <c r="O640" s="2" t="s">
        <v>27</v>
      </c>
      <c r="P640" s="2" t="s">
        <v>26</v>
      </c>
    </row>
    <row r="641" spans="1:16" ht="20.100000000000001" customHeight="1" x14ac:dyDescent="0.25">
      <c r="A641" s="26" t="str">
        <f>CONCATENATE(LEFT(ConsumoConcreto[[#This Row],[RecebimentoID]],4),"CNSC",TEXT(ConsumoConcreto[[#This Row],[Ordem]],"0000"),UPPER(LEFT(ConsumoConcreto[[#This Row],[Destino]],3)))</f>
        <v>0184CNSC0524PAR</v>
      </c>
      <c r="B641" s="1">
        <v>524</v>
      </c>
      <c r="C641" s="2" t="s">
        <v>2681</v>
      </c>
      <c r="D641" s="2" t="s">
        <v>2005</v>
      </c>
      <c r="E641" s="18">
        <v>15</v>
      </c>
      <c r="F641" s="2" t="s">
        <v>25</v>
      </c>
      <c r="G641" s="36">
        <v>0.79791666666666661</v>
      </c>
      <c r="H641" s="2" t="s">
        <v>1965</v>
      </c>
      <c r="I6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41" s="22">
        <v>18</v>
      </c>
      <c r="K641" s="22">
        <v>18</v>
      </c>
      <c r="L641" s="37">
        <v>36892</v>
      </c>
      <c r="M641" s="2"/>
      <c r="N641" s="2" t="s">
        <v>1966</v>
      </c>
      <c r="O641" s="2" t="s">
        <v>27</v>
      </c>
      <c r="P641" s="2" t="s">
        <v>26</v>
      </c>
    </row>
    <row r="642" spans="1:16" ht="20.100000000000001" customHeight="1" x14ac:dyDescent="0.25">
      <c r="A642" s="26" t="str">
        <f>CONCATENATE(LEFT(ConsumoConcreto[[#This Row],[RecebimentoID]],4),"CNSC",TEXT(ConsumoConcreto[[#This Row],[Ordem]],"0000"),UPPER(LEFT(ConsumoConcreto[[#This Row],[Destino]],3)))</f>
        <v>0184CNSC0485RAD</v>
      </c>
      <c r="B642" s="1">
        <v>485</v>
      </c>
      <c r="C642" s="2" t="s">
        <v>2682</v>
      </c>
      <c r="D642" s="2" t="s">
        <v>2005</v>
      </c>
      <c r="E642" s="18">
        <v>15</v>
      </c>
      <c r="F642" s="2" t="s">
        <v>1801</v>
      </c>
      <c r="G642" s="36">
        <v>0.66666666666666663</v>
      </c>
      <c r="H642" s="2" t="s">
        <v>1968</v>
      </c>
      <c r="I6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42" s="22">
        <v>7</v>
      </c>
      <c r="K642" s="22">
        <v>7</v>
      </c>
      <c r="L642" s="37">
        <v>36892</v>
      </c>
      <c r="M642" s="2"/>
      <c r="N642" s="2" t="s">
        <v>1966</v>
      </c>
      <c r="O642" s="2" t="s">
        <v>27</v>
      </c>
      <c r="P642" s="2" t="s">
        <v>26</v>
      </c>
    </row>
    <row r="643" spans="1:16" ht="20.100000000000001" customHeight="1" x14ac:dyDescent="0.25">
      <c r="A643" s="26" t="str">
        <f>CONCATENATE(LEFT(ConsumoConcreto[[#This Row],[RecebimentoID]],4),"CNSC",TEXT(ConsumoConcreto[[#This Row],[Ordem]],"0000"),UPPER(LEFT(ConsumoConcreto[[#This Row],[Destino]],3)))</f>
        <v>0184CNSC0575PAR</v>
      </c>
      <c r="B643" s="1">
        <v>575</v>
      </c>
      <c r="C643" s="2" t="s">
        <v>2683</v>
      </c>
      <c r="D643" s="2" t="s">
        <v>2007</v>
      </c>
      <c r="E643" s="18">
        <v>15</v>
      </c>
      <c r="F643" s="2" t="s">
        <v>25</v>
      </c>
      <c r="G643" s="36">
        <v>0.88541666666666663</v>
      </c>
      <c r="H643" s="2" t="s">
        <v>1965</v>
      </c>
      <c r="I6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43" s="22">
        <v>18</v>
      </c>
      <c r="K643" s="22">
        <v>18</v>
      </c>
      <c r="L643" s="37">
        <v>36892</v>
      </c>
      <c r="M643" s="2"/>
      <c r="N643" s="2" t="s">
        <v>1966</v>
      </c>
      <c r="O643" s="2" t="s">
        <v>27</v>
      </c>
      <c r="P643" s="2" t="s">
        <v>26</v>
      </c>
    </row>
    <row r="644" spans="1:16" ht="20.100000000000001" customHeight="1" x14ac:dyDescent="0.25">
      <c r="A644" s="26" t="str">
        <f>CONCATENATE(LEFT(ConsumoConcreto[[#This Row],[RecebimentoID]],4),"CNSC",TEXT(ConsumoConcreto[[#This Row],[Ordem]],"0000"),UPPER(LEFT(ConsumoConcreto[[#This Row],[Destino]],3)))</f>
        <v>0184CNSC0552RAD</v>
      </c>
      <c r="B644" s="1">
        <v>552</v>
      </c>
      <c r="C644" s="2" t="s">
        <v>2684</v>
      </c>
      <c r="D644" s="2" t="s">
        <v>2007</v>
      </c>
      <c r="E644" s="18">
        <v>15</v>
      </c>
      <c r="F644" s="2" t="s">
        <v>1801</v>
      </c>
      <c r="G644" s="36"/>
      <c r="H644" s="2" t="s">
        <v>1968</v>
      </c>
      <c r="I6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44" s="22">
        <v>7</v>
      </c>
      <c r="K644" s="22">
        <v>7</v>
      </c>
      <c r="L644" s="37">
        <v>36892</v>
      </c>
      <c r="M644" s="2"/>
      <c r="N644" s="2" t="s">
        <v>1963</v>
      </c>
      <c r="O644" s="2" t="s">
        <v>27</v>
      </c>
      <c r="P644" s="2" t="s">
        <v>26</v>
      </c>
    </row>
    <row r="645" spans="1:16" ht="20.100000000000001" customHeight="1" x14ac:dyDescent="0.25">
      <c r="A645" s="26" t="str">
        <f>CONCATENATE(LEFT(ConsumoConcreto[[#This Row],[RecebimentoID]],4),"CNSC",TEXT(ConsumoConcreto[[#This Row],[Ordem]],"0000"),UPPER(LEFT(ConsumoConcreto[[#This Row],[Destino]],3)))</f>
        <v>0184CNSC0628PAR</v>
      </c>
      <c r="B645" s="1">
        <v>628</v>
      </c>
      <c r="C645" s="2" t="s">
        <v>2685</v>
      </c>
      <c r="D645" s="2" t="s">
        <v>2010</v>
      </c>
      <c r="E645" s="18">
        <v>15</v>
      </c>
      <c r="F645" s="2" t="s">
        <v>25</v>
      </c>
      <c r="G645" s="36">
        <v>0.80902777777777779</v>
      </c>
      <c r="H645" s="2" t="s">
        <v>1965</v>
      </c>
      <c r="I6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45" s="22">
        <v>14.5</v>
      </c>
      <c r="K645" s="22">
        <v>14</v>
      </c>
      <c r="L645" s="37">
        <v>36892</v>
      </c>
      <c r="M645" s="2"/>
      <c r="N645" s="2" t="s">
        <v>1966</v>
      </c>
      <c r="O645" s="2" t="s">
        <v>27</v>
      </c>
      <c r="P645" s="2" t="s">
        <v>26</v>
      </c>
    </row>
    <row r="646" spans="1:16" ht="20.100000000000001" customHeight="1" x14ac:dyDescent="0.25">
      <c r="A646" s="26" t="str">
        <f>CONCATENATE(LEFT(ConsumoConcreto[[#This Row],[RecebimentoID]],4),"CNSC",TEXT(ConsumoConcreto[[#This Row],[Ordem]],"0000"),UPPER(LEFT(ConsumoConcreto[[#This Row],[Destino]],3)))</f>
        <v>0184CNSC0606RAD</v>
      </c>
      <c r="B646" s="1">
        <v>606</v>
      </c>
      <c r="C646" s="2" t="s">
        <v>2686</v>
      </c>
      <c r="D646" s="2" t="s">
        <v>2010</v>
      </c>
      <c r="E646" s="18">
        <v>15</v>
      </c>
      <c r="F646" s="2" t="s">
        <v>1801</v>
      </c>
      <c r="G646" s="36">
        <v>0.43055555555555558</v>
      </c>
      <c r="H646" s="2" t="s">
        <v>1968</v>
      </c>
      <c r="I6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46" s="22">
        <v>5.5</v>
      </c>
      <c r="K646" s="22">
        <v>5.5</v>
      </c>
      <c r="L646" s="37">
        <v>36892</v>
      </c>
      <c r="M646" s="2"/>
      <c r="N646" s="2" t="s">
        <v>1966</v>
      </c>
      <c r="O646" s="2" t="s">
        <v>27</v>
      </c>
      <c r="P646" s="2" t="s">
        <v>26</v>
      </c>
    </row>
    <row r="647" spans="1:16" ht="20.100000000000001" customHeight="1" x14ac:dyDescent="0.25">
      <c r="A647" s="26" t="str">
        <f>CONCATENATE(LEFT(ConsumoConcreto[[#This Row],[RecebimentoID]],4),"CNSC",TEXT(ConsumoConcreto[[#This Row],[Ordem]],"0000"),UPPER(LEFT(ConsumoConcreto[[#This Row],[Destino]],3)))</f>
        <v>0184CNSC0697PAR</v>
      </c>
      <c r="B647" s="1">
        <v>697</v>
      </c>
      <c r="C647" s="2" t="s">
        <v>2687</v>
      </c>
      <c r="D647" s="2" t="s">
        <v>2013</v>
      </c>
      <c r="E647" s="18">
        <v>15</v>
      </c>
      <c r="F647" s="2" t="s">
        <v>25</v>
      </c>
      <c r="G647" s="36">
        <v>0.77083333333333337</v>
      </c>
      <c r="H647" s="2" t="s">
        <v>1965</v>
      </c>
      <c r="I6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47" s="22">
        <v>15</v>
      </c>
      <c r="K647" s="22">
        <v>15</v>
      </c>
      <c r="L647" s="37">
        <v>36892</v>
      </c>
      <c r="M647" s="2" t="s">
        <v>2082</v>
      </c>
      <c r="N647" s="2" t="s">
        <v>1966</v>
      </c>
      <c r="O647" s="2" t="s">
        <v>27</v>
      </c>
      <c r="P647" s="2" t="s">
        <v>26</v>
      </c>
    </row>
    <row r="648" spans="1:16" ht="20.100000000000001" customHeight="1" x14ac:dyDescent="0.25">
      <c r="A648" s="26" t="str">
        <f>CONCATENATE(LEFT(ConsumoConcreto[[#This Row],[RecebimentoID]],4),"CNSC",TEXT(ConsumoConcreto[[#This Row],[Ordem]],"0000"),UPPER(LEFT(ConsumoConcreto[[#This Row],[Destino]],3)))</f>
        <v>0184CNSC0675RAD</v>
      </c>
      <c r="B648" s="1">
        <v>675</v>
      </c>
      <c r="C648" s="2" t="s">
        <v>2688</v>
      </c>
      <c r="D648" s="2" t="s">
        <v>2013</v>
      </c>
      <c r="E648" s="18">
        <v>15</v>
      </c>
      <c r="F648" s="2" t="s">
        <v>1801</v>
      </c>
      <c r="G648" s="36"/>
      <c r="H648" s="2" t="s">
        <v>1968</v>
      </c>
      <c r="I6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48" s="22">
        <v>6</v>
      </c>
      <c r="K648" s="22">
        <v>5.4809999999999999</v>
      </c>
      <c r="L648" s="37">
        <v>36892</v>
      </c>
      <c r="M648" s="2"/>
      <c r="N648" s="2"/>
      <c r="O648" s="2" t="s">
        <v>27</v>
      </c>
      <c r="P648" s="2" t="s">
        <v>26</v>
      </c>
    </row>
    <row r="649" spans="1:16" ht="20.100000000000001" customHeight="1" x14ac:dyDescent="0.25">
      <c r="A649" s="26" t="str">
        <f>CONCATENATE(LEFT(ConsumoConcreto[[#This Row],[RecebimentoID]],4),"CNSC",TEXT(ConsumoConcreto[[#This Row],[Ordem]],"0000"),UPPER(LEFT(ConsumoConcreto[[#This Row],[Destino]],3)))</f>
        <v>0184CNSC0773PAR</v>
      </c>
      <c r="B649" s="1">
        <v>773</v>
      </c>
      <c r="C649" s="2" t="s">
        <v>2689</v>
      </c>
      <c r="D649" s="2" t="s">
        <v>2016</v>
      </c>
      <c r="E649" s="18">
        <v>15</v>
      </c>
      <c r="F649" s="2" t="s">
        <v>25</v>
      </c>
      <c r="G649" s="36">
        <v>0.78680555555555554</v>
      </c>
      <c r="H649" s="2" t="s">
        <v>1965</v>
      </c>
      <c r="I6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49" s="22">
        <v>14.5</v>
      </c>
      <c r="K649" s="22">
        <v>14.5</v>
      </c>
      <c r="L649" s="37">
        <v>36892</v>
      </c>
      <c r="M649" s="2"/>
      <c r="N649" s="2" t="s">
        <v>2017</v>
      </c>
      <c r="O649" s="2" t="s">
        <v>27</v>
      </c>
      <c r="P649" s="2" t="s">
        <v>26</v>
      </c>
    </row>
    <row r="650" spans="1:16" ht="20.100000000000001" customHeight="1" x14ac:dyDescent="0.25">
      <c r="A650" s="26" t="str">
        <f>CONCATENATE(LEFT(ConsumoConcreto[[#This Row],[RecebimentoID]],4),"CNSC",TEXT(ConsumoConcreto[[#This Row],[Ordem]],"0000"),UPPER(LEFT(ConsumoConcreto[[#This Row],[Destino]],3)))</f>
        <v>0184CNSC0757RAD</v>
      </c>
      <c r="B650" s="1">
        <v>757</v>
      </c>
      <c r="C650" s="2" t="s">
        <v>2690</v>
      </c>
      <c r="D650" s="2" t="s">
        <v>2016</v>
      </c>
      <c r="E650" s="18">
        <v>15</v>
      </c>
      <c r="F650" s="2" t="s">
        <v>1801</v>
      </c>
      <c r="G650" s="36">
        <v>0.54652777777777783</v>
      </c>
      <c r="H650" s="2" t="s">
        <v>1968</v>
      </c>
      <c r="I6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50" s="22">
        <v>5.5</v>
      </c>
      <c r="K650" s="22">
        <v>5.5</v>
      </c>
      <c r="L650" s="37">
        <v>36892</v>
      </c>
      <c r="M650" s="2"/>
      <c r="N650" s="2" t="s">
        <v>2017</v>
      </c>
      <c r="O650" s="2" t="s">
        <v>27</v>
      </c>
      <c r="P650" s="2" t="s">
        <v>26</v>
      </c>
    </row>
    <row r="651" spans="1:16" ht="20.100000000000001" customHeight="1" x14ac:dyDescent="0.25">
      <c r="A651" s="26" t="str">
        <f>CONCATENATE(LEFT(ConsumoConcreto[[#This Row],[RecebimentoID]],4),"CNSC",TEXT(ConsumoConcreto[[#This Row],[Ordem]],"0000"),UPPER(LEFT(ConsumoConcreto[[#This Row],[Destino]],3)))</f>
        <v>0184CNSC0851PAR</v>
      </c>
      <c r="B651" s="1">
        <v>851</v>
      </c>
      <c r="C651" s="2" t="s">
        <v>2691</v>
      </c>
      <c r="D651" s="2" t="s">
        <v>2024</v>
      </c>
      <c r="E651" s="18">
        <v>15</v>
      </c>
      <c r="F651" s="2" t="s">
        <v>25</v>
      </c>
      <c r="G651" s="36">
        <v>0.73541666666666661</v>
      </c>
      <c r="H651" s="2" t="s">
        <v>1965</v>
      </c>
      <c r="I6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51" s="22">
        <v>14.5</v>
      </c>
      <c r="K651" s="22">
        <v>14.5</v>
      </c>
      <c r="L651" s="37">
        <v>36892</v>
      </c>
      <c r="M651" s="2"/>
      <c r="N651" s="2" t="s">
        <v>1966</v>
      </c>
      <c r="O651" s="2" t="s">
        <v>27</v>
      </c>
      <c r="P651" s="2" t="s">
        <v>26</v>
      </c>
    </row>
    <row r="652" spans="1:16" ht="20.100000000000001" customHeight="1" x14ac:dyDescent="0.25">
      <c r="A652" s="26" t="str">
        <f>CONCATENATE(LEFT(ConsumoConcreto[[#This Row],[RecebimentoID]],4),"CNSC",TEXT(ConsumoConcreto[[#This Row],[Ordem]],"0000"),UPPER(LEFT(ConsumoConcreto[[#This Row],[Destino]],3)))</f>
        <v>0184CNSC0814RAD</v>
      </c>
      <c r="B652" s="1">
        <v>814</v>
      </c>
      <c r="C652" s="2" t="s">
        <v>2692</v>
      </c>
      <c r="D652" s="2" t="s">
        <v>2024</v>
      </c>
      <c r="E652" s="18">
        <v>15</v>
      </c>
      <c r="F652" s="2" t="s">
        <v>1801</v>
      </c>
      <c r="G652" s="36">
        <v>0.59027777777777779</v>
      </c>
      <c r="H652" s="2" t="s">
        <v>1968</v>
      </c>
      <c r="I6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52" s="22">
        <v>5</v>
      </c>
      <c r="K652" s="22">
        <v>5</v>
      </c>
      <c r="L652" s="37">
        <v>36892</v>
      </c>
      <c r="M652" s="2"/>
      <c r="N652" s="2" t="s">
        <v>1966</v>
      </c>
      <c r="O652" s="2" t="s">
        <v>27</v>
      </c>
      <c r="P652" s="2" t="s">
        <v>26</v>
      </c>
    </row>
    <row r="653" spans="1:16" ht="20.100000000000001" customHeight="1" x14ac:dyDescent="0.25">
      <c r="A653" s="26" t="str">
        <f>CONCATENATE(LEFT(ConsumoConcreto[[#This Row],[RecebimentoID]],4),"CNSC",TEXT(ConsumoConcreto[[#This Row],[Ordem]],"0000"),UPPER(LEFT(ConsumoConcreto[[#This Row],[Destino]],3)))</f>
        <v>0184CNSC0895PAR</v>
      </c>
      <c r="B653" s="1">
        <v>895</v>
      </c>
      <c r="C653" s="2" t="s">
        <v>2693</v>
      </c>
      <c r="D653" s="2" t="s">
        <v>2027</v>
      </c>
      <c r="E653" s="18">
        <v>15</v>
      </c>
      <c r="F653" s="2" t="s">
        <v>25</v>
      </c>
      <c r="G653" s="36">
        <v>0.69861111111111107</v>
      </c>
      <c r="H653" s="2" t="s">
        <v>1965</v>
      </c>
      <c r="I6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53" s="22">
        <v>14.5</v>
      </c>
      <c r="K653" s="22">
        <v>14.5</v>
      </c>
      <c r="L653" s="37">
        <v>36892</v>
      </c>
      <c r="M653" s="2"/>
      <c r="N653" s="2" t="s">
        <v>1966</v>
      </c>
      <c r="O653" s="2" t="s">
        <v>27</v>
      </c>
      <c r="P653" s="2" t="s">
        <v>26</v>
      </c>
    </row>
    <row r="654" spans="1:16" ht="20.100000000000001" customHeight="1" x14ac:dyDescent="0.25">
      <c r="A654" s="26" t="str">
        <f>CONCATENATE(LEFT(ConsumoConcreto[[#This Row],[RecebimentoID]],4),"CNSC",TEXT(ConsumoConcreto[[#This Row],[Ordem]],"0000"),UPPER(LEFT(ConsumoConcreto[[#This Row],[Destino]],3)))</f>
        <v>0184CNSC0876RAD</v>
      </c>
      <c r="B654" s="1">
        <v>876</v>
      </c>
      <c r="C654" s="2" t="s">
        <v>2694</v>
      </c>
      <c r="D654" s="2" t="s">
        <v>2027</v>
      </c>
      <c r="E654" s="18">
        <v>15</v>
      </c>
      <c r="F654" s="2" t="s">
        <v>1801</v>
      </c>
      <c r="G654" s="36">
        <v>0.39930555555555558</v>
      </c>
      <c r="H654" s="2" t="s">
        <v>1968</v>
      </c>
      <c r="I6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54" s="22">
        <v>5.5</v>
      </c>
      <c r="K654" s="22">
        <v>5.5</v>
      </c>
      <c r="L654" s="37">
        <v>36892</v>
      </c>
      <c r="M654" s="2"/>
      <c r="N654" s="2" t="s">
        <v>1963</v>
      </c>
      <c r="O654" s="2" t="s">
        <v>27</v>
      </c>
      <c r="P654" s="2" t="s">
        <v>26</v>
      </c>
    </row>
    <row r="655" spans="1:16" ht="20.100000000000001" customHeight="1" x14ac:dyDescent="0.25">
      <c r="A655" s="26" t="str">
        <f>CONCATENATE(LEFT(ConsumoConcreto[[#This Row],[RecebimentoID]],4),"CNSC",TEXT(ConsumoConcreto[[#This Row],[Ordem]],"0000"),UPPER(LEFT(ConsumoConcreto[[#This Row],[Destino]],3)))</f>
        <v>0184CNSC0930PAR</v>
      </c>
      <c r="B655" s="1">
        <v>930</v>
      </c>
      <c r="C655" s="2" t="s">
        <v>2695</v>
      </c>
      <c r="D655" s="2" t="s">
        <v>2030</v>
      </c>
      <c r="E655" s="18">
        <v>15</v>
      </c>
      <c r="F655" s="2" t="s">
        <v>25</v>
      </c>
      <c r="G655" s="36">
        <v>0.79861111111111116</v>
      </c>
      <c r="H655" s="2" t="s">
        <v>1965</v>
      </c>
      <c r="I6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55" s="22">
        <v>14.5</v>
      </c>
      <c r="K655" s="22">
        <v>14.5</v>
      </c>
      <c r="L655" s="37">
        <v>36892</v>
      </c>
      <c r="M655" s="2"/>
      <c r="N655" s="2" t="s">
        <v>1966</v>
      </c>
      <c r="O655" s="2" t="s">
        <v>27</v>
      </c>
      <c r="P655" s="2" t="s">
        <v>26</v>
      </c>
    </row>
    <row r="656" spans="1:16" ht="20.100000000000001" customHeight="1" x14ac:dyDescent="0.25">
      <c r="A656" s="26" t="str">
        <f>CONCATENATE(LEFT(ConsumoConcreto[[#This Row],[RecebimentoID]],4),"CNSC",TEXT(ConsumoConcreto[[#This Row],[Ordem]],"0000"),UPPER(LEFT(ConsumoConcreto[[#This Row],[Destino]],3)))</f>
        <v>0184CNSC0923RAD</v>
      </c>
      <c r="B656" s="1">
        <v>923</v>
      </c>
      <c r="C656" s="2" t="s">
        <v>2696</v>
      </c>
      <c r="D656" s="2" t="s">
        <v>2030</v>
      </c>
      <c r="E656" s="18">
        <v>15</v>
      </c>
      <c r="F656" s="2" t="s">
        <v>1801</v>
      </c>
      <c r="G656" s="36">
        <v>0.46180555555555558</v>
      </c>
      <c r="H656" s="2" t="s">
        <v>1968</v>
      </c>
      <c r="I6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56" s="22">
        <v>5.5</v>
      </c>
      <c r="K656" s="22">
        <v>5.5</v>
      </c>
      <c r="L656" s="37">
        <v>36892</v>
      </c>
      <c r="M656" s="2"/>
      <c r="N656" s="2" t="s">
        <v>1963</v>
      </c>
      <c r="O656" s="2" t="s">
        <v>27</v>
      </c>
      <c r="P656" s="2" t="s">
        <v>26</v>
      </c>
    </row>
    <row r="657" spans="1:16" ht="20.100000000000001" customHeight="1" x14ac:dyDescent="0.25">
      <c r="A657" s="26" t="str">
        <f>CONCATENATE(LEFT(ConsumoConcreto[[#This Row],[RecebimentoID]],4),"CNSC",TEXT(ConsumoConcreto[[#This Row],[Ordem]],"0000"),UPPER(LEFT(ConsumoConcreto[[#This Row],[Destino]],3)))</f>
        <v>0184CNSC0968PAR</v>
      </c>
      <c r="B657" s="1">
        <v>968</v>
      </c>
      <c r="C657" s="2" t="s">
        <v>2697</v>
      </c>
      <c r="D657" s="2" t="s">
        <v>2033</v>
      </c>
      <c r="E657" s="18">
        <v>15</v>
      </c>
      <c r="F657" s="2" t="s">
        <v>25</v>
      </c>
      <c r="G657" s="36">
        <v>0.63472222222222219</v>
      </c>
      <c r="H657" s="2" t="s">
        <v>1965</v>
      </c>
      <c r="I6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57" s="22">
        <v>14.5</v>
      </c>
      <c r="K657" s="22">
        <v>14.5</v>
      </c>
      <c r="L657" s="37">
        <v>36892</v>
      </c>
      <c r="M657" s="2"/>
      <c r="N657" s="2" t="s">
        <v>1966</v>
      </c>
      <c r="O657" s="2" t="s">
        <v>27</v>
      </c>
      <c r="P657" s="2" t="s">
        <v>26</v>
      </c>
    </row>
    <row r="658" spans="1:16" ht="20.100000000000001" customHeight="1" x14ac:dyDescent="0.25">
      <c r="A658" s="26" t="str">
        <f>CONCATENATE(LEFT(ConsumoConcreto[[#This Row],[RecebimentoID]],4),"CNSC",TEXT(ConsumoConcreto[[#This Row],[Ordem]],"0000"),UPPER(LEFT(ConsumoConcreto[[#This Row],[Destino]],3)))</f>
        <v>0184CNSC0939RAD</v>
      </c>
      <c r="B658" s="1">
        <v>939</v>
      </c>
      <c r="C658" s="2" t="s">
        <v>2698</v>
      </c>
      <c r="D658" s="2" t="s">
        <v>2033</v>
      </c>
      <c r="E658" s="18">
        <v>15</v>
      </c>
      <c r="F658" s="2" t="s">
        <v>1801</v>
      </c>
      <c r="G658" s="36">
        <v>0.6875</v>
      </c>
      <c r="H658" s="2" t="s">
        <v>1968</v>
      </c>
      <c r="I6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58" s="22">
        <v>5.5</v>
      </c>
      <c r="K658" s="22">
        <v>5.5</v>
      </c>
      <c r="L658" s="37">
        <v>36892</v>
      </c>
      <c r="M658" s="2"/>
      <c r="N658" s="2" t="s">
        <v>1966</v>
      </c>
      <c r="O658" s="2" t="s">
        <v>27</v>
      </c>
      <c r="P658" s="2" t="s">
        <v>26</v>
      </c>
    </row>
    <row r="659" spans="1:16" ht="20.100000000000001" customHeight="1" x14ac:dyDescent="0.25">
      <c r="A659" s="26" t="str">
        <f>CONCATENATE(LEFT(ConsumoConcreto[[#This Row],[RecebimentoID]],4),"CNSC",TEXT(ConsumoConcreto[[#This Row],[Ordem]],"0000"),UPPER(LEFT(ConsumoConcreto[[#This Row],[Destino]],3)))</f>
        <v>0184CNSC1065PAR</v>
      </c>
      <c r="B659" s="1">
        <v>1065</v>
      </c>
      <c r="C659" s="2" t="s">
        <v>2699</v>
      </c>
      <c r="D659" s="2" t="s">
        <v>2036</v>
      </c>
      <c r="E659" s="18">
        <v>15</v>
      </c>
      <c r="F659" s="2" t="s">
        <v>25</v>
      </c>
      <c r="G659" s="36">
        <v>0.66666666666666663</v>
      </c>
      <c r="H659" s="2" t="s">
        <v>1965</v>
      </c>
      <c r="I6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59" s="22">
        <v>14.5</v>
      </c>
      <c r="K659" s="22">
        <v>14.5</v>
      </c>
      <c r="L659" s="37">
        <v>36892</v>
      </c>
      <c r="M659" s="2"/>
      <c r="N659" s="2" t="s">
        <v>1966</v>
      </c>
      <c r="O659" s="2" t="s">
        <v>27</v>
      </c>
      <c r="P659" s="2" t="s">
        <v>26</v>
      </c>
    </row>
    <row r="660" spans="1:16" ht="20.100000000000001" customHeight="1" x14ac:dyDescent="0.25">
      <c r="A660" s="26" t="str">
        <f>CONCATENATE(LEFT(ConsumoConcreto[[#This Row],[RecebimentoID]],4),"CNSC",TEXT(ConsumoConcreto[[#This Row],[Ordem]],"0000"),UPPER(LEFT(ConsumoConcreto[[#This Row],[Destino]],3)))</f>
        <v>0184CNSC1042RAD</v>
      </c>
      <c r="B660" s="1">
        <v>1042</v>
      </c>
      <c r="C660" s="2" t="s">
        <v>2700</v>
      </c>
      <c r="D660" s="2" t="s">
        <v>2036</v>
      </c>
      <c r="E660" s="18">
        <v>15</v>
      </c>
      <c r="F660" s="2" t="s">
        <v>1801</v>
      </c>
      <c r="G660" s="36">
        <v>0.38541666666666669</v>
      </c>
      <c r="H660" s="2" t="s">
        <v>1968</v>
      </c>
      <c r="I6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60" s="22">
        <v>5.5</v>
      </c>
      <c r="K660" s="22">
        <v>5.5</v>
      </c>
      <c r="L660" s="37">
        <v>36892</v>
      </c>
      <c r="M660" s="2"/>
      <c r="N660" s="2" t="s">
        <v>1963</v>
      </c>
      <c r="O660" s="2" t="s">
        <v>27</v>
      </c>
      <c r="P660" s="2" t="s">
        <v>26</v>
      </c>
    </row>
    <row r="661" spans="1:16" ht="20.100000000000001" customHeight="1" x14ac:dyDescent="0.25">
      <c r="A661" s="26" t="str">
        <f>CONCATENATE(LEFT(ConsumoConcreto[[#This Row],[RecebimentoID]],4),"CNSC",TEXT(ConsumoConcreto[[#This Row],[Ordem]],"0000"),UPPER(LEFT(ConsumoConcreto[[#This Row],[Destino]],3)))</f>
        <v>0184CNSC0065PAR</v>
      </c>
      <c r="B661" s="1">
        <v>65</v>
      </c>
      <c r="C661" s="2" t="s">
        <v>2701</v>
      </c>
      <c r="D661" s="2" t="s">
        <v>1970</v>
      </c>
      <c r="E661" s="18">
        <v>16</v>
      </c>
      <c r="F661" s="2" t="s">
        <v>25</v>
      </c>
      <c r="G661" s="36"/>
      <c r="H661" s="2" t="s">
        <v>1965</v>
      </c>
      <c r="I6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61" s="22">
        <v>15</v>
      </c>
      <c r="K661" s="22">
        <v>14</v>
      </c>
      <c r="L661" s="37">
        <v>36892</v>
      </c>
      <c r="M661" s="2" t="s">
        <v>1971</v>
      </c>
      <c r="N661" s="2" t="s">
        <v>1966</v>
      </c>
      <c r="O661" s="2" t="s">
        <v>27</v>
      </c>
      <c r="P661" s="2" t="s">
        <v>26</v>
      </c>
    </row>
    <row r="662" spans="1:16" ht="20.100000000000001" customHeight="1" x14ac:dyDescent="0.25">
      <c r="A662" s="26" t="str">
        <f>CONCATENATE(LEFT(ConsumoConcreto[[#This Row],[RecebimentoID]],4),"CNSC",TEXT(ConsumoConcreto[[#This Row],[Ordem]],"0000"),UPPER(LEFT(ConsumoConcreto[[#This Row],[Destino]],3)))</f>
        <v>0184CNSC0084PIL</v>
      </c>
      <c r="B662" s="1">
        <v>84</v>
      </c>
      <c r="C662" s="2" t="s">
        <v>2702</v>
      </c>
      <c r="D662" s="2" t="s">
        <v>1970</v>
      </c>
      <c r="E662" s="18">
        <v>16</v>
      </c>
      <c r="F662" s="2" t="s">
        <v>25</v>
      </c>
      <c r="G662" s="36"/>
      <c r="H662" s="2" t="s">
        <v>1962</v>
      </c>
      <c r="I6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62" s="22">
        <v>0.1</v>
      </c>
      <c r="K662" s="22">
        <v>0.1</v>
      </c>
      <c r="L662" s="37">
        <v>36892</v>
      </c>
      <c r="M662" s="2"/>
      <c r="N662" s="2" t="s">
        <v>1963</v>
      </c>
      <c r="O662" s="2" t="s">
        <v>27</v>
      </c>
      <c r="P662" s="2" t="s">
        <v>26</v>
      </c>
    </row>
    <row r="663" spans="1:16" ht="20.100000000000001" customHeight="1" x14ac:dyDescent="0.25">
      <c r="A663" s="26" t="str">
        <f>CONCATENATE(LEFT(ConsumoConcreto[[#This Row],[RecebimentoID]],4),"CNSC",TEXT(ConsumoConcreto[[#This Row],[Ordem]],"0000"),UPPER(LEFT(ConsumoConcreto[[#This Row],[Destino]],3)))</f>
        <v>0184CNSC0042RAD</v>
      </c>
      <c r="B663" s="1">
        <v>42</v>
      </c>
      <c r="C663" s="2" t="s">
        <v>2703</v>
      </c>
      <c r="D663" s="2" t="s">
        <v>1970</v>
      </c>
      <c r="E663" s="18">
        <v>16</v>
      </c>
      <c r="F663" s="2" t="s">
        <v>1801</v>
      </c>
      <c r="G663" s="36"/>
      <c r="H663" s="2" t="s">
        <v>1968</v>
      </c>
      <c r="I6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63" s="22">
        <v>5.5</v>
      </c>
      <c r="K663" s="22">
        <v>5.5</v>
      </c>
      <c r="L663" s="37">
        <v>36892</v>
      </c>
      <c r="M663" s="2"/>
      <c r="N663" s="2"/>
      <c r="O663" s="2" t="s">
        <v>27</v>
      </c>
      <c r="P663" s="2" t="s">
        <v>26</v>
      </c>
    </row>
    <row r="664" spans="1:16" ht="20.100000000000001" customHeight="1" x14ac:dyDescent="0.25">
      <c r="A664" s="26" t="str">
        <f>CONCATENATE(LEFT(ConsumoConcreto[[#This Row],[RecebimentoID]],4),"CNSC",TEXT(ConsumoConcreto[[#This Row],[Ordem]],"0000"),UPPER(LEFT(ConsumoConcreto[[#This Row],[Destino]],3)))</f>
        <v>0184CNSC0138PAR</v>
      </c>
      <c r="B664" s="1">
        <v>138</v>
      </c>
      <c r="C664" s="2" t="s">
        <v>2704</v>
      </c>
      <c r="D664" s="2" t="s">
        <v>1975</v>
      </c>
      <c r="E664" s="18">
        <v>16</v>
      </c>
      <c r="F664" s="2" t="s">
        <v>25</v>
      </c>
      <c r="G664" s="36"/>
      <c r="H664" s="2" t="s">
        <v>1965</v>
      </c>
      <c r="I6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64" s="22">
        <v>14.5</v>
      </c>
      <c r="K664" s="22">
        <v>14</v>
      </c>
      <c r="L664" s="37">
        <v>36892</v>
      </c>
      <c r="M664" s="2"/>
      <c r="N664" s="2" t="s">
        <v>1966</v>
      </c>
      <c r="O664" s="2" t="s">
        <v>27</v>
      </c>
      <c r="P664" s="2" t="s">
        <v>26</v>
      </c>
    </row>
    <row r="665" spans="1:16" ht="20.100000000000001" customHeight="1" x14ac:dyDescent="0.25">
      <c r="A665" s="26" t="str">
        <f>CONCATENATE(LEFT(ConsumoConcreto[[#This Row],[RecebimentoID]],4),"CNSC",TEXT(ConsumoConcreto[[#This Row],[Ordem]],"0000"),UPPER(LEFT(ConsumoConcreto[[#This Row],[Destino]],3)))</f>
        <v>0184CNSC0170PIL</v>
      </c>
      <c r="B665" s="1">
        <v>170</v>
      </c>
      <c r="C665" s="2" t="s">
        <v>2705</v>
      </c>
      <c r="D665" s="2" t="s">
        <v>1975</v>
      </c>
      <c r="E665" s="18">
        <v>16</v>
      </c>
      <c r="F665" s="2" t="s">
        <v>25</v>
      </c>
      <c r="G665" s="36"/>
      <c r="H665" s="2" t="s">
        <v>1962</v>
      </c>
      <c r="I6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65" s="22">
        <v>0.1</v>
      </c>
      <c r="K665" s="22">
        <v>0.1</v>
      </c>
      <c r="L665" s="37">
        <v>36892</v>
      </c>
      <c r="M665" s="2"/>
      <c r="N665" s="2" t="s">
        <v>1963</v>
      </c>
      <c r="O665" s="2" t="s">
        <v>27</v>
      </c>
      <c r="P665" s="2" t="s">
        <v>26</v>
      </c>
    </row>
    <row r="666" spans="1:16" ht="20.100000000000001" customHeight="1" x14ac:dyDescent="0.25">
      <c r="A666" s="26" t="str">
        <f>CONCATENATE(LEFT(ConsumoConcreto[[#This Row],[RecebimentoID]],4),"CNSC",TEXT(ConsumoConcreto[[#This Row],[Ordem]],"0000"),UPPER(LEFT(ConsumoConcreto[[#This Row],[Destino]],3)))</f>
        <v>0184CNSC0101RAD</v>
      </c>
      <c r="B666" s="1">
        <v>101</v>
      </c>
      <c r="C666" s="2" t="s">
        <v>2706</v>
      </c>
      <c r="D666" s="2" t="s">
        <v>1975</v>
      </c>
      <c r="E666" s="18">
        <v>16</v>
      </c>
      <c r="F666" s="2" t="s">
        <v>1801</v>
      </c>
      <c r="G666" s="36"/>
      <c r="H666" s="2" t="s">
        <v>1968</v>
      </c>
      <c r="I6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66" s="22">
        <v>5.5</v>
      </c>
      <c r="K666" s="22">
        <v>5.5</v>
      </c>
      <c r="L666" s="37">
        <v>36892</v>
      </c>
      <c r="M666" s="2"/>
      <c r="N666" s="2" t="s">
        <v>1966</v>
      </c>
      <c r="O666" s="2" t="s">
        <v>27</v>
      </c>
      <c r="P666" s="2" t="s">
        <v>26</v>
      </c>
    </row>
    <row r="667" spans="1:16" ht="20.100000000000001" customHeight="1" x14ac:dyDescent="0.25">
      <c r="A667" s="26" t="str">
        <f>CONCATENATE(LEFT(ConsumoConcreto[[#This Row],[RecebimentoID]],4),"CNSC",TEXT(ConsumoConcreto[[#This Row],[Ordem]],"0000"),UPPER(LEFT(ConsumoConcreto[[#This Row],[Destino]],3)))</f>
        <v>0184CNSC0220PAR</v>
      </c>
      <c r="B667" s="1">
        <v>220</v>
      </c>
      <c r="C667" s="2" t="s">
        <v>2707</v>
      </c>
      <c r="D667" s="2" t="s">
        <v>1979</v>
      </c>
      <c r="E667" s="18">
        <v>16</v>
      </c>
      <c r="F667" s="2" t="s">
        <v>25</v>
      </c>
      <c r="G667" s="36">
        <v>0.73263888888888884</v>
      </c>
      <c r="H667" s="2" t="s">
        <v>1965</v>
      </c>
      <c r="I6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67" s="22">
        <v>15</v>
      </c>
      <c r="K667" s="22">
        <v>15</v>
      </c>
      <c r="L667" s="37">
        <v>36892</v>
      </c>
      <c r="M667" s="2"/>
      <c r="N667" s="2" t="s">
        <v>1966</v>
      </c>
      <c r="O667" s="2" t="s">
        <v>27</v>
      </c>
      <c r="P667" s="2" t="s">
        <v>26</v>
      </c>
    </row>
    <row r="668" spans="1:16" ht="20.100000000000001" customHeight="1" x14ac:dyDescent="0.25">
      <c r="A668" s="26" t="str">
        <f>CONCATENATE(LEFT(ConsumoConcreto[[#This Row],[RecebimentoID]],4),"CNSC",TEXT(ConsumoConcreto[[#This Row],[Ordem]],"0000"),UPPER(LEFT(ConsumoConcreto[[#This Row],[Destino]],3)))</f>
        <v>0184CNSC0194RAD</v>
      </c>
      <c r="B668" s="1">
        <v>194</v>
      </c>
      <c r="C668" s="2" t="s">
        <v>2708</v>
      </c>
      <c r="D668" s="2" t="s">
        <v>1979</v>
      </c>
      <c r="E668" s="18">
        <v>16</v>
      </c>
      <c r="F668" s="2" t="s">
        <v>1801</v>
      </c>
      <c r="G668" s="36"/>
      <c r="H668" s="2" t="s">
        <v>1968</v>
      </c>
      <c r="I6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68" s="22">
        <v>6</v>
      </c>
      <c r="K668" s="22">
        <v>5.5</v>
      </c>
      <c r="L668" s="37">
        <v>36892</v>
      </c>
      <c r="M668" s="2" t="s">
        <v>2252</v>
      </c>
      <c r="N668" s="2" t="s">
        <v>1966</v>
      </c>
      <c r="O668" s="2" t="s">
        <v>27</v>
      </c>
      <c r="P668" s="2" t="s">
        <v>26</v>
      </c>
    </row>
    <row r="669" spans="1:16" ht="20.100000000000001" customHeight="1" x14ac:dyDescent="0.25">
      <c r="A669" s="26" t="str">
        <f>CONCATENATE(LEFT(ConsumoConcreto[[#This Row],[RecebimentoID]],4),"CNSC",TEXT(ConsumoConcreto[[#This Row],[Ordem]],"0000"),UPPER(LEFT(ConsumoConcreto[[#This Row],[Destino]],3)))</f>
        <v>0184CNSC0288PAR</v>
      </c>
      <c r="B669" s="1">
        <v>288</v>
      </c>
      <c r="C669" s="2" t="s">
        <v>2709</v>
      </c>
      <c r="D669" s="2" t="s">
        <v>1985</v>
      </c>
      <c r="E669" s="18">
        <v>16</v>
      </c>
      <c r="F669" s="2" t="s">
        <v>25</v>
      </c>
      <c r="G669" s="36">
        <v>0.4548611111111111</v>
      </c>
      <c r="H669" s="2" t="s">
        <v>1965</v>
      </c>
      <c r="I6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69" s="22">
        <v>18.5</v>
      </c>
      <c r="K669" s="22">
        <v>18.5</v>
      </c>
      <c r="L669" s="37">
        <v>36892</v>
      </c>
      <c r="M669" s="2"/>
      <c r="N669" s="2" t="s">
        <v>2017</v>
      </c>
      <c r="O669" s="2" t="s">
        <v>27</v>
      </c>
      <c r="P669" s="2" t="s">
        <v>26</v>
      </c>
    </row>
    <row r="670" spans="1:16" ht="20.100000000000001" customHeight="1" x14ac:dyDescent="0.25">
      <c r="A670" s="26" t="str">
        <f>CONCATENATE(LEFT(ConsumoConcreto[[#This Row],[RecebimentoID]],4),"CNSC",TEXT(ConsumoConcreto[[#This Row],[Ordem]],"0000"),UPPER(LEFT(ConsumoConcreto[[#This Row],[Destino]],3)))</f>
        <v>0184CNSC0261RAD</v>
      </c>
      <c r="B670" s="1">
        <v>261</v>
      </c>
      <c r="C670" s="2" t="s">
        <v>2710</v>
      </c>
      <c r="D670" s="2" t="s">
        <v>1985</v>
      </c>
      <c r="E670" s="18">
        <v>16</v>
      </c>
      <c r="F670" s="2" t="s">
        <v>1801</v>
      </c>
      <c r="G670" s="36">
        <v>0.70833333333333337</v>
      </c>
      <c r="H670" s="2" t="s">
        <v>1968</v>
      </c>
      <c r="I6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70" s="22">
        <v>7</v>
      </c>
      <c r="K670" s="22">
        <v>7</v>
      </c>
      <c r="L670" s="37">
        <v>36892</v>
      </c>
      <c r="M670" s="2"/>
      <c r="N670" s="2" t="s">
        <v>1963</v>
      </c>
      <c r="O670" s="2" t="s">
        <v>27</v>
      </c>
      <c r="P670" s="2" t="s">
        <v>26</v>
      </c>
    </row>
    <row r="671" spans="1:16" ht="20.100000000000001" customHeight="1" x14ac:dyDescent="0.25">
      <c r="A671" s="26" t="str">
        <f>CONCATENATE(LEFT(ConsumoConcreto[[#This Row],[RecebimentoID]],4),"CNSC",TEXT(ConsumoConcreto[[#This Row],[Ordem]],"0000"),UPPER(LEFT(ConsumoConcreto[[#This Row],[Destino]],3)))</f>
        <v>0184CNSC0304PIL</v>
      </c>
      <c r="B671" s="1">
        <v>304</v>
      </c>
      <c r="C671" s="2" t="s">
        <v>2711</v>
      </c>
      <c r="D671" s="2" t="s">
        <v>1985</v>
      </c>
      <c r="E671" s="18">
        <v>16</v>
      </c>
      <c r="F671" s="2" t="s">
        <v>1801</v>
      </c>
      <c r="G671" s="36"/>
      <c r="H671" s="2" t="s">
        <v>1962</v>
      </c>
      <c r="I6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71" s="22">
        <v>0.1</v>
      </c>
      <c r="K671" s="22">
        <v>0.1</v>
      </c>
      <c r="L671" s="37">
        <v>36892</v>
      </c>
      <c r="M671" s="2"/>
      <c r="N671" s="2" t="s">
        <v>1963</v>
      </c>
      <c r="O671" s="2" t="s">
        <v>27</v>
      </c>
      <c r="P671" s="2" t="s">
        <v>26</v>
      </c>
    </row>
    <row r="672" spans="1:16" ht="20.100000000000001" customHeight="1" x14ac:dyDescent="0.25">
      <c r="A672" s="26" t="str">
        <f>CONCATENATE(LEFT(ConsumoConcreto[[#This Row],[RecebimentoID]],4),"CNSC",TEXT(ConsumoConcreto[[#This Row],[Ordem]],"0000"),UPPER(LEFT(ConsumoConcreto[[#This Row],[Destino]],3)))</f>
        <v>0184CNSC0409PIL</v>
      </c>
      <c r="B672" s="1">
        <v>409</v>
      </c>
      <c r="C672" s="2" t="s">
        <v>2712</v>
      </c>
      <c r="D672" s="2" t="s">
        <v>1995</v>
      </c>
      <c r="E672" s="18">
        <v>16</v>
      </c>
      <c r="F672" s="2" t="s">
        <v>25</v>
      </c>
      <c r="G672" s="36"/>
      <c r="H672" s="2" t="s">
        <v>1962</v>
      </c>
      <c r="I6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72" s="22">
        <v>0.1</v>
      </c>
      <c r="K672" s="22">
        <v>0.1</v>
      </c>
      <c r="L672" s="37">
        <v>36892</v>
      </c>
      <c r="M672" s="2"/>
      <c r="N672" s="2" t="s">
        <v>1963</v>
      </c>
      <c r="O672" s="2" t="s">
        <v>27</v>
      </c>
      <c r="P672" s="2" t="s">
        <v>26</v>
      </c>
    </row>
    <row r="673" spans="1:16" ht="20.100000000000001" customHeight="1" x14ac:dyDescent="0.25">
      <c r="A673" s="26" t="str">
        <f>CONCATENATE(LEFT(ConsumoConcreto[[#This Row],[RecebimentoID]],4),"CNSC",TEXT(ConsumoConcreto[[#This Row],[Ordem]],"0000"),UPPER(LEFT(ConsumoConcreto[[#This Row],[Destino]],3)))</f>
        <v>0184CNSC0395PAR</v>
      </c>
      <c r="B673" s="1">
        <v>395</v>
      </c>
      <c r="C673" s="2" t="s">
        <v>2713</v>
      </c>
      <c r="D673" s="2" t="s">
        <v>1995</v>
      </c>
      <c r="E673" s="18">
        <v>16</v>
      </c>
      <c r="F673" s="2" t="s">
        <v>25</v>
      </c>
      <c r="G673" s="36">
        <v>0.84722222222222221</v>
      </c>
      <c r="H673" s="2" t="s">
        <v>1965</v>
      </c>
      <c r="I6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73" s="22">
        <v>18.5</v>
      </c>
      <c r="K673" s="22">
        <v>18.5</v>
      </c>
      <c r="L673" s="37">
        <v>36892</v>
      </c>
      <c r="M673" s="2"/>
      <c r="N673" s="2" t="s">
        <v>1966</v>
      </c>
      <c r="O673" s="2" t="s">
        <v>27</v>
      </c>
      <c r="P673" s="2" t="s">
        <v>26</v>
      </c>
    </row>
    <row r="674" spans="1:16" ht="20.100000000000001" customHeight="1" x14ac:dyDescent="0.25">
      <c r="A674" s="26" t="str">
        <f>CONCATENATE(LEFT(ConsumoConcreto[[#This Row],[RecebimentoID]],4),"CNSC",TEXT(ConsumoConcreto[[#This Row],[Ordem]],"0000"),UPPER(LEFT(ConsumoConcreto[[#This Row],[Destino]],3)))</f>
        <v>0184CNSC0370RAD</v>
      </c>
      <c r="B674" s="1">
        <v>370</v>
      </c>
      <c r="C674" s="2" t="s">
        <v>2714</v>
      </c>
      <c r="D674" s="2" t="s">
        <v>1995</v>
      </c>
      <c r="E674" s="18">
        <v>16</v>
      </c>
      <c r="F674" s="2" t="s">
        <v>1801</v>
      </c>
      <c r="G674" s="36">
        <v>0.50694444444444442</v>
      </c>
      <c r="H674" s="2" t="s">
        <v>1968</v>
      </c>
      <c r="I6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74" s="22">
        <v>7</v>
      </c>
      <c r="K674" s="22">
        <v>7</v>
      </c>
      <c r="L674" s="37">
        <v>36892</v>
      </c>
      <c r="M674" s="2"/>
      <c r="N674" s="2" t="s">
        <v>1963</v>
      </c>
      <c r="O674" s="2" t="s">
        <v>27</v>
      </c>
      <c r="P674" s="2" t="s">
        <v>26</v>
      </c>
    </row>
    <row r="675" spans="1:16" ht="20.100000000000001" customHeight="1" x14ac:dyDescent="0.25">
      <c r="A675" s="26" t="str">
        <f>CONCATENATE(LEFT(ConsumoConcreto[[#This Row],[RecebimentoID]],4),"CNSC",TEXT(ConsumoConcreto[[#This Row],[Ordem]],"0000"),UPPER(LEFT(ConsumoConcreto[[#This Row],[Destino]],3)))</f>
        <v>0184CNSC0507PAR</v>
      </c>
      <c r="B675" s="1">
        <v>507</v>
      </c>
      <c r="C675" s="2" t="s">
        <v>2715</v>
      </c>
      <c r="D675" s="2" t="s">
        <v>2005</v>
      </c>
      <c r="E675" s="18">
        <v>16</v>
      </c>
      <c r="F675" s="2" t="s">
        <v>25</v>
      </c>
      <c r="G675" s="36">
        <v>0.6791666666666667</v>
      </c>
      <c r="H675" s="2" t="s">
        <v>1965</v>
      </c>
      <c r="I6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75" s="22">
        <v>14.5</v>
      </c>
      <c r="K675" s="22">
        <v>14.5</v>
      </c>
      <c r="L675" s="37">
        <v>36892</v>
      </c>
      <c r="M675" s="2"/>
      <c r="N675" s="2" t="s">
        <v>1966</v>
      </c>
      <c r="O675" s="2" t="s">
        <v>27</v>
      </c>
      <c r="P675" s="2" t="s">
        <v>26</v>
      </c>
    </row>
    <row r="676" spans="1:16" ht="20.100000000000001" customHeight="1" x14ac:dyDescent="0.25">
      <c r="A676" s="26" t="str">
        <f>CONCATENATE(LEFT(ConsumoConcreto[[#This Row],[RecebimentoID]],4),"CNSC",TEXT(ConsumoConcreto[[#This Row],[Ordem]],"0000"),UPPER(LEFT(ConsumoConcreto[[#This Row],[Destino]],3)))</f>
        <v>0184CNSC0476RAD</v>
      </c>
      <c r="B676" s="1">
        <v>476</v>
      </c>
      <c r="C676" s="2" t="s">
        <v>2716</v>
      </c>
      <c r="D676" s="2" t="s">
        <v>2005</v>
      </c>
      <c r="E676" s="18">
        <v>16</v>
      </c>
      <c r="F676" s="2" t="s">
        <v>1801</v>
      </c>
      <c r="G676" s="36">
        <v>0.44444444444444442</v>
      </c>
      <c r="H676" s="2" t="s">
        <v>1968</v>
      </c>
      <c r="I6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76" s="22">
        <v>5.5</v>
      </c>
      <c r="K676" s="22">
        <v>5.5</v>
      </c>
      <c r="L676" s="37">
        <v>36892</v>
      </c>
      <c r="M676" s="2"/>
      <c r="N676" s="2" t="s">
        <v>1963</v>
      </c>
      <c r="O676" s="2" t="s">
        <v>27</v>
      </c>
      <c r="P676" s="2" t="s">
        <v>26</v>
      </c>
    </row>
    <row r="677" spans="1:16" ht="20.100000000000001" customHeight="1" x14ac:dyDescent="0.25">
      <c r="A677" s="26" t="str">
        <f>CONCATENATE(LEFT(ConsumoConcreto[[#This Row],[RecebimentoID]],4),"CNSC",TEXT(ConsumoConcreto[[#This Row],[Ordem]],"0000"),UPPER(LEFT(ConsumoConcreto[[#This Row],[Destino]],3)))</f>
        <v>0184CNSC0585PAR</v>
      </c>
      <c r="B677" s="1">
        <v>585</v>
      </c>
      <c r="C677" s="2" t="s">
        <v>2717</v>
      </c>
      <c r="D677" s="2" t="s">
        <v>2007</v>
      </c>
      <c r="E677" s="18">
        <v>16</v>
      </c>
      <c r="F677" s="2" t="s">
        <v>25</v>
      </c>
      <c r="G677" s="36">
        <v>0.77777777777777779</v>
      </c>
      <c r="H677" s="2" t="s">
        <v>1965</v>
      </c>
      <c r="I6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77" s="22">
        <v>14.5</v>
      </c>
      <c r="K677" s="22">
        <v>14.5</v>
      </c>
      <c r="L677" s="37">
        <v>36892</v>
      </c>
      <c r="M677" s="2"/>
      <c r="N677" s="2" t="s">
        <v>1966</v>
      </c>
      <c r="O677" s="2" t="s">
        <v>27</v>
      </c>
      <c r="P677" s="2" t="s">
        <v>26</v>
      </c>
    </row>
    <row r="678" spans="1:16" ht="20.100000000000001" customHeight="1" x14ac:dyDescent="0.25">
      <c r="A678" s="26" t="str">
        <f>CONCATENATE(LEFT(ConsumoConcreto[[#This Row],[RecebimentoID]],4),"CNSC",TEXT(ConsumoConcreto[[#This Row],[Ordem]],"0000"),UPPER(LEFT(ConsumoConcreto[[#This Row],[Destino]],3)))</f>
        <v>0184CNSC0563RAD</v>
      </c>
      <c r="B678" s="1">
        <v>563</v>
      </c>
      <c r="C678" s="2" t="s">
        <v>2718</v>
      </c>
      <c r="D678" s="2" t="s">
        <v>2007</v>
      </c>
      <c r="E678" s="18">
        <v>16</v>
      </c>
      <c r="F678" s="2" t="s">
        <v>1801</v>
      </c>
      <c r="G678" s="36"/>
      <c r="H678" s="2" t="s">
        <v>1968</v>
      </c>
      <c r="I6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78" s="22">
        <v>5.5</v>
      </c>
      <c r="K678" s="22">
        <v>5.5</v>
      </c>
      <c r="L678" s="37">
        <v>36892</v>
      </c>
      <c r="M678" s="2"/>
      <c r="N678" s="2" t="s">
        <v>1963</v>
      </c>
      <c r="O678" s="2" t="s">
        <v>27</v>
      </c>
      <c r="P678" s="2" t="s">
        <v>26</v>
      </c>
    </row>
    <row r="679" spans="1:16" ht="20.100000000000001" customHeight="1" x14ac:dyDescent="0.25">
      <c r="A679" s="26" t="str">
        <f>CONCATENATE(LEFT(ConsumoConcreto[[#This Row],[RecebimentoID]],4),"CNSC",TEXT(ConsumoConcreto[[#This Row],[Ordem]],"0000"),UPPER(LEFT(ConsumoConcreto[[#This Row],[Destino]],3)))</f>
        <v>0184CNSC0653PAR</v>
      </c>
      <c r="B679" s="1">
        <v>653</v>
      </c>
      <c r="C679" s="2" t="s">
        <v>2719</v>
      </c>
      <c r="D679" s="2" t="s">
        <v>2010</v>
      </c>
      <c r="E679" s="18">
        <v>16</v>
      </c>
      <c r="F679" s="2" t="s">
        <v>25</v>
      </c>
      <c r="G679" s="36">
        <v>0.84166666666666667</v>
      </c>
      <c r="H679" s="2" t="s">
        <v>1965</v>
      </c>
      <c r="I6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79" s="22">
        <v>14.5</v>
      </c>
      <c r="K679" s="22">
        <v>14.5</v>
      </c>
      <c r="L679" s="37">
        <v>36892</v>
      </c>
      <c r="M679" s="2"/>
      <c r="N679" s="2" t="s">
        <v>1966</v>
      </c>
      <c r="O679" s="2" t="s">
        <v>27</v>
      </c>
      <c r="P679" s="2" t="s">
        <v>26</v>
      </c>
    </row>
    <row r="680" spans="1:16" ht="20.100000000000001" customHeight="1" x14ac:dyDescent="0.25">
      <c r="A680" s="26" t="str">
        <f>CONCATENATE(LEFT(ConsumoConcreto[[#This Row],[RecebimentoID]],4),"CNSC",TEXT(ConsumoConcreto[[#This Row],[Ordem]],"0000"),UPPER(LEFT(ConsumoConcreto[[#This Row],[Destino]],3)))</f>
        <v>0184CNSC0619RAD</v>
      </c>
      <c r="B680" s="1">
        <v>619</v>
      </c>
      <c r="C680" s="2" t="s">
        <v>2720</v>
      </c>
      <c r="D680" s="2" t="s">
        <v>2010</v>
      </c>
      <c r="E680" s="18">
        <v>16</v>
      </c>
      <c r="F680" s="2" t="s">
        <v>1801</v>
      </c>
      <c r="G680" s="36">
        <v>0.69652777777777775</v>
      </c>
      <c r="H680" s="2" t="s">
        <v>1968</v>
      </c>
      <c r="I6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80" s="22">
        <v>5.5</v>
      </c>
      <c r="K680" s="22">
        <v>5.5</v>
      </c>
      <c r="L680" s="37">
        <v>36892</v>
      </c>
      <c r="M680" s="2"/>
      <c r="N680" s="2" t="s">
        <v>1966</v>
      </c>
      <c r="O680" s="2" t="s">
        <v>27</v>
      </c>
      <c r="P680" s="2" t="s">
        <v>26</v>
      </c>
    </row>
    <row r="681" spans="1:16" ht="20.100000000000001" customHeight="1" x14ac:dyDescent="0.25">
      <c r="A681" s="26" t="str">
        <f>CONCATENATE(LEFT(ConsumoConcreto[[#This Row],[RecebimentoID]],4),"CNSC",TEXT(ConsumoConcreto[[#This Row],[Ordem]],"0000"),UPPER(LEFT(ConsumoConcreto[[#This Row],[Destino]],3)))</f>
        <v>0184CNSC0719PAR</v>
      </c>
      <c r="B681" s="1">
        <v>719</v>
      </c>
      <c r="C681" s="2" t="s">
        <v>2721</v>
      </c>
      <c r="D681" s="2" t="s">
        <v>2013</v>
      </c>
      <c r="E681" s="18">
        <v>16</v>
      </c>
      <c r="F681" s="2" t="s">
        <v>25</v>
      </c>
      <c r="G681" s="36">
        <v>0.78472222222222221</v>
      </c>
      <c r="H681" s="2" t="s">
        <v>1965</v>
      </c>
      <c r="I6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81" s="22">
        <v>14.5</v>
      </c>
      <c r="K681" s="22">
        <v>14.5</v>
      </c>
      <c r="L681" s="37">
        <v>36892</v>
      </c>
      <c r="M681" s="2"/>
      <c r="N681" s="2" t="s">
        <v>1966</v>
      </c>
      <c r="O681" s="2" t="s">
        <v>27</v>
      </c>
      <c r="P681" s="2" t="s">
        <v>26</v>
      </c>
    </row>
    <row r="682" spans="1:16" ht="20.100000000000001" customHeight="1" x14ac:dyDescent="0.25">
      <c r="A682" s="26" t="str">
        <f>CONCATENATE(LEFT(ConsumoConcreto[[#This Row],[RecebimentoID]],4),"CNSC",TEXT(ConsumoConcreto[[#This Row],[Ordem]],"0000"),UPPER(LEFT(ConsumoConcreto[[#This Row],[Destino]],3)))</f>
        <v>0184CNSC0707RAD</v>
      </c>
      <c r="B682" s="1">
        <v>707</v>
      </c>
      <c r="C682" s="2" t="s">
        <v>2722</v>
      </c>
      <c r="D682" s="2" t="s">
        <v>2013</v>
      </c>
      <c r="E682" s="18">
        <v>16</v>
      </c>
      <c r="F682" s="2" t="s">
        <v>1801</v>
      </c>
      <c r="G682" s="36">
        <v>0.51388888888888895</v>
      </c>
      <c r="H682" s="2" t="s">
        <v>1968</v>
      </c>
      <c r="I6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82" s="22">
        <v>5.5</v>
      </c>
      <c r="K682" s="22">
        <v>5.5</v>
      </c>
      <c r="L682" s="37">
        <v>36892</v>
      </c>
      <c r="M682" s="2"/>
      <c r="N682" s="2" t="s">
        <v>1963</v>
      </c>
      <c r="O682" s="2" t="s">
        <v>27</v>
      </c>
      <c r="P682" s="2" t="s">
        <v>26</v>
      </c>
    </row>
    <row r="683" spans="1:16" ht="20.100000000000001" customHeight="1" x14ac:dyDescent="0.25">
      <c r="A683" s="26" t="str">
        <f>CONCATENATE(LEFT(ConsumoConcreto[[#This Row],[RecebimentoID]],4),"CNSC",TEXT(ConsumoConcreto[[#This Row],[Ordem]],"0000"),UPPER(LEFT(ConsumoConcreto[[#This Row],[Destino]],3)))</f>
        <v>0184CNSC0775PAR</v>
      </c>
      <c r="B683" s="1">
        <v>775</v>
      </c>
      <c r="C683" s="2" t="s">
        <v>2723</v>
      </c>
      <c r="D683" s="2" t="s">
        <v>2016</v>
      </c>
      <c r="E683" s="18">
        <v>16</v>
      </c>
      <c r="F683" s="2" t="s">
        <v>25</v>
      </c>
      <c r="G683" s="36">
        <v>0.73819444444444438</v>
      </c>
      <c r="H683" s="2" t="s">
        <v>1965</v>
      </c>
      <c r="I6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683" s="22">
        <v>18.5</v>
      </c>
      <c r="K683" s="22">
        <v>18.5</v>
      </c>
      <c r="L683" s="37">
        <v>36892</v>
      </c>
      <c r="M683" s="2"/>
      <c r="N683" s="2" t="s">
        <v>2017</v>
      </c>
      <c r="O683" s="2" t="s">
        <v>27</v>
      </c>
      <c r="P683" s="2" t="s">
        <v>26</v>
      </c>
    </row>
    <row r="684" spans="1:16" ht="20.100000000000001" customHeight="1" x14ac:dyDescent="0.25">
      <c r="A684" s="26" t="str">
        <f>CONCATENATE(LEFT(ConsumoConcreto[[#This Row],[RecebimentoID]],4),"CNSC",TEXT(ConsumoConcreto[[#This Row],[Ordem]],"0000"),UPPER(LEFT(ConsumoConcreto[[#This Row],[Destino]],3)))</f>
        <v>0184CNSC0753RAD</v>
      </c>
      <c r="B684" s="1">
        <v>753</v>
      </c>
      <c r="C684" s="2" t="s">
        <v>2724</v>
      </c>
      <c r="D684" s="2" t="s">
        <v>2016</v>
      </c>
      <c r="E684" s="18">
        <v>16</v>
      </c>
      <c r="F684" s="2" t="s">
        <v>1801</v>
      </c>
      <c r="G684" s="36">
        <v>0.65625</v>
      </c>
      <c r="H684" s="2" t="s">
        <v>1968</v>
      </c>
      <c r="I6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684" s="22">
        <v>7</v>
      </c>
      <c r="K684" s="22">
        <v>7</v>
      </c>
      <c r="L684" s="37">
        <v>36892</v>
      </c>
      <c r="M684" s="2"/>
      <c r="N684" s="2" t="s">
        <v>2017</v>
      </c>
      <c r="O684" s="2" t="s">
        <v>27</v>
      </c>
      <c r="P684" s="2" t="s">
        <v>26</v>
      </c>
    </row>
    <row r="685" spans="1:16" ht="20.100000000000001" customHeight="1" x14ac:dyDescent="0.25">
      <c r="A685" s="26" t="str">
        <f>CONCATENATE(LEFT(ConsumoConcreto[[#This Row],[RecebimentoID]],4),"CNSC",TEXT(ConsumoConcreto[[#This Row],[Ordem]],"0000"),UPPER(LEFT(ConsumoConcreto[[#This Row],[Destino]],3)))</f>
        <v>0184CNSC0847PAR</v>
      </c>
      <c r="B685" s="1">
        <v>847</v>
      </c>
      <c r="C685" s="2" t="s">
        <v>2725</v>
      </c>
      <c r="D685" s="2" t="s">
        <v>2024</v>
      </c>
      <c r="E685" s="18">
        <v>16</v>
      </c>
      <c r="F685" s="2" t="s">
        <v>25</v>
      </c>
      <c r="G685" s="36">
        <v>0.81041666666666667</v>
      </c>
      <c r="H685" s="2" t="s">
        <v>1965</v>
      </c>
      <c r="I6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85" s="22">
        <v>14.5</v>
      </c>
      <c r="K685" s="22">
        <v>14.5</v>
      </c>
      <c r="L685" s="37">
        <v>36892</v>
      </c>
      <c r="M685" s="2"/>
      <c r="N685" s="2" t="s">
        <v>1966</v>
      </c>
      <c r="O685" s="2" t="s">
        <v>27</v>
      </c>
      <c r="P685" s="2" t="s">
        <v>26</v>
      </c>
    </row>
    <row r="686" spans="1:16" ht="20.100000000000001" customHeight="1" x14ac:dyDescent="0.25">
      <c r="A686" s="26" t="str">
        <f>CONCATENATE(LEFT(ConsumoConcreto[[#This Row],[RecebimentoID]],4),"CNSC",TEXT(ConsumoConcreto[[#This Row],[Ordem]],"0000"),UPPER(LEFT(ConsumoConcreto[[#This Row],[Destino]],3)))</f>
        <v>0184CNSC0815RAD</v>
      </c>
      <c r="B686" s="1">
        <v>815</v>
      </c>
      <c r="C686" s="2" t="s">
        <v>2726</v>
      </c>
      <c r="D686" s="2" t="s">
        <v>2024</v>
      </c>
      <c r="E686" s="18">
        <v>16</v>
      </c>
      <c r="F686" s="2" t="s">
        <v>1801</v>
      </c>
      <c r="G686" s="36">
        <v>0.64583333333333337</v>
      </c>
      <c r="H686" s="2" t="s">
        <v>1968</v>
      </c>
      <c r="I6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86" s="22">
        <v>5.5</v>
      </c>
      <c r="K686" s="22">
        <v>5.5</v>
      </c>
      <c r="L686" s="37">
        <v>36892</v>
      </c>
      <c r="M686" s="2"/>
      <c r="N686" s="2" t="s">
        <v>1966</v>
      </c>
      <c r="O686" s="2" t="s">
        <v>27</v>
      </c>
      <c r="P686" s="2" t="s">
        <v>26</v>
      </c>
    </row>
    <row r="687" spans="1:16" ht="20.100000000000001" customHeight="1" x14ac:dyDescent="0.25">
      <c r="A687" s="26" t="str">
        <f>CONCATENATE(LEFT(ConsumoConcreto[[#This Row],[RecebimentoID]],4),"CNSC",TEXT(ConsumoConcreto[[#This Row],[Ordem]],"0000"),UPPER(LEFT(ConsumoConcreto[[#This Row],[Destino]],3)))</f>
        <v>0184CNSC0932PAR</v>
      </c>
      <c r="B687" s="1">
        <v>932</v>
      </c>
      <c r="C687" s="2" t="s">
        <v>2727</v>
      </c>
      <c r="D687" s="2" t="s">
        <v>2030</v>
      </c>
      <c r="E687" s="18">
        <v>16</v>
      </c>
      <c r="F687" s="2" t="s">
        <v>25</v>
      </c>
      <c r="G687" s="36">
        <v>0.79999999999999993</v>
      </c>
      <c r="H687" s="2" t="s">
        <v>1965</v>
      </c>
      <c r="I6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87" s="22">
        <v>14.5</v>
      </c>
      <c r="K687" s="22">
        <v>14.5</v>
      </c>
      <c r="L687" s="37">
        <v>36892</v>
      </c>
      <c r="M687" s="2"/>
      <c r="N687" s="2" t="s">
        <v>1966</v>
      </c>
      <c r="O687" s="2" t="s">
        <v>27</v>
      </c>
      <c r="P687" s="2" t="s">
        <v>26</v>
      </c>
    </row>
    <row r="688" spans="1:16" ht="20.100000000000001" customHeight="1" x14ac:dyDescent="0.25">
      <c r="A688" s="26" t="str">
        <f>CONCATENATE(LEFT(ConsumoConcreto[[#This Row],[RecebimentoID]],4),"CNSC",TEXT(ConsumoConcreto[[#This Row],[Ordem]],"0000"),UPPER(LEFT(ConsumoConcreto[[#This Row],[Destino]],3)))</f>
        <v>0184CNSC0924RAD</v>
      </c>
      <c r="B688" s="1">
        <v>924</v>
      </c>
      <c r="C688" s="2" t="s">
        <v>2728</v>
      </c>
      <c r="D688" s="2" t="s">
        <v>2030</v>
      </c>
      <c r="E688" s="18">
        <v>16</v>
      </c>
      <c r="F688" s="2" t="s">
        <v>1801</v>
      </c>
      <c r="G688" s="36">
        <v>0.66666666666666663</v>
      </c>
      <c r="H688" s="2" t="s">
        <v>1968</v>
      </c>
      <c r="I6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88" s="22">
        <v>5.5</v>
      </c>
      <c r="K688" s="22">
        <v>5.5</v>
      </c>
      <c r="L688" s="37">
        <v>36892</v>
      </c>
      <c r="M688" s="2"/>
      <c r="N688" s="2" t="s">
        <v>1963</v>
      </c>
      <c r="O688" s="2" t="s">
        <v>27</v>
      </c>
      <c r="P688" s="2" t="s">
        <v>26</v>
      </c>
    </row>
    <row r="689" spans="1:16" ht="20.100000000000001" customHeight="1" x14ac:dyDescent="0.25">
      <c r="A689" s="26" t="str">
        <f>CONCATENATE(LEFT(ConsumoConcreto[[#This Row],[RecebimentoID]],4),"CNSC",TEXT(ConsumoConcreto[[#This Row],[Ordem]],"0000"),UPPER(LEFT(ConsumoConcreto[[#This Row],[Destino]],3)))</f>
        <v>0184CNSC0964PAR</v>
      </c>
      <c r="B689" s="1">
        <v>964</v>
      </c>
      <c r="C689" s="2" t="s">
        <v>2729</v>
      </c>
      <c r="D689" s="2" t="s">
        <v>2033</v>
      </c>
      <c r="E689" s="18">
        <v>16</v>
      </c>
      <c r="F689" s="2" t="s">
        <v>25</v>
      </c>
      <c r="G689" s="36">
        <v>0.77222222222222225</v>
      </c>
      <c r="H689" s="2" t="s">
        <v>1965</v>
      </c>
      <c r="I6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89" s="22">
        <v>14.5</v>
      </c>
      <c r="K689" s="22">
        <v>14.5</v>
      </c>
      <c r="L689" s="37">
        <v>36892</v>
      </c>
      <c r="M689" s="2"/>
      <c r="N689" s="2" t="s">
        <v>1966</v>
      </c>
      <c r="O689" s="2" t="s">
        <v>27</v>
      </c>
      <c r="P689" s="2" t="s">
        <v>26</v>
      </c>
    </row>
    <row r="690" spans="1:16" ht="20.100000000000001" customHeight="1" x14ac:dyDescent="0.25">
      <c r="A690" s="26" t="str">
        <f>CONCATENATE(LEFT(ConsumoConcreto[[#This Row],[RecebimentoID]],4),"CNSC",TEXT(ConsumoConcreto[[#This Row],[Ordem]],"0000"),UPPER(LEFT(ConsumoConcreto[[#This Row],[Destino]],3)))</f>
        <v>0184CNSC0953RAD</v>
      </c>
      <c r="B690" s="1">
        <v>953</v>
      </c>
      <c r="C690" s="2" t="s">
        <v>2730</v>
      </c>
      <c r="D690" s="2" t="s">
        <v>2033</v>
      </c>
      <c r="E690" s="18">
        <v>16</v>
      </c>
      <c r="F690" s="2" t="s">
        <v>1801</v>
      </c>
      <c r="G690" s="36">
        <v>0.7055555555555556</v>
      </c>
      <c r="H690" s="2" t="s">
        <v>1968</v>
      </c>
      <c r="I6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90" s="22">
        <v>5.5</v>
      </c>
      <c r="K690" s="22">
        <v>5.5</v>
      </c>
      <c r="L690" s="37">
        <v>36892</v>
      </c>
      <c r="M690" s="2"/>
      <c r="N690" s="2" t="s">
        <v>1963</v>
      </c>
      <c r="O690" s="2" t="s">
        <v>27</v>
      </c>
      <c r="P690" s="2" t="s">
        <v>26</v>
      </c>
    </row>
    <row r="691" spans="1:16" ht="20.100000000000001" customHeight="1" x14ac:dyDescent="0.25">
      <c r="A691" s="26" t="str">
        <f>CONCATENATE(LEFT(ConsumoConcreto[[#This Row],[RecebimentoID]],4),"CNSC",TEXT(ConsumoConcreto[[#This Row],[Ordem]],"0000"),UPPER(LEFT(ConsumoConcreto[[#This Row],[Destino]],3)))</f>
        <v>0184CNSC1072PAR</v>
      </c>
      <c r="B691" s="1">
        <v>1072</v>
      </c>
      <c r="C691" s="2" t="s">
        <v>2731</v>
      </c>
      <c r="D691" s="2" t="s">
        <v>2036</v>
      </c>
      <c r="E691" s="18">
        <v>16</v>
      </c>
      <c r="F691" s="2" t="s">
        <v>25</v>
      </c>
      <c r="G691" s="36">
        <v>0.62222222222222223</v>
      </c>
      <c r="H691" s="2" t="s">
        <v>1965</v>
      </c>
      <c r="I6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91" s="22">
        <v>14.5</v>
      </c>
      <c r="K691" s="22">
        <v>14.5</v>
      </c>
      <c r="L691" s="37">
        <v>36892</v>
      </c>
      <c r="M691" s="2"/>
      <c r="N691" s="2" t="s">
        <v>1966</v>
      </c>
      <c r="O691" s="2" t="s">
        <v>27</v>
      </c>
      <c r="P691" s="2" t="s">
        <v>26</v>
      </c>
    </row>
    <row r="692" spans="1:16" ht="20.100000000000001" customHeight="1" x14ac:dyDescent="0.25">
      <c r="A692" s="26" t="str">
        <f>CONCATENATE(LEFT(ConsumoConcreto[[#This Row],[RecebimentoID]],4),"CNSC",TEXT(ConsumoConcreto[[#This Row],[Ordem]],"0000"),UPPER(LEFT(ConsumoConcreto[[#This Row],[Destino]],3)))</f>
        <v>0184CNSC1017RAD</v>
      </c>
      <c r="B692" s="1">
        <v>1017</v>
      </c>
      <c r="C692" s="2" t="s">
        <v>2732</v>
      </c>
      <c r="D692" s="2" t="s">
        <v>2036</v>
      </c>
      <c r="E692" s="18">
        <v>16</v>
      </c>
      <c r="F692" s="2" t="s">
        <v>1801</v>
      </c>
      <c r="G692" s="36">
        <v>0.52777777777777779</v>
      </c>
      <c r="H692" s="2" t="s">
        <v>1968</v>
      </c>
      <c r="I6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92" s="22">
        <v>5.5</v>
      </c>
      <c r="K692" s="22">
        <v>5.5</v>
      </c>
      <c r="L692" s="37">
        <v>36892</v>
      </c>
      <c r="M692" s="2"/>
      <c r="N692" s="2" t="s">
        <v>1963</v>
      </c>
      <c r="O692" s="2" t="s">
        <v>27</v>
      </c>
      <c r="P692" s="2" t="s">
        <v>26</v>
      </c>
    </row>
    <row r="693" spans="1:16" ht="20.100000000000001" customHeight="1" x14ac:dyDescent="0.25">
      <c r="A693" s="26" t="str">
        <f>CONCATENATE(LEFT(ConsumoConcreto[[#This Row],[RecebimentoID]],4),"CNSC",TEXT(ConsumoConcreto[[#This Row],[Ordem]],"0000"),UPPER(LEFT(ConsumoConcreto[[#This Row],[Destino]],3)))</f>
        <v>0184CNSC0060PAR</v>
      </c>
      <c r="B693" s="1">
        <v>60</v>
      </c>
      <c r="C693" s="2" t="s">
        <v>2733</v>
      </c>
      <c r="D693" s="2" t="s">
        <v>1970</v>
      </c>
      <c r="E693" s="18">
        <v>17</v>
      </c>
      <c r="F693" s="2" t="s">
        <v>25</v>
      </c>
      <c r="G693" s="36"/>
      <c r="H693" s="2" t="s">
        <v>1965</v>
      </c>
      <c r="I6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93" s="22">
        <v>14.5</v>
      </c>
      <c r="K693" s="22">
        <v>14.5</v>
      </c>
      <c r="L693" s="37">
        <v>36892</v>
      </c>
      <c r="M693" s="2"/>
      <c r="N693" s="2" t="s">
        <v>1966</v>
      </c>
      <c r="O693" s="2" t="s">
        <v>27</v>
      </c>
      <c r="P693" s="2" t="s">
        <v>26</v>
      </c>
    </row>
    <row r="694" spans="1:16" ht="20.100000000000001" customHeight="1" x14ac:dyDescent="0.25">
      <c r="A694" s="26" t="str">
        <f>CONCATENATE(LEFT(ConsumoConcreto[[#This Row],[RecebimentoID]],4),"CNSC",TEXT(ConsumoConcreto[[#This Row],[Ordem]],"0000"),UPPER(LEFT(ConsumoConcreto[[#This Row],[Destino]],3)))</f>
        <v>0184CNSC0078PIL</v>
      </c>
      <c r="B694" s="1">
        <v>78</v>
      </c>
      <c r="C694" s="2" t="s">
        <v>2734</v>
      </c>
      <c r="D694" s="2" t="s">
        <v>1970</v>
      </c>
      <c r="E694" s="18">
        <v>17</v>
      </c>
      <c r="F694" s="2" t="s">
        <v>25</v>
      </c>
      <c r="G694" s="36"/>
      <c r="H694" s="2" t="s">
        <v>1962</v>
      </c>
      <c r="I6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94" s="22">
        <v>0.17</v>
      </c>
      <c r="K694" s="22">
        <v>0.17</v>
      </c>
      <c r="L694" s="37">
        <v>36892</v>
      </c>
      <c r="M694" s="2"/>
      <c r="N694" s="2" t="s">
        <v>1963</v>
      </c>
      <c r="O694" s="2" t="s">
        <v>27</v>
      </c>
      <c r="P694" s="2" t="s">
        <v>26</v>
      </c>
    </row>
    <row r="695" spans="1:16" ht="20.100000000000001" customHeight="1" x14ac:dyDescent="0.25">
      <c r="A695" s="26" t="str">
        <f>CONCATENATE(LEFT(ConsumoConcreto[[#This Row],[RecebimentoID]],4),"CNSC",TEXT(ConsumoConcreto[[#This Row],[Ordem]],"0000"),UPPER(LEFT(ConsumoConcreto[[#This Row],[Destino]],3)))</f>
        <v>0184CNSC0046RAD</v>
      </c>
      <c r="B695" s="1">
        <v>46</v>
      </c>
      <c r="C695" s="2" t="s">
        <v>2735</v>
      </c>
      <c r="D695" s="2" t="s">
        <v>1970</v>
      </c>
      <c r="E695" s="18">
        <v>17</v>
      </c>
      <c r="F695" s="2" t="s">
        <v>1801</v>
      </c>
      <c r="G695" s="36"/>
      <c r="H695" s="2" t="s">
        <v>1968</v>
      </c>
      <c r="I6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95" s="22">
        <v>5.5</v>
      </c>
      <c r="K695" s="22">
        <v>5.5</v>
      </c>
      <c r="L695" s="37">
        <v>36892</v>
      </c>
      <c r="M695" s="2"/>
      <c r="N695" s="2"/>
      <c r="O695" s="2" t="s">
        <v>27</v>
      </c>
      <c r="P695" s="2" t="s">
        <v>26</v>
      </c>
    </row>
    <row r="696" spans="1:16" ht="20.100000000000001" customHeight="1" x14ac:dyDescent="0.25">
      <c r="A696" s="26" t="str">
        <f>CONCATENATE(LEFT(ConsumoConcreto[[#This Row],[RecebimentoID]],4),"CNSC",TEXT(ConsumoConcreto[[#This Row],[Ordem]],"0000"),UPPER(LEFT(ConsumoConcreto[[#This Row],[Destino]],3)))</f>
        <v>0184CNSC0148PAR</v>
      </c>
      <c r="B696" s="1">
        <v>148</v>
      </c>
      <c r="C696" s="2" t="s">
        <v>2736</v>
      </c>
      <c r="D696" s="2" t="s">
        <v>1975</v>
      </c>
      <c r="E696" s="18">
        <v>17</v>
      </c>
      <c r="F696" s="2" t="s">
        <v>25</v>
      </c>
      <c r="G696" s="36">
        <v>0.75</v>
      </c>
      <c r="H696" s="2" t="s">
        <v>1965</v>
      </c>
      <c r="I6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96" s="22">
        <v>14.5</v>
      </c>
      <c r="K696" s="22">
        <v>14.5</v>
      </c>
      <c r="L696" s="37">
        <v>36892</v>
      </c>
      <c r="M696" s="2"/>
      <c r="N696" s="2" t="s">
        <v>1966</v>
      </c>
      <c r="O696" s="2" t="s">
        <v>27</v>
      </c>
      <c r="P696" s="2" t="s">
        <v>26</v>
      </c>
    </row>
    <row r="697" spans="1:16" ht="20.100000000000001" customHeight="1" x14ac:dyDescent="0.25">
      <c r="A697" s="26" t="str">
        <f>CONCATENATE(LEFT(ConsumoConcreto[[#This Row],[RecebimentoID]],4),"CNSC",TEXT(ConsumoConcreto[[#This Row],[Ordem]],"0000"),UPPER(LEFT(ConsumoConcreto[[#This Row],[Destino]],3)))</f>
        <v>0184CNSC0176PIL</v>
      </c>
      <c r="B697" s="1">
        <v>176</v>
      </c>
      <c r="C697" s="2" t="s">
        <v>2737</v>
      </c>
      <c r="D697" s="2" t="s">
        <v>1975</v>
      </c>
      <c r="E697" s="18">
        <v>17</v>
      </c>
      <c r="F697" s="2" t="s">
        <v>25</v>
      </c>
      <c r="G697" s="36"/>
      <c r="H697" s="2" t="s">
        <v>1962</v>
      </c>
      <c r="I6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697" s="22">
        <v>0.1</v>
      </c>
      <c r="K697" s="22">
        <v>0.1</v>
      </c>
      <c r="L697" s="37">
        <v>36892</v>
      </c>
      <c r="M697" s="2"/>
      <c r="N697" s="2" t="s">
        <v>1963</v>
      </c>
      <c r="O697" s="2" t="s">
        <v>27</v>
      </c>
      <c r="P697" s="2" t="s">
        <v>26</v>
      </c>
    </row>
    <row r="698" spans="1:16" ht="20.100000000000001" customHeight="1" x14ac:dyDescent="0.25">
      <c r="A698" s="26" t="str">
        <f>CONCATENATE(LEFT(ConsumoConcreto[[#This Row],[RecebimentoID]],4),"CNSC",TEXT(ConsumoConcreto[[#This Row],[Ordem]],"0000"),UPPER(LEFT(ConsumoConcreto[[#This Row],[Destino]],3)))</f>
        <v>0184CNSC0119RAD</v>
      </c>
      <c r="B698" s="1">
        <v>119</v>
      </c>
      <c r="C698" s="2" t="s">
        <v>2738</v>
      </c>
      <c r="D698" s="2" t="s">
        <v>1975</v>
      </c>
      <c r="E698" s="18">
        <v>17</v>
      </c>
      <c r="F698" s="2" t="s">
        <v>1801</v>
      </c>
      <c r="G698" s="36"/>
      <c r="H698" s="2" t="s">
        <v>1968</v>
      </c>
      <c r="I6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698" s="22">
        <v>7</v>
      </c>
      <c r="K698" s="22">
        <v>6.5</v>
      </c>
      <c r="L698" s="37">
        <v>36892</v>
      </c>
      <c r="M698" s="2" t="s">
        <v>1982</v>
      </c>
      <c r="N698" s="2" t="s">
        <v>1966</v>
      </c>
      <c r="O698" s="2" t="s">
        <v>27</v>
      </c>
      <c r="P698" s="2" t="s">
        <v>26</v>
      </c>
    </row>
    <row r="699" spans="1:16" ht="20.100000000000001" customHeight="1" x14ac:dyDescent="0.25">
      <c r="A699" s="26" t="str">
        <f>CONCATENATE(LEFT(ConsumoConcreto[[#This Row],[RecebimentoID]],4),"CNSC",TEXT(ConsumoConcreto[[#This Row],[Ordem]],"0000"),UPPER(LEFT(ConsumoConcreto[[#This Row],[Destino]],3)))</f>
        <v>0184CNSC0234PAR</v>
      </c>
      <c r="B699" s="1">
        <v>234</v>
      </c>
      <c r="C699" s="2" t="s">
        <v>2739</v>
      </c>
      <c r="D699" s="2" t="s">
        <v>1979</v>
      </c>
      <c r="E699" s="18">
        <v>17</v>
      </c>
      <c r="F699" s="2" t="s">
        <v>25</v>
      </c>
      <c r="G699" s="36">
        <v>0.68611111111111101</v>
      </c>
      <c r="H699" s="2" t="s">
        <v>1965</v>
      </c>
      <c r="I6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699" s="22">
        <v>15</v>
      </c>
      <c r="K699" s="22">
        <v>15</v>
      </c>
      <c r="L699" s="37">
        <v>36892</v>
      </c>
      <c r="M699" s="2"/>
      <c r="N699" s="2" t="s">
        <v>1966</v>
      </c>
      <c r="O699" s="2" t="s">
        <v>27</v>
      </c>
      <c r="P699" s="2" t="s">
        <v>26</v>
      </c>
    </row>
    <row r="700" spans="1:16" ht="20.100000000000001" customHeight="1" x14ac:dyDescent="0.25">
      <c r="A700" s="26" t="str">
        <f>CONCATENATE(LEFT(ConsumoConcreto[[#This Row],[RecebimentoID]],4),"CNSC",TEXT(ConsumoConcreto[[#This Row],[Ordem]],"0000"),UPPER(LEFT(ConsumoConcreto[[#This Row],[Destino]],3)))</f>
        <v>0184CNSC0196RAD</v>
      </c>
      <c r="B700" s="1">
        <v>196</v>
      </c>
      <c r="C700" s="2" t="s">
        <v>2740</v>
      </c>
      <c r="D700" s="2" t="s">
        <v>1979</v>
      </c>
      <c r="E700" s="18">
        <v>17</v>
      </c>
      <c r="F700" s="2" t="s">
        <v>1801</v>
      </c>
      <c r="G700" s="36"/>
      <c r="H700" s="2" t="s">
        <v>1968</v>
      </c>
      <c r="I7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00" s="22">
        <v>5.5</v>
      </c>
      <c r="K700" s="22">
        <v>5.4809999999999999</v>
      </c>
      <c r="L700" s="37">
        <v>36892</v>
      </c>
      <c r="M700" s="2"/>
      <c r="N700" s="2"/>
      <c r="O700" s="2" t="s">
        <v>27</v>
      </c>
      <c r="P700" s="2" t="s">
        <v>26</v>
      </c>
    </row>
    <row r="701" spans="1:16" ht="20.100000000000001" customHeight="1" x14ac:dyDescent="0.25">
      <c r="A701" s="26" t="str">
        <f>CONCATENATE(LEFT(ConsumoConcreto[[#This Row],[RecebimentoID]],4),"CNSC",TEXT(ConsumoConcreto[[#This Row],[Ordem]],"0000"),UPPER(LEFT(ConsumoConcreto[[#This Row],[Destino]],3)))</f>
        <v>0184CNSC0287PAR</v>
      </c>
      <c r="B701" s="1">
        <v>287</v>
      </c>
      <c r="C701" s="2" t="s">
        <v>2741</v>
      </c>
      <c r="D701" s="2" t="s">
        <v>1985</v>
      </c>
      <c r="E701" s="18">
        <v>17</v>
      </c>
      <c r="F701" s="2" t="s">
        <v>25</v>
      </c>
      <c r="G701" s="36">
        <v>0.82638888888888884</v>
      </c>
      <c r="H701" s="2" t="s">
        <v>1965</v>
      </c>
      <c r="I7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01" s="22">
        <v>14.5</v>
      </c>
      <c r="K701" s="22">
        <v>14.5</v>
      </c>
      <c r="L701" s="37">
        <v>36892</v>
      </c>
      <c r="M701" s="2"/>
      <c r="N701" s="2" t="s">
        <v>2017</v>
      </c>
      <c r="O701" s="2" t="s">
        <v>27</v>
      </c>
      <c r="P701" s="2" t="s">
        <v>26</v>
      </c>
    </row>
    <row r="702" spans="1:16" ht="20.100000000000001" customHeight="1" x14ac:dyDescent="0.25">
      <c r="A702" s="26" t="str">
        <f>CONCATENATE(LEFT(ConsumoConcreto[[#This Row],[RecebimentoID]],4),"CNSC",TEXT(ConsumoConcreto[[#This Row],[Ordem]],"0000"),UPPER(LEFT(ConsumoConcreto[[#This Row],[Destino]],3)))</f>
        <v>0184CNSC0300PIL</v>
      </c>
      <c r="B702" s="1">
        <v>300</v>
      </c>
      <c r="C702" s="2" t="s">
        <v>2742</v>
      </c>
      <c r="D702" s="2" t="s">
        <v>1985</v>
      </c>
      <c r="E702" s="18">
        <v>17</v>
      </c>
      <c r="F702" s="2" t="s">
        <v>25</v>
      </c>
      <c r="G702" s="36"/>
      <c r="H702" s="2" t="s">
        <v>1962</v>
      </c>
      <c r="I7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02" s="22">
        <v>0.1</v>
      </c>
      <c r="K702" s="22">
        <v>0.1</v>
      </c>
      <c r="L702" s="37">
        <v>36892</v>
      </c>
      <c r="M702" s="2"/>
      <c r="N702" s="2" t="s">
        <v>1963</v>
      </c>
      <c r="O702" s="2" t="s">
        <v>27</v>
      </c>
      <c r="P702" s="2" t="s">
        <v>26</v>
      </c>
    </row>
    <row r="703" spans="1:16" ht="20.100000000000001" customHeight="1" x14ac:dyDescent="0.25">
      <c r="A703" s="26" t="str">
        <f>CONCATENATE(LEFT(ConsumoConcreto[[#This Row],[RecebimentoID]],4),"CNSC",TEXT(ConsumoConcreto[[#This Row],[Ordem]],"0000"),UPPER(LEFT(ConsumoConcreto[[#This Row],[Destino]],3)))</f>
        <v>0184CNSC0266RAD</v>
      </c>
      <c r="B703" s="1">
        <v>266</v>
      </c>
      <c r="C703" s="2" t="s">
        <v>2743</v>
      </c>
      <c r="D703" s="2" t="s">
        <v>1985</v>
      </c>
      <c r="E703" s="18">
        <v>17</v>
      </c>
      <c r="F703" s="2" t="s">
        <v>1801</v>
      </c>
      <c r="G703" s="36">
        <v>0.47916666666666669</v>
      </c>
      <c r="H703" s="2" t="s">
        <v>1968</v>
      </c>
      <c r="I7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03" s="22">
        <v>5.5</v>
      </c>
      <c r="K703" s="22">
        <v>5.5</v>
      </c>
      <c r="L703" s="37">
        <v>36892</v>
      </c>
      <c r="M703" s="2"/>
      <c r="N703" s="2" t="s">
        <v>1963</v>
      </c>
      <c r="O703" s="2" t="s">
        <v>27</v>
      </c>
      <c r="P703" s="2" t="s">
        <v>26</v>
      </c>
    </row>
    <row r="704" spans="1:16" ht="20.100000000000001" customHeight="1" x14ac:dyDescent="0.25">
      <c r="A704" s="26" t="str">
        <f>CONCATENATE(LEFT(ConsumoConcreto[[#This Row],[RecebimentoID]],4),"CNSC",TEXT(ConsumoConcreto[[#This Row],[Ordem]],"0000"),UPPER(LEFT(ConsumoConcreto[[#This Row],[Destino]],3)))</f>
        <v>0184CNSC0396PAR</v>
      </c>
      <c r="B704" s="1">
        <v>396</v>
      </c>
      <c r="C704" s="2" t="s">
        <v>2744</v>
      </c>
      <c r="D704" s="2" t="s">
        <v>1995</v>
      </c>
      <c r="E704" s="18">
        <v>17</v>
      </c>
      <c r="F704" s="2" t="s">
        <v>25</v>
      </c>
      <c r="G704" s="36">
        <v>0.88888888888888884</v>
      </c>
      <c r="H704" s="2" t="s">
        <v>1965</v>
      </c>
      <c r="I7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04" s="22">
        <v>14</v>
      </c>
      <c r="K704" s="22">
        <v>14</v>
      </c>
      <c r="L704" s="37">
        <v>36892</v>
      </c>
      <c r="M704" s="2"/>
      <c r="N704" s="2" t="s">
        <v>1966</v>
      </c>
      <c r="O704" s="2" t="s">
        <v>27</v>
      </c>
      <c r="P704" s="2" t="s">
        <v>26</v>
      </c>
    </row>
    <row r="705" spans="1:16" ht="20.100000000000001" customHeight="1" x14ac:dyDescent="0.25">
      <c r="A705" s="26" t="str">
        <f>CONCATENATE(LEFT(ConsumoConcreto[[#This Row],[RecebimentoID]],4),"CNSC",TEXT(ConsumoConcreto[[#This Row],[Ordem]],"0000"),UPPER(LEFT(ConsumoConcreto[[#This Row],[Destino]],3)))</f>
        <v>0184CNSC0374RAD</v>
      </c>
      <c r="B705" s="1">
        <v>374</v>
      </c>
      <c r="C705" s="2" t="s">
        <v>2745</v>
      </c>
      <c r="D705" s="2" t="s">
        <v>1995</v>
      </c>
      <c r="E705" s="18">
        <v>17</v>
      </c>
      <c r="F705" s="2" t="s">
        <v>1801</v>
      </c>
      <c r="G705" s="36">
        <v>0.43402777777777773</v>
      </c>
      <c r="H705" s="2" t="s">
        <v>1968</v>
      </c>
      <c r="I7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05" s="22">
        <v>5.5</v>
      </c>
      <c r="K705" s="22">
        <v>5.5</v>
      </c>
      <c r="L705" s="37">
        <v>36892</v>
      </c>
      <c r="M705" s="2"/>
      <c r="N705" s="2" t="s">
        <v>1963</v>
      </c>
      <c r="O705" s="2" t="s">
        <v>27</v>
      </c>
      <c r="P705" s="2" t="s">
        <v>26</v>
      </c>
    </row>
    <row r="706" spans="1:16" ht="20.100000000000001" customHeight="1" x14ac:dyDescent="0.25">
      <c r="A706" s="26" t="str">
        <f>CONCATENATE(LEFT(ConsumoConcreto[[#This Row],[RecebimentoID]],4),"CNSC",TEXT(ConsumoConcreto[[#This Row],[Ordem]],"0000"),UPPER(LEFT(ConsumoConcreto[[#This Row],[Destino]],3)))</f>
        <v>0184CNSC0526PAR</v>
      </c>
      <c r="B706" s="1">
        <v>526</v>
      </c>
      <c r="C706" s="2" t="s">
        <v>2746</v>
      </c>
      <c r="D706" s="2" t="s">
        <v>2005</v>
      </c>
      <c r="E706" s="18">
        <v>17</v>
      </c>
      <c r="F706" s="2" t="s">
        <v>25</v>
      </c>
      <c r="G706" s="36">
        <v>0.77500000000000002</v>
      </c>
      <c r="H706" s="2" t="s">
        <v>1965</v>
      </c>
      <c r="I7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06" s="22">
        <v>18.5</v>
      </c>
      <c r="K706" s="22">
        <v>18.5</v>
      </c>
      <c r="L706" s="37">
        <v>36892</v>
      </c>
      <c r="M706" s="2"/>
      <c r="N706" s="2" t="s">
        <v>1966</v>
      </c>
      <c r="O706" s="2" t="s">
        <v>27</v>
      </c>
      <c r="P706" s="2" t="s">
        <v>26</v>
      </c>
    </row>
    <row r="707" spans="1:16" ht="20.100000000000001" customHeight="1" x14ac:dyDescent="0.25">
      <c r="A707" s="26" t="str">
        <f>CONCATENATE(LEFT(ConsumoConcreto[[#This Row],[RecebimentoID]],4),"CNSC",TEXT(ConsumoConcreto[[#This Row],[Ordem]],"0000"),UPPER(LEFT(ConsumoConcreto[[#This Row],[Destino]],3)))</f>
        <v>0184CNSC0486RAD</v>
      </c>
      <c r="B707" s="1">
        <v>486</v>
      </c>
      <c r="C707" s="2" t="s">
        <v>2747</v>
      </c>
      <c r="D707" s="2" t="s">
        <v>2005</v>
      </c>
      <c r="E707" s="18">
        <v>17</v>
      </c>
      <c r="F707" s="2" t="s">
        <v>1801</v>
      </c>
      <c r="G707" s="36">
        <v>0.40625</v>
      </c>
      <c r="H707" s="2" t="s">
        <v>1968</v>
      </c>
      <c r="I7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07" s="22">
        <v>7</v>
      </c>
      <c r="K707" s="22">
        <v>7</v>
      </c>
      <c r="L707" s="37">
        <v>36892</v>
      </c>
      <c r="M707" s="2"/>
      <c r="N707" s="2" t="s">
        <v>1963</v>
      </c>
      <c r="O707" s="2" t="s">
        <v>27</v>
      </c>
      <c r="P707" s="2" t="s">
        <v>26</v>
      </c>
    </row>
    <row r="708" spans="1:16" ht="20.100000000000001" customHeight="1" x14ac:dyDescent="0.25">
      <c r="A708" s="26" t="str">
        <f>CONCATENATE(LEFT(ConsumoConcreto[[#This Row],[RecebimentoID]],4),"CNSC",TEXT(ConsumoConcreto[[#This Row],[Ordem]],"0000"),UPPER(LEFT(ConsumoConcreto[[#This Row],[Destino]],3)))</f>
        <v>0184CNSC0576PAR</v>
      </c>
      <c r="B708" s="1">
        <v>576</v>
      </c>
      <c r="C708" s="2" t="s">
        <v>2748</v>
      </c>
      <c r="D708" s="2" t="s">
        <v>2007</v>
      </c>
      <c r="E708" s="18">
        <v>17</v>
      </c>
      <c r="F708" s="2" t="s">
        <v>25</v>
      </c>
      <c r="G708" s="36">
        <v>0.82986111111111116</v>
      </c>
      <c r="H708" s="2" t="s">
        <v>1965</v>
      </c>
      <c r="I7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08" s="22">
        <v>18</v>
      </c>
      <c r="K708" s="22">
        <v>18</v>
      </c>
      <c r="L708" s="37">
        <v>36892</v>
      </c>
      <c r="M708" s="2"/>
      <c r="N708" s="2" t="s">
        <v>1966</v>
      </c>
      <c r="O708" s="2" t="s">
        <v>27</v>
      </c>
      <c r="P708" s="2" t="s">
        <v>26</v>
      </c>
    </row>
    <row r="709" spans="1:16" ht="20.100000000000001" customHeight="1" x14ac:dyDescent="0.25">
      <c r="A709" s="26" t="str">
        <f>CONCATENATE(LEFT(ConsumoConcreto[[#This Row],[RecebimentoID]],4),"CNSC",TEXT(ConsumoConcreto[[#This Row],[Ordem]],"0000"),UPPER(LEFT(ConsumoConcreto[[#This Row],[Destino]],3)))</f>
        <v>0184CNSC0548RAD</v>
      </c>
      <c r="B709" s="1">
        <v>548</v>
      </c>
      <c r="C709" s="2" t="s">
        <v>2749</v>
      </c>
      <c r="D709" s="2" t="s">
        <v>2007</v>
      </c>
      <c r="E709" s="18">
        <v>17</v>
      </c>
      <c r="F709" s="2" t="s">
        <v>1801</v>
      </c>
      <c r="G709" s="36"/>
      <c r="H709" s="2" t="s">
        <v>1968</v>
      </c>
      <c r="I7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09" s="22">
        <v>7</v>
      </c>
      <c r="K709" s="22">
        <v>7</v>
      </c>
      <c r="L709" s="37">
        <v>36892</v>
      </c>
      <c r="M709" s="2"/>
      <c r="N709" s="2" t="s">
        <v>1963</v>
      </c>
      <c r="O709" s="2" t="s">
        <v>27</v>
      </c>
      <c r="P709" s="2" t="s">
        <v>26</v>
      </c>
    </row>
    <row r="710" spans="1:16" ht="20.100000000000001" customHeight="1" x14ac:dyDescent="0.25">
      <c r="A710" s="26" t="str">
        <f>CONCATENATE(LEFT(ConsumoConcreto[[#This Row],[RecebimentoID]],4),"CNSC",TEXT(ConsumoConcreto[[#This Row],[Ordem]],"0000"),UPPER(LEFT(ConsumoConcreto[[#This Row],[Destino]],3)))</f>
        <v>0184CNSC0631PAR</v>
      </c>
      <c r="B710" s="1">
        <v>631</v>
      </c>
      <c r="C710" s="2" t="s">
        <v>2750</v>
      </c>
      <c r="D710" s="2" t="s">
        <v>2010</v>
      </c>
      <c r="E710" s="18">
        <v>17</v>
      </c>
      <c r="F710" s="2" t="s">
        <v>25</v>
      </c>
      <c r="G710" s="36">
        <v>0.51736111111111105</v>
      </c>
      <c r="H710" s="2" t="s">
        <v>1965</v>
      </c>
      <c r="I7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10" s="22">
        <v>14</v>
      </c>
      <c r="K710" s="22">
        <v>14</v>
      </c>
      <c r="L710" s="37">
        <v>36892</v>
      </c>
      <c r="M710" s="2"/>
      <c r="N710" s="2" t="s">
        <v>1966</v>
      </c>
      <c r="O710" s="2" t="s">
        <v>27</v>
      </c>
      <c r="P710" s="2" t="s">
        <v>26</v>
      </c>
    </row>
    <row r="711" spans="1:16" ht="20.100000000000001" customHeight="1" x14ac:dyDescent="0.25">
      <c r="A711" s="26" t="str">
        <f>CONCATENATE(LEFT(ConsumoConcreto[[#This Row],[RecebimentoID]],4),"CNSC",TEXT(ConsumoConcreto[[#This Row],[Ordem]],"0000"),UPPER(LEFT(ConsumoConcreto[[#This Row],[Destino]],3)))</f>
        <v>0184CNSC0610RAD</v>
      </c>
      <c r="B711" s="1">
        <v>610</v>
      </c>
      <c r="C711" s="2" t="s">
        <v>2751</v>
      </c>
      <c r="D711" s="2" t="s">
        <v>2010</v>
      </c>
      <c r="E711" s="18">
        <v>17</v>
      </c>
      <c r="F711" s="2" t="s">
        <v>1801</v>
      </c>
      <c r="G711" s="36">
        <v>0.44861111111111113</v>
      </c>
      <c r="H711" s="2" t="s">
        <v>1968</v>
      </c>
      <c r="I7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11" s="22">
        <v>5.5</v>
      </c>
      <c r="K711" s="22">
        <v>5.5</v>
      </c>
      <c r="L711" s="37">
        <v>36892</v>
      </c>
      <c r="M711" s="2"/>
      <c r="N711" s="2" t="s">
        <v>1966</v>
      </c>
      <c r="O711" s="2" t="s">
        <v>27</v>
      </c>
      <c r="P711" s="2" t="s">
        <v>26</v>
      </c>
    </row>
    <row r="712" spans="1:16" ht="20.100000000000001" customHeight="1" x14ac:dyDescent="0.25">
      <c r="A712" s="26" t="str">
        <f>CONCATENATE(LEFT(ConsumoConcreto[[#This Row],[RecebimentoID]],4),"CNSC",TEXT(ConsumoConcreto[[#This Row],[Ordem]],"0000"),UPPER(LEFT(ConsumoConcreto[[#This Row],[Destino]],3)))</f>
        <v>0184CNSC0696PAR</v>
      </c>
      <c r="B712" s="1">
        <v>696</v>
      </c>
      <c r="C712" s="2" t="s">
        <v>2752</v>
      </c>
      <c r="D712" s="2" t="s">
        <v>2013</v>
      </c>
      <c r="E712" s="18">
        <v>17</v>
      </c>
      <c r="F712" s="2" t="s">
        <v>25</v>
      </c>
      <c r="G712" s="36">
        <v>0.66666666666666663</v>
      </c>
      <c r="H712" s="2" t="s">
        <v>1965</v>
      </c>
      <c r="I7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12" s="22">
        <v>15</v>
      </c>
      <c r="K712" s="22">
        <v>15</v>
      </c>
      <c r="L712" s="37">
        <v>36892</v>
      </c>
      <c r="M712" s="2" t="s">
        <v>2082</v>
      </c>
      <c r="N712" s="2" t="s">
        <v>1966</v>
      </c>
      <c r="O712" s="2" t="s">
        <v>27</v>
      </c>
      <c r="P712" s="2" t="s">
        <v>26</v>
      </c>
    </row>
    <row r="713" spans="1:16" ht="20.100000000000001" customHeight="1" x14ac:dyDescent="0.25">
      <c r="A713" s="26" t="str">
        <f>CONCATENATE(LEFT(ConsumoConcreto[[#This Row],[RecebimentoID]],4),"CNSC",TEXT(ConsumoConcreto[[#This Row],[Ordem]],"0000"),UPPER(LEFT(ConsumoConcreto[[#This Row],[Destino]],3)))</f>
        <v>0184CNSC0678RAD</v>
      </c>
      <c r="B713" s="1">
        <v>678</v>
      </c>
      <c r="C713" s="2" t="s">
        <v>2753</v>
      </c>
      <c r="D713" s="2" t="s">
        <v>2013</v>
      </c>
      <c r="E713" s="18">
        <v>17</v>
      </c>
      <c r="F713" s="2" t="s">
        <v>1801</v>
      </c>
      <c r="G713" s="36"/>
      <c r="H713" s="2" t="s">
        <v>1968</v>
      </c>
      <c r="I7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13" s="22">
        <v>7.33</v>
      </c>
      <c r="K713" s="22">
        <v>5.4809999999999999</v>
      </c>
      <c r="L713" s="37">
        <v>36892</v>
      </c>
      <c r="M713" s="2" t="s">
        <v>1971</v>
      </c>
      <c r="N713" s="2"/>
      <c r="O713" s="2" t="s">
        <v>27</v>
      </c>
      <c r="P713" s="2" t="s">
        <v>26</v>
      </c>
    </row>
    <row r="714" spans="1:16" ht="20.100000000000001" customHeight="1" x14ac:dyDescent="0.25">
      <c r="A714" s="26" t="str">
        <f>CONCATENATE(LEFT(ConsumoConcreto[[#This Row],[RecebimentoID]],4),"CNSC",TEXT(ConsumoConcreto[[#This Row],[Ordem]],"0000"),UPPER(LEFT(ConsumoConcreto[[#This Row],[Destino]],3)))</f>
        <v>0184CNSC0774PAR</v>
      </c>
      <c r="B714" s="1">
        <v>774</v>
      </c>
      <c r="C714" s="2" t="s">
        <v>2754</v>
      </c>
      <c r="D714" s="2" t="s">
        <v>2016</v>
      </c>
      <c r="E714" s="18">
        <v>17</v>
      </c>
      <c r="F714" s="2" t="s">
        <v>25</v>
      </c>
      <c r="G714" s="36">
        <v>0.84722222222222221</v>
      </c>
      <c r="H714" s="2" t="s">
        <v>1965</v>
      </c>
      <c r="I7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14" s="22">
        <v>14.5</v>
      </c>
      <c r="K714" s="22">
        <v>14.5</v>
      </c>
      <c r="L714" s="37">
        <v>36892</v>
      </c>
      <c r="M714" s="2"/>
      <c r="N714" s="2" t="s">
        <v>2017</v>
      </c>
      <c r="O714" s="2" t="s">
        <v>27</v>
      </c>
      <c r="P714" s="2" t="s">
        <v>26</v>
      </c>
    </row>
    <row r="715" spans="1:16" ht="20.100000000000001" customHeight="1" x14ac:dyDescent="0.25">
      <c r="A715" s="26" t="str">
        <f>CONCATENATE(LEFT(ConsumoConcreto[[#This Row],[RecebimentoID]],4),"CNSC",TEXT(ConsumoConcreto[[#This Row],[Ordem]],"0000"),UPPER(LEFT(ConsumoConcreto[[#This Row],[Destino]],3)))</f>
        <v>0184CNSC0758RAD</v>
      </c>
      <c r="B715" s="1">
        <v>758</v>
      </c>
      <c r="C715" s="2" t="s">
        <v>2755</v>
      </c>
      <c r="D715" s="2" t="s">
        <v>2016</v>
      </c>
      <c r="E715" s="18">
        <v>17</v>
      </c>
      <c r="F715" s="2" t="s">
        <v>1801</v>
      </c>
      <c r="G715" s="36">
        <v>0.57291666666666663</v>
      </c>
      <c r="H715" s="2" t="s">
        <v>1968</v>
      </c>
      <c r="I7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15" s="22">
        <v>5.5</v>
      </c>
      <c r="K715" s="22">
        <v>5.5</v>
      </c>
      <c r="L715" s="37">
        <v>36892</v>
      </c>
      <c r="M715" s="2"/>
      <c r="N715" s="2" t="s">
        <v>2017</v>
      </c>
      <c r="O715" s="2" t="s">
        <v>27</v>
      </c>
      <c r="P715" s="2" t="s">
        <v>26</v>
      </c>
    </row>
    <row r="716" spans="1:16" ht="20.100000000000001" customHeight="1" x14ac:dyDescent="0.25">
      <c r="A716" s="26" t="str">
        <f>CONCATENATE(LEFT(ConsumoConcreto[[#This Row],[RecebimentoID]],4),"CNSC",TEXT(ConsumoConcreto[[#This Row],[Ordem]],"0000"),UPPER(LEFT(ConsumoConcreto[[#This Row],[Destino]],3)))</f>
        <v>0184CNSC0849PAR</v>
      </c>
      <c r="B716" s="1">
        <v>849</v>
      </c>
      <c r="C716" s="2" t="s">
        <v>2756</v>
      </c>
      <c r="D716" s="2" t="s">
        <v>2024</v>
      </c>
      <c r="E716" s="18">
        <v>17</v>
      </c>
      <c r="F716" s="2" t="s">
        <v>25</v>
      </c>
      <c r="G716" s="36">
        <v>0.70694444444444438</v>
      </c>
      <c r="H716" s="2" t="s">
        <v>1965</v>
      </c>
      <c r="I7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16" s="22">
        <v>14.5</v>
      </c>
      <c r="K716" s="22">
        <v>14.5</v>
      </c>
      <c r="L716" s="37">
        <v>36892</v>
      </c>
      <c r="M716" s="2"/>
      <c r="N716" s="2" t="s">
        <v>1966</v>
      </c>
      <c r="O716" s="2" t="s">
        <v>27</v>
      </c>
      <c r="P716" s="2" t="s">
        <v>26</v>
      </c>
    </row>
    <row r="717" spans="1:16" ht="20.100000000000001" customHeight="1" x14ac:dyDescent="0.25">
      <c r="A717" s="26" t="str">
        <f>CONCATENATE(LEFT(ConsumoConcreto[[#This Row],[RecebimentoID]],4),"CNSC",TEXT(ConsumoConcreto[[#This Row],[Ordem]],"0000"),UPPER(LEFT(ConsumoConcreto[[#This Row],[Destino]],3)))</f>
        <v>0184CNSC0818RAD</v>
      </c>
      <c r="B717" s="1">
        <v>818</v>
      </c>
      <c r="C717" s="2" t="s">
        <v>2757</v>
      </c>
      <c r="D717" s="2" t="s">
        <v>2024</v>
      </c>
      <c r="E717" s="18">
        <v>17</v>
      </c>
      <c r="F717" s="2" t="s">
        <v>1801</v>
      </c>
      <c r="G717" s="36">
        <v>0.4201388888888889</v>
      </c>
      <c r="H717" s="2" t="s">
        <v>1968</v>
      </c>
      <c r="I7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17" s="22">
        <v>5.5</v>
      </c>
      <c r="K717" s="22">
        <v>5.5</v>
      </c>
      <c r="L717" s="37">
        <v>36892</v>
      </c>
      <c r="M717" s="2"/>
      <c r="N717" s="2" t="s">
        <v>1963</v>
      </c>
      <c r="O717" s="2" t="s">
        <v>27</v>
      </c>
      <c r="P717" s="2" t="s">
        <v>26</v>
      </c>
    </row>
    <row r="718" spans="1:16" ht="20.100000000000001" customHeight="1" x14ac:dyDescent="0.25">
      <c r="A718" s="26" t="str">
        <f>CONCATENATE(LEFT(ConsumoConcreto[[#This Row],[RecebimentoID]],4),"CNSC",TEXT(ConsumoConcreto[[#This Row],[Ordem]],"0000"),UPPER(LEFT(ConsumoConcreto[[#This Row],[Destino]],3)))</f>
        <v>0184CNSC0894PAR</v>
      </c>
      <c r="B718" s="1">
        <v>894</v>
      </c>
      <c r="C718" s="2" t="s">
        <v>2758</v>
      </c>
      <c r="D718" s="2" t="s">
        <v>2027</v>
      </c>
      <c r="E718" s="18">
        <v>17</v>
      </c>
      <c r="F718" s="2" t="s">
        <v>25</v>
      </c>
      <c r="G718" s="36">
        <v>0.72777777777777775</v>
      </c>
      <c r="H718" s="2" t="s">
        <v>1965</v>
      </c>
      <c r="I7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18" s="22">
        <v>14.5</v>
      </c>
      <c r="K718" s="22">
        <v>14.5</v>
      </c>
      <c r="L718" s="37">
        <v>36892</v>
      </c>
      <c r="M718" s="2"/>
      <c r="N718" s="2" t="s">
        <v>1966</v>
      </c>
      <c r="O718" s="2" t="s">
        <v>27</v>
      </c>
      <c r="P718" s="2" t="s">
        <v>26</v>
      </c>
    </row>
    <row r="719" spans="1:16" ht="20.100000000000001" customHeight="1" x14ac:dyDescent="0.25">
      <c r="A719" s="26" t="str">
        <f>CONCATENATE(LEFT(ConsumoConcreto[[#This Row],[RecebimentoID]],4),"CNSC",TEXT(ConsumoConcreto[[#This Row],[Ordem]],"0000"),UPPER(LEFT(ConsumoConcreto[[#This Row],[Destino]],3)))</f>
        <v>0184CNSC0877RAD</v>
      </c>
      <c r="B719" s="1">
        <v>877</v>
      </c>
      <c r="C719" s="2" t="s">
        <v>2759</v>
      </c>
      <c r="D719" s="2" t="s">
        <v>2027</v>
      </c>
      <c r="E719" s="18">
        <v>17</v>
      </c>
      <c r="F719" s="2" t="s">
        <v>1801</v>
      </c>
      <c r="G719" s="36">
        <v>0.44444444444444442</v>
      </c>
      <c r="H719" s="2" t="s">
        <v>1968</v>
      </c>
      <c r="I7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19" s="22">
        <v>5.5</v>
      </c>
      <c r="K719" s="22">
        <v>5.5</v>
      </c>
      <c r="L719" s="37">
        <v>36892</v>
      </c>
      <c r="M719" s="2"/>
      <c r="N719" s="2" t="s">
        <v>1963</v>
      </c>
      <c r="O719" s="2" t="s">
        <v>27</v>
      </c>
      <c r="P719" s="2" t="s">
        <v>26</v>
      </c>
    </row>
    <row r="720" spans="1:16" ht="20.100000000000001" customHeight="1" x14ac:dyDescent="0.25">
      <c r="A720" s="26" t="str">
        <f>CONCATENATE(LEFT(ConsumoConcreto[[#This Row],[RecebimentoID]],4),"CNSC",TEXT(ConsumoConcreto[[#This Row],[Ordem]],"0000"),UPPER(LEFT(ConsumoConcreto[[#This Row],[Destino]],3)))</f>
        <v>0184CNSC0933PAR</v>
      </c>
      <c r="B720" s="1">
        <v>933</v>
      </c>
      <c r="C720" s="2" t="s">
        <v>2760</v>
      </c>
      <c r="D720" s="2" t="s">
        <v>2030</v>
      </c>
      <c r="E720" s="18">
        <v>17</v>
      </c>
      <c r="F720" s="2" t="s">
        <v>25</v>
      </c>
      <c r="G720" s="36">
        <v>0.87916666666666676</v>
      </c>
      <c r="H720" s="2" t="s">
        <v>1965</v>
      </c>
      <c r="I7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20" s="22">
        <v>14.5</v>
      </c>
      <c r="K720" s="22">
        <v>14.5</v>
      </c>
      <c r="L720" s="37">
        <v>36892</v>
      </c>
      <c r="M720" s="2"/>
      <c r="N720" s="2" t="s">
        <v>1966</v>
      </c>
      <c r="O720" s="2" t="s">
        <v>27</v>
      </c>
      <c r="P720" s="2" t="s">
        <v>26</v>
      </c>
    </row>
    <row r="721" spans="1:16" ht="20.100000000000001" customHeight="1" x14ac:dyDescent="0.25">
      <c r="A721" s="26" t="str">
        <f>CONCATENATE(LEFT(ConsumoConcreto[[#This Row],[RecebimentoID]],4),"CNSC",TEXT(ConsumoConcreto[[#This Row],[Ordem]],"0000"),UPPER(LEFT(ConsumoConcreto[[#This Row],[Destino]],3)))</f>
        <v>0184CNSC0925RAD</v>
      </c>
      <c r="B721" s="1">
        <v>925</v>
      </c>
      <c r="C721" s="2" t="s">
        <v>2761</v>
      </c>
      <c r="D721" s="2" t="s">
        <v>2030</v>
      </c>
      <c r="E721" s="18">
        <v>17</v>
      </c>
      <c r="F721" s="2" t="s">
        <v>1801</v>
      </c>
      <c r="G721" s="36">
        <v>0.47569444444444442</v>
      </c>
      <c r="H721" s="2" t="s">
        <v>1968</v>
      </c>
      <c r="I7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21" s="22">
        <v>5.5</v>
      </c>
      <c r="K721" s="22">
        <v>5.5</v>
      </c>
      <c r="L721" s="37">
        <v>36892</v>
      </c>
      <c r="M721" s="2"/>
      <c r="N721" s="2" t="s">
        <v>1966</v>
      </c>
      <c r="O721" s="2" t="s">
        <v>27</v>
      </c>
      <c r="P721" s="2" t="s">
        <v>26</v>
      </c>
    </row>
    <row r="722" spans="1:16" ht="20.100000000000001" customHeight="1" x14ac:dyDescent="0.25">
      <c r="A722" s="26" t="str">
        <f>CONCATENATE(LEFT(ConsumoConcreto[[#This Row],[RecebimentoID]],4),"CNSC",TEXT(ConsumoConcreto[[#This Row],[Ordem]],"0000"),UPPER(LEFT(ConsumoConcreto[[#This Row],[Destino]],3)))</f>
        <v>0184CNSC0960PAR</v>
      </c>
      <c r="B722" s="1">
        <v>960</v>
      </c>
      <c r="C722" s="2" t="s">
        <v>2762</v>
      </c>
      <c r="D722" s="2" t="s">
        <v>2033</v>
      </c>
      <c r="E722" s="18">
        <v>17</v>
      </c>
      <c r="F722" s="2" t="s">
        <v>25</v>
      </c>
      <c r="G722" s="36">
        <v>0.70972222222222225</v>
      </c>
      <c r="H722" s="2" t="s">
        <v>1965</v>
      </c>
      <c r="I7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22" s="22">
        <v>14.5</v>
      </c>
      <c r="K722" s="22">
        <v>14.5</v>
      </c>
      <c r="L722" s="37">
        <v>36892</v>
      </c>
      <c r="M722" s="2"/>
      <c r="N722" s="2" t="s">
        <v>1966</v>
      </c>
      <c r="O722" s="2" t="s">
        <v>27</v>
      </c>
      <c r="P722" s="2" t="s">
        <v>26</v>
      </c>
    </row>
    <row r="723" spans="1:16" ht="20.100000000000001" customHeight="1" x14ac:dyDescent="0.25">
      <c r="A723" s="26" t="str">
        <f>CONCATENATE(LEFT(ConsumoConcreto[[#This Row],[RecebimentoID]],4),"CNSC",TEXT(ConsumoConcreto[[#This Row],[Ordem]],"0000"),UPPER(LEFT(ConsumoConcreto[[#This Row],[Destino]],3)))</f>
        <v>0184CNSC0940RAD</v>
      </c>
      <c r="B723" s="1">
        <v>940</v>
      </c>
      <c r="C723" s="2" t="s">
        <v>2763</v>
      </c>
      <c r="D723" s="2" t="s">
        <v>2033</v>
      </c>
      <c r="E723" s="18">
        <v>17</v>
      </c>
      <c r="F723" s="2" t="s">
        <v>1801</v>
      </c>
      <c r="G723" s="36">
        <v>0.75694444444444453</v>
      </c>
      <c r="H723" s="2" t="s">
        <v>1968</v>
      </c>
      <c r="I7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23" s="22">
        <v>9.5</v>
      </c>
      <c r="K723" s="22">
        <v>9.5</v>
      </c>
      <c r="L723" s="37">
        <v>36892</v>
      </c>
      <c r="M723" s="2" t="s">
        <v>2764</v>
      </c>
      <c r="N723" s="2" t="s">
        <v>1966</v>
      </c>
      <c r="O723" s="2" t="s">
        <v>27</v>
      </c>
      <c r="P723" s="2" t="s">
        <v>26</v>
      </c>
    </row>
    <row r="724" spans="1:16" ht="20.100000000000001" customHeight="1" x14ac:dyDescent="0.25">
      <c r="A724" s="26" t="str">
        <f>CONCATENATE(LEFT(ConsumoConcreto[[#This Row],[RecebimentoID]],4),"CNSC",TEXT(ConsumoConcreto[[#This Row],[Ordem]],"0000"),UPPER(LEFT(ConsumoConcreto[[#This Row],[Destino]],3)))</f>
        <v>0184CNSC1073PAR</v>
      </c>
      <c r="B724" s="1">
        <v>1073</v>
      </c>
      <c r="C724" s="2" t="s">
        <v>2765</v>
      </c>
      <c r="D724" s="2" t="s">
        <v>2036</v>
      </c>
      <c r="E724" s="18">
        <v>17</v>
      </c>
      <c r="F724" s="2" t="s">
        <v>25</v>
      </c>
      <c r="G724" s="36">
        <v>0.70347222222222217</v>
      </c>
      <c r="H724" s="2" t="s">
        <v>1965</v>
      </c>
      <c r="I7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24" s="22">
        <v>14.5</v>
      </c>
      <c r="K724" s="22">
        <v>14.5</v>
      </c>
      <c r="L724" s="37">
        <v>36892</v>
      </c>
      <c r="M724" s="2"/>
      <c r="N724" s="2" t="s">
        <v>1966</v>
      </c>
      <c r="O724" s="2" t="s">
        <v>27</v>
      </c>
      <c r="P724" s="2" t="s">
        <v>26</v>
      </c>
    </row>
    <row r="725" spans="1:16" ht="20.100000000000001" customHeight="1" x14ac:dyDescent="0.25">
      <c r="A725" s="26" t="str">
        <f>CONCATENATE(LEFT(ConsumoConcreto[[#This Row],[RecebimentoID]],4),"CNSC",TEXT(ConsumoConcreto[[#This Row],[Ordem]],"0000"),UPPER(LEFT(ConsumoConcreto[[#This Row],[Destino]],3)))</f>
        <v>0184CNSC1034RAD</v>
      </c>
      <c r="B725" s="1">
        <v>1034</v>
      </c>
      <c r="C725" s="2" t="s">
        <v>2766</v>
      </c>
      <c r="D725" s="2" t="s">
        <v>2036</v>
      </c>
      <c r="E725" s="18">
        <v>17</v>
      </c>
      <c r="F725" s="2" t="s">
        <v>1801</v>
      </c>
      <c r="G725" s="36">
        <v>0.4548611111111111</v>
      </c>
      <c r="H725" s="2" t="s">
        <v>1968</v>
      </c>
      <c r="I7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25" s="22">
        <v>5.5</v>
      </c>
      <c r="K725" s="22">
        <v>5.5</v>
      </c>
      <c r="L725" s="37">
        <v>36892</v>
      </c>
      <c r="M725" s="2"/>
      <c r="N725" s="2" t="s">
        <v>1963</v>
      </c>
      <c r="O725" s="2" t="s">
        <v>27</v>
      </c>
      <c r="P725" s="2" t="s">
        <v>26</v>
      </c>
    </row>
    <row r="726" spans="1:16" ht="20.100000000000001" customHeight="1" x14ac:dyDescent="0.25">
      <c r="A726" s="26" t="str">
        <f>CONCATENATE(LEFT(ConsumoConcreto[[#This Row],[RecebimentoID]],4),"CNSC",TEXT(ConsumoConcreto[[#This Row],[Ordem]],"0000"),UPPER(LEFT(ConsumoConcreto[[#This Row],[Destino]],3)))</f>
        <v>0184CNSC0064PAR</v>
      </c>
      <c r="B726" s="1">
        <v>64</v>
      </c>
      <c r="C726" s="2" t="s">
        <v>2767</v>
      </c>
      <c r="D726" s="2" t="s">
        <v>1970</v>
      </c>
      <c r="E726" s="18">
        <v>18</v>
      </c>
      <c r="F726" s="2" t="s">
        <v>25</v>
      </c>
      <c r="G726" s="36"/>
      <c r="H726" s="2" t="s">
        <v>1965</v>
      </c>
      <c r="I7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26" s="22">
        <v>14.5</v>
      </c>
      <c r="K726" s="22">
        <v>14.5</v>
      </c>
      <c r="L726" s="37">
        <v>36892</v>
      </c>
      <c r="M726" s="2"/>
      <c r="N726" s="2" t="s">
        <v>1966</v>
      </c>
      <c r="O726" s="2" t="s">
        <v>27</v>
      </c>
      <c r="P726" s="2" t="s">
        <v>26</v>
      </c>
    </row>
    <row r="727" spans="1:16" ht="20.100000000000001" customHeight="1" x14ac:dyDescent="0.25">
      <c r="A727" s="26" t="str">
        <f>CONCATENATE(LEFT(ConsumoConcreto[[#This Row],[RecebimentoID]],4),"CNSC",TEXT(ConsumoConcreto[[#This Row],[Ordem]],"0000"),UPPER(LEFT(ConsumoConcreto[[#This Row],[Destino]],3)))</f>
        <v>0184CNSC0091PIL</v>
      </c>
      <c r="B727" s="1">
        <v>91</v>
      </c>
      <c r="C727" s="2" t="s">
        <v>2768</v>
      </c>
      <c r="D727" s="2" t="s">
        <v>1970</v>
      </c>
      <c r="E727" s="18">
        <v>18</v>
      </c>
      <c r="F727" s="2" t="s">
        <v>25</v>
      </c>
      <c r="G727" s="36"/>
      <c r="H727" s="2" t="s">
        <v>1962</v>
      </c>
      <c r="I7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27" s="22">
        <v>0.1</v>
      </c>
      <c r="K727" s="22">
        <v>0.1</v>
      </c>
      <c r="L727" s="37">
        <v>36892</v>
      </c>
      <c r="M727" s="2"/>
      <c r="N727" s="2" t="s">
        <v>1963</v>
      </c>
      <c r="O727" s="2" t="s">
        <v>27</v>
      </c>
      <c r="P727" s="2" t="s">
        <v>26</v>
      </c>
    </row>
    <row r="728" spans="1:16" ht="20.100000000000001" customHeight="1" x14ac:dyDescent="0.25">
      <c r="A728" s="26" t="str">
        <f>CONCATENATE(LEFT(ConsumoConcreto[[#This Row],[RecebimentoID]],4),"CNSC",TEXT(ConsumoConcreto[[#This Row],[Ordem]],"0000"),UPPER(LEFT(ConsumoConcreto[[#This Row],[Destino]],3)))</f>
        <v>0184CNSC0032RAD</v>
      </c>
      <c r="B728" s="1">
        <v>32</v>
      </c>
      <c r="C728" s="2" t="s">
        <v>2769</v>
      </c>
      <c r="D728" s="2" t="s">
        <v>1970</v>
      </c>
      <c r="E728" s="18">
        <v>18</v>
      </c>
      <c r="F728" s="2" t="s">
        <v>1801</v>
      </c>
      <c r="G728" s="36"/>
      <c r="H728" s="2" t="s">
        <v>1968</v>
      </c>
      <c r="I7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28" s="22">
        <v>5.5</v>
      </c>
      <c r="K728" s="22">
        <v>5.5</v>
      </c>
      <c r="L728" s="37">
        <v>36892</v>
      </c>
      <c r="M728" s="2"/>
      <c r="N728" s="2"/>
      <c r="O728" s="2" t="s">
        <v>27</v>
      </c>
      <c r="P728" s="2" t="s">
        <v>26</v>
      </c>
    </row>
    <row r="729" spans="1:16" ht="20.100000000000001" customHeight="1" x14ac:dyDescent="0.25">
      <c r="A729" s="26" t="str">
        <f>CONCATENATE(LEFT(ConsumoConcreto[[#This Row],[RecebimentoID]],4),"CNSC",TEXT(ConsumoConcreto[[#This Row],[Ordem]],"0000"),UPPER(LEFT(ConsumoConcreto[[#This Row],[Destino]],3)))</f>
        <v>0184CNSC0139PAR</v>
      </c>
      <c r="B729" s="1">
        <v>139</v>
      </c>
      <c r="C729" s="2" t="s">
        <v>2770</v>
      </c>
      <c r="D729" s="2" t="s">
        <v>1975</v>
      </c>
      <c r="E729" s="18">
        <v>18</v>
      </c>
      <c r="F729" s="2" t="s">
        <v>25</v>
      </c>
      <c r="G729" s="36"/>
      <c r="H729" s="2" t="s">
        <v>1965</v>
      </c>
      <c r="I7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29" s="22">
        <v>14.5</v>
      </c>
      <c r="K729" s="22">
        <v>14</v>
      </c>
      <c r="L729" s="37">
        <v>36892</v>
      </c>
      <c r="M729" s="2"/>
      <c r="N729" s="2" t="s">
        <v>1966</v>
      </c>
      <c r="O729" s="2" t="s">
        <v>27</v>
      </c>
      <c r="P729" s="2" t="s">
        <v>26</v>
      </c>
    </row>
    <row r="730" spans="1:16" ht="20.100000000000001" customHeight="1" x14ac:dyDescent="0.25">
      <c r="A730" s="26" t="str">
        <f>CONCATENATE(LEFT(ConsumoConcreto[[#This Row],[RecebimentoID]],4),"CNSC",TEXT(ConsumoConcreto[[#This Row],[Ordem]],"0000"),UPPER(LEFT(ConsumoConcreto[[#This Row],[Destino]],3)))</f>
        <v>0184CNSC0171PIL</v>
      </c>
      <c r="B730" s="1">
        <v>171</v>
      </c>
      <c r="C730" s="2" t="s">
        <v>2771</v>
      </c>
      <c r="D730" s="2" t="s">
        <v>1975</v>
      </c>
      <c r="E730" s="18">
        <v>18</v>
      </c>
      <c r="F730" s="2" t="s">
        <v>25</v>
      </c>
      <c r="G730" s="36"/>
      <c r="H730" s="2" t="s">
        <v>1962</v>
      </c>
      <c r="I7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30" s="22">
        <v>0.1</v>
      </c>
      <c r="K730" s="22">
        <v>0.1</v>
      </c>
      <c r="L730" s="37">
        <v>36892</v>
      </c>
      <c r="M730" s="2"/>
      <c r="N730" s="2" t="s">
        <v>1963</v>
      </c>
      <c r="O730" s="2" t="s">
        <v>27</v>
      </c>
      <c r="P730" s="2" t="s">
        <v>26</v>
      </c>
    </row>
    <row r="731" spans="1:16" ht="20.100000000000001" customHeight="1" x14ac:dyDescent="0.25">
      <c r="A731" s="26" t="str">
        <f>CONCATENATE(LEFT(ConsumoConcreto[[#This Row],[RecebimentoID]],4),"CNSC",TEXT(ConsumoConcreto[[#This Row],[Ordem]],"0000"),UPPER(LEFT(ConsumoConcreto[[#This Row],[Destino]],3)))</f>
        <v>0184CNSC0102RAD</v>
      </c>
      <c r="B731" s="1">
        <v>102</v>
      </c>
      <c r="C731" s="2" t="s">
        <v>2772</v>
      </c>
      <c r="D731" s="2" t="s">
        <v>1975</v>
      </c>
      <c r="E731" s="18">
        <v>18</v>
      </c>
      <c r="F731" s="2" t="s">
        <v>1801</v>
      </c>
      <c r="G731" s="36"/>
      <c r="H731" s="2" t="s">
        <v>1968</v>
      </c>
      <c r="I7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31" s="22">
        <v>5.5</v>
      </c>
      <c r="K731" s="22">
        <v>5.5</v>
      </c>
      <c r="L731" s="37">
        <v>36892</v>
      </c>
      <c r="M731" s="2"/>
      <c r="N731" s="2" t="s">
        <v>1966</v>
      </c>
      <c r="O731" s="2" t="s">
        <v>27</v>
      </c>
      <c r="P731" s="2" t="s">
        <v>26</v>
      </c>
    </row>
    <row r="732" spans="1:16" ht="20.100000000000001" customHeight="1" x14ac:dyDescent="0.25">
      <c r="A732" s="26" t="str">
        <f>CONCATENATE(LEFT(ConsumoConcreto[[#This Row],[RecebimentoID]],4),"CNSC",TEXT(ConsumoConcreto[[#This Row],[Ordem]],"0000"),UPPER(LEFT(ConsumoConcreto[[#This Row],[Destino]],3)))</f>
        <v>0184CNSC0221PAR</v>
      </c>
      <c r="B732" s="1">
        <v>221</v>
      </c>
      <c r="C732" s="2" t="s">
        <v>2773</v>
      </c>
      <c r="D732" s="2" t="s">
        <v>1979</v>
      </c>
      <c r="E732" s="18">
        <v>18</v>
      </c>
      <c r="F732" s="2" t="s">
        <v>25</v>
      </c>
      <c r="G732" s="36">
        <v>0.66736111111111107</v>
      </c>
      <c r="H732" s="2" t="s">
        <v>1965</v>
      </c>
      <c r="I7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32" s="22">
        <v>15</v>
      </c>
      <c r="K732" s="22">
        <v>15</v>
      </c>
      <c r="L732" s="37">
        <v>36892</v>
      </c>
      <c r="M732" s="2"/>
      <c r="N732" s="2" t="s">
        <v>1966</v>
      </c>
      <c r="O732" s="2" t="s">
        <v>27</v>
      </c>
      <c r="P732" s="2" t="s">
        <v>26</v>
      </c>
    </row>
    <row r="733" spans="1:16" ht="20.100000000000001" customHeight="1" x14ac:dyDescent="0.25">
      <c r="A733" s="26" t="str">
        <f>CONCATENATE(LEFT(ConsumoConcreto[[#This Row],[RecebimentoID]],4),"CNSC",TEXT(ConsumoConcreto[[#This Row],[Ordem]],"0000"),UPPER(LEFT(ConsumoConcreto[[#This Row],[Destino]],3)))</f>
        <v>0184CNSC0195RAD</v>
      </c>
      <c r="B733" s="1">
        <v>195</v>
      </c>
      <c r="C733" s="2" t="s">
        <v>2774</v>
      </c>
      <c r="D733" s="2" t="s">
        <v>1979</v>
      </c>
      <c r="E733" s="18">
        <v>18</v>
      </c>
      <c r="F733" s="2" t="s">
        <v>1801</v>
      </c>
      <c r="G733" s="36"/>
      <c r="H733" s="2" t="s">
        <v>1968</v>
      </c>
      <c r="I7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33" s="22">
        <v>6</v>
      </c>
      <c r="K733" s="22">
        <v>5.5</v>
      </c>
      <c r="L733" s="37">
        <v>36892</v>
      </c>
      <c r="M733" s="2" t="s">
        <v>2252</v>
      </c>
      <c r="N733" s="2" t="s">
        <v>1966</v>
      </c>
      <c r="O733" s="2" t="s">
        <v>27</v>
      </c>
      <c r="P733" s="2" t="s">
        <v>26</v>
      </c>
    </row>
    <row r="734" spans="1:16" ht="20.100000000000001" customHeight="1" x14ac:dyDescent="0.25">
      <c r="A734" s="26" t="str">
        <f>CONCATENATE(LEFT(ConsumoConcreto[[#This Row],[RecebimentoID]],4),"CNSC",TEXT(ConsumoConcreto[[#This Row],[Ordem]],"0000"),UPPER(LEFT(ConsumoConcreto[[#This Row],[Destino]],3)))</f>
        <v>0184CNSC0509PAR</v>
      </c>
      <c r="B734" s="1">
        <v>509</v>
      </c>
      <c r="C734" s="2" t="s">
        <v>2775</v>
      </c>
      <c r="D734" s="2" t="s">
        <v>2005</v>
      </c>
      <c r="E734" s="18">
        <v>18</v>
      </c>
      <c r="F734" s="2" t="s">
        <v>25</v>
      </c>
      <c r="G734" s="36"/>
      <c r="H734" s="2" t="s">
        <v>1965</v>
      </c>
      <c r="I7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34" s="22">
        <v>14.5</v>
      </c>
      <c r="K734" s="22">
        <v>14.5</v>
      </c>
      <c r="L734" s="37">
        <v>36892</v>
      </c>
      <c r="M734" s="2"/>
      <c r="N734" s="2" t="s">
        <v>1966</v>
      </c>
      <c r="O734" s="2" t="s">
        <v>27</v>
      </c>
      <c r="P734" s="2" t="s">
        <v>26</v>
      </c>
    </row>
    <row r="735" spans="1:16" ht="20.100000000000001" customHeight="1" x14ac:dyDescent="0.25">
      <c r="A735" s="26" t="str">
        <f>CONCATENATE(LEFT(ConsumoConcreto[[#This Row],[RecebimentoID]],4),"CNSC",TEXT(ConsumoConcreto[[#This Row],[Ordem]],"0000"),UPPER(LEFT(ConsumoConcreto[[#This Row],[Destino]],3)))</f>
        <v>0184CNSC0477RAD</v>
      </c>
      <c r="B735" s="1">
        <v>477</v>
      </c>
      <c r="C735" s="2" t="s">
        <v>2776</v>
      </c>
      <c r="D735" s="2" t="s">
        <v>2005</v>
      </c>
      <c r="E735" s="18">
        <v>18</v>
      </c>
      <c r="F735" s="2" t="s">
        <v>1801</v>
      </c>
      <c r="G735" s="36">
        <v>0.51041666666666663</v>
      </c>
      <c r="H735" s="2" t="s">
        <v>1968</v>
      </c>
      <c r="I7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35" s="22">
        <v>5.5</v>
      </c>
      <c r="K735" s="22">
        <v>5.5</v>
      </c>
      <c r="L735" s="37">
        <v>36892</v>
      </c>
      <c r="M735" s="2"/>
      <c r="N735" s="2" t="s">
        <v>1963</v>
      </c>
      <c r="O735" s="2" t="s">
        <v>27</v>
      </c>
      <c r="P735" s="2" t="s">
        <v>26</v>
      </c>
    </row>
    <row r="736" spans="1:16" ht="20.100000000000001" customHeight="1" x14ac:dyDescent="0.25">
      <c r="A736" s="26" t="str">
        <f>CONCATENATE(LEFT(ConsumoConcreto[[#This Row],[RecebimentoID]],4),"CNSC",TEXT(ConsumoConcreto[[#This Row],[Ordem]],"0000"),UPPER(LEFT(ConsumoConcreto[[#This Row],[Destino]],3)))</f>
        <v>0184CNSC0586PAR</v>
      </c>
      <c r="B736" s="1">
        <v>586</v>
      </c>
      <c r="C736" s="2" t="s">
        <v>2777</v>
      </c>
      <c r="D736" s="2" t="s">
        <v>2007</v>
      </c>
      <c r="E736" s="18">
        <v>18</v>
      </c>
      <c r="F736" s="2" t="s">
        <v>25</v>
      </c>
      <c r="G736" s="36">
        <v>0.73263888888888884</v>
      </c>
      <c r="H736" s="2" t="s">
        <v>1965</v>
      </c>
      <c r="I7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36" s="22">
        <v>15</v>
      </c>
      <c r="K736" s="22">
        <v>15</v>
      </c>
      <c r="L736" s="37">
        <v>36892</v>
      </c>
      <c r="M736" s="2" t="s">
        <v>2778</v>
      </c>
      <c r="N736" s="2" t="s">
        <v>1966</v>
      </c>
      <c r="O736" s="2" t="s">
        <v>27</v>
      </c>
      <c r="P736" s="2" t="s">
        <v>26</v>
      </c>
    </row>
    <row r="737" spans="1:16" ht="20.100000000000001" customHeight="1" x14ac:dyDescent="0.25">
      <c r="A737" s="26" t="str">
        <f>CONCATENATE(LEFT(ConsumoConcreto[[#This Row],[RecebimentoID]],4),"CNSC",TEXT(ConsumoConcreto[[#This Row],[Ordem]],"0000"),UPPER(LEFT(ConsumoConcreto[[#This Row],[Destino]],3)))</f>
        <v>0184CNSC0557RAD</v>
      </c>
      <c r="B737" s="1">
        <v>557</v>
      </c>
      <c r="C737" s="2" t="s">
        <v>2779</v>
      </c>
      <c r="D737" s="2" t="s">
        <v>2007</v>
      </c>
      <c r="E737" s="18">
        <v>18</v>
      </c>
      <c r="F737" s="2" t="s">
        <v>1801</v>
      </c>
      <c r="G737" s="36"/>
      <c r="H737" s="2" t="s">
        <v>1968</v>
      </c>
      <c r="I7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37" s="22">
        <v>5.5</v>
      </c>
      <c r="K737" s="22">
        <v>5.5</v>
      </c>
      <c r="L737" s="37">
        <v>36892</v>
      </c>
      <c r="M737" s="2"/>
      <c r="N737" s="2" t="s">
        <v>1963</v>
      </c>
      <c r="O737" s="2" t="s">
        <v>27</v>
      </c>
      <c r="P737" s="2" t="s">
        <v>26</v>
      </c>
    </row>
    <row r="738" spans="1:16" ht="20.100000000000001" customHeight="1" x14ac:dyDescent="0.25">
      <c r="A738" s="26" t="str">
        <f>CONCATENATE(LEFT(ConsumoConcreto[[#This Row],[RecebimentoID]],4),"CNSC",TEXT(ConsumoConcreto[[#This Row],[Ordem]],"0000"),UPPER(LEFT(ConsumoConcreto[[#This Row],[Destino]],3)))</f>
        <v>0184CNSC0656PAR</v>
      </c>
      <c r="B738" s="1">
        <v>656</v>
      </c>
      <c r="C738" s="2" t="s">
        <v>2780</v>
      </c>
      <c r="D738" s="2" t="s">
        <v>2010</v>
      </c>
      <c r="E738" s="18">
        <v>18</v>
      </c>
      <c r="F738" s="2" t="s">
        <v>25</v>
      </c>
      <c r="G738" s="36">
        <v>0.9</v>
      </c>
      <c r="H738" s="2" t="s">
        <v>1965</v>
      </c>
      <c r="I7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38" s="22">
        <v>14</v>
      </c>
      <c r="K738" s="22">
        <v>14</v>
      </c>
      <c r="L738" s="37">
        <v>36892</v>
      </c>
      <c r="M738" s="2"/>
      <c r="N738" s="2" t="s">
        <v>1966</v>
      </c>
      <c r="O738" s="2" t="s">
        <v>27</v>
      </c>
      <c r="P738" s="2" t="s">
        <v>26</v>
      </c>
    </row>
    <row r="739" spans="1:16" ht="20.100000000000001" customHeight="1" x14ac:dyDescent="0.25">
      <c r="A739" s="26" t="str">
        <f>CONCATENATE(LEFT(ConsumoConcreto[[#This Row],[RecebimentoID]],4),"CNSC",TEXT(ConsumoConcreto[[#This Row],[Ordem]],"0000"),UPPER(LEFT(ConsumoConcreto[[#This Row],[Destino]],3)))</f>
        <v>0184CNSC0624RAD</v>
      </c>
      <c r="B739" s="1">
        <v>624</v>
      </c>
      <c r="C739" s="2" t="s">
        <v>2781</v>
      </c>
      <c r="D739" s="2" t="s">
        <v>2010</v>
      </c>
      <c r="E739" s="18">
        <v>18</v>
      </c>
      <c r="F739" s="2" t="s">
        <v>1801</v>
      </c>
      <c r="G739" s="36">
        <v>0.58333333333333337</v>
      </c>
      <c r="H739" s="2" t="s">
        <v>1968</v>
      </c>
      <c r="I7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39" s="22">
        <v>5.5</v>
      </c>
      <c r="K739" s="22">
        <v>5.5</v>
      </c>
      <c r="L739" s="37">
        <v>36892</v>
      </c>
      <c r="M739" s="2"/>
      <c r="N739" s="2" t="s">
        <v>1963</v>
      </c>
      <c r="O739" s="2" t="s">
        <v>27</v>
      </c>
      <c r="P739" s="2" t="s">
        <v>26</v>
      </c>
    </row>
    <row r="740" spans="1:16" ht="20.100000000000001" customHeight="1" x14ac:dyDescent="0.25">
      <c r="A740" s="26" t="str">
        <f>CONCATENATE(LEFT(ConsumoConcreto[[#This Row],[RecebimentoID]],4),"CNSC",TEXT(ConsumoConcreto[[#This Row],[Ordem]],"0000"),UPPER(LEFT(ConsumoConcreto[[#This Row],[Destino]],3)))</f>
        <v>0184CNSC0718PAR</v>
      </c>
      <c r="B740" s="1">
        <v>718</v>
      </c>
      <c r="C740" s="2" t="s">
        <v>2782</v>
      </c>
      <c r="D740" s="2" t="s">
        <v>2013</v>
      </c>
      <c r="E740" s="18">
        <v>18</v>
      </c>
      <c r="F740" s="2" t="s">
        <v>25</v>
      </c>
      <c r="G740" s="36">
        <v>0.77569444444444446</v>
      </c>
      <c r="H740" s="2" t="s">
        <v>1965</v>
      </c>
      <c r="I7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40" s="22">
        <v>15</v>
      </c>
      <c r="K740" s="22">
        <v>15</v>
      </c>
      <c r="L740" s="37">
        <v>36892</v>
      </c>
      <c r="M740" s="2" t="s">
        <v>2082</v>
      </c>
      <c r="N740" s="2" t="s">
        <v>1966</v>
      </c>
      <c r="O740" s="2" t="s">
        <v>27</v>
      </c>
      <c r="P740" s="2" t="s">
        <v>26</v>
      </c>
    </row>
    <row r="741" spans="1:16" ht="20.100000000000001" customHeight="1" x14ac:dyDescent="0.25">
      <c r="A741" s="26" t="str">
        <f>CONCATENATE(LEFT(ConsumoConcreto[[#This Row],[RecebimentoID]],4),"CNSC",TEXT(ConsumoConcreto[[#This Row],[Ordem]],"0000"),UPPER(LEFT(ConsumoConcreto[[#This Row],[Destino]],3)))</f>
        <v>0184CNSC0708RAD</v>
      </c>
      <c r="B741" s="1">
        <v>708</v>
      </c>
      <c r="C741" s="2" t="s">
        <v>2783</v>
      </c>
      <c r="D741" s="2" t="s">
        <v>2013</v>
      </c>
      <c r="E741" s="18">
        <v>18</v>
      </c>
      <c r="F741" s="2" t="s">
        <v>1801</v>
      </c>
      <c r="G741" s="36">
        <v>0.4381944444444445</v>
      </c>
      <c r="H741" s="2" t="s">
        <v>1968</v>
      </c>
      <c r="I7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41" s="22">
        <v>5.5</v>
      </c>
      <c r="K741" s="22">
        <v>5.5</v>
      </c>
      <c r="L741" s="37">
        <v>36892</v>
      </c>
      <c r="M741" s="2"/>
      <c r="N741" s="2" t="s">
        <v>1963</v>
      </c>
      <c r="O741" s="2" t="s">
        <v>27</v>
      </c>
      <c r="P741" s="2" t="s">
        <v>26</v>
      </c>
    </row>
    <row r="742" spans="1:16" ht="20.100000000000001" customHeight="1" x14ac:dyDescent="0.25">
      <c r="A742" s="26" t="str">
        <f>CONCATENATE(LEFT(ConsumoConcreto[[#This Row],[RecebimentoID]],4),"CNSC",TEXT(ConsumoConcreto[[#This Row],[Ordem]],"0000"),UPPER(LEFT(ConsumoConcreto[[#This Row],[Destino]],3)))</f>
        <v>0184CNSC0850PAR</v>
      </c>
      <c r="B742" s="1">
        <v>850</v>
      </c>
      <c r="C742" s="2" t="s">
        <v>2784</v>
      </c>
      <c r="D742" s="2" t="s">
        <v>2024</v>
      </c>
      <c r="E742" s="18">
        <v>18</v>
      </c>
      <c r="F742" s="2" t="s">
        <v>25</v>
      </c>
      <c r="G742" s="36">
        <v>0.76388888888888884</v>
      </c>
      <c r="H742" s="2" t="s">
        <v>1965</v>
      </c>
      <c r="I7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42" s="22">
        <v>14.5</v>
      </c>
      <c r="K742" s="22">
        <v>14.5</v>
      </c>
      <c r="L742" s="37">
        <v>36892</v>
      </c>
      <c r="M742" s="2"/>
      <c r="N742" s="2" t="s">
        <v>1966</v>
      </c>
      <c r="O742" s="2" t="s">
        <v>27</v>
      </c>
      <c r="P742" s="2" t="s">
        <v>26</v>
      </c>
    </row>
    <row r="743" spans="1:16" ht="20.100000000000001" customHeight="1" x14ac:dyDescent="0.25">
      <c r="A743" s="26" t="str">
        <f>CONCATENATE(LEFT(ConsumoConcreto[[#This Row],[RecebimentoID]],4),"CNSC",TEXT(ConsumoConcreto[[#This Row],[Ordem]],"0000"),UPPER(LEFT(ConsumoConcreto[[#This Row],[Destino]],3)))</f>
        <v>0184CNSC0816RAD</v>
      </c>
      <c r="B743" s="1">
        <v>816</v>
      </c>
      <c r="C743" s="2" t="s">
        <v>2785</v>
      </c>
      <c r="D743" s="2" t="s">
        <v>2024</v>
      </c>
      <c r="E743" s="18">
        <v>18</v>
      </c>
      <c r="F743" s="2" t="s">
        <v>1801</v>
      </c>
      <c r="G743" s="36">
        <v>0.70624999999999993</v>
      </c>
      <c r="H743" s="2" t="s">
        <v>1968</v>
      </c>
      <c r="I7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43" s="22">
        <v>5.5</v>
      </c>
      <c r="K743" s="22">
        <v>5.5</v>
      </c>
      <c r="L743" s="37">
        <v>36892</v>
      </c>
      <c r="M743" s="2"/>
      <c r="N743" s="2" t="s">
        <v>1966</v>
      </c>
      <c r="O743" s="2" t="s">
        <v>27</v>
      </c>
      <c r="P743" s="2" t="s">
        <v>26</v>
      </c>
    </row>
    <row r="744" spans="1:16" ht="20.100000000000001" customHeight="1" x14ac:dyDescent="0.25">
      <c r="A744" s="26" t="str">
        <f>CONCATENATE(LEFT(ConsumoConcreto[[#This Row],[RecebimentoID]],4),"CNSC",TEXT(ConsumoConcreto[[#This Row],[Ordem]],"0000"),UPPER(LEFT(ConsumoConcreto[[#This Row],[Destino]],3)))</f>
        <v>0184CNSC0931PAR</v>
      </c>
      <c r="B744" s="1">
        <v>931</v>
      </c>
      <c r="C744" s="2" t="s">
        <v>2786</v>
      </c>
      <c r="D744" s="2" t="s">
        <v>2030</v>
      </c>
      <c r="E744" s="18">
        <v>18</v>
      </c>
      <c r="F744" s="2" t="s">
        <v>25</v>
      </c>
      <c r="G744" s="36">
        <v>0.76041666666666663</v>
      </c>
      <c r="H744" s="2" t="s">
        <v>1965</v>
      </c>
      <c r="I7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44" s="22">
        <v>14</v>
      </c>
      <c r="K744" s="22">
        <v>14</v>
      </c>
      <c r="L744" s="37">
        <v>36892</v>
      </c>
      <c r="M744" s="2"/>
      <c r="N744" s="2" t="s">
        <v>1966</v>
      </c>
      <c r="O744" s="2" t="s">
        <v>27</v>
      </c>
      <c r="P744" s="2" t="s">
        <v>26</v>
      </c>
    </row>
    <row r="745" spans="1:16" ht="20.100000000000001" customHeight="1" x14ac:dyDescent="0.25">
      <c r="A745" s="26" t="str">
        <f>CONCATENATE(LEFT(ConsumoConcreto[[#This Row],[RecebimentoID]],4),"CNSC",TEXT(ConsumoConcreto[[#This Row],[Ordem]],"0000"),UPPER(LEFT(ConsumoConcreto[[#This Row],[Destino]],3)))</f>
        <v>0184CNSC0926RAD</v>
      </c>
      <c r="B745" s="1">
        <v>926</v>
      </c>
      <c r="C745" s="2" t="s">
        <v>2787</v>
      </c>
      <c r="D745" s="2" t="s">
        <v>2030</v>
      </c>
      <c r="E745" s="18">
        <v>18</v>
      </c>
      <c r="F745" s="2" t="s">
        <v>1801</v>
      </c>
      <c r="G745" s="36">
        <v>0.60069444444444442</v>
      </c>
      <c r="H745" s="2" t="s">
        <v>1968</v>
      </c>
      <c r="I7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45" s="22">
        <v>5.5</v>
      </c>
      <c r="K745" s="22">
        <v>5.5</v>
      </c>
      <c r="L745" s="37">
        <v>36892</v>
      </c>
      <c r="M745" s="2"/>
      <c r="N745" s="2" t="s">
        <v>1963</v>
      </c>
      <c r="O745" s="2" t="s">
        <v>27</v>
      </c>
      <c r="P745" s="2" t="s">
        <v>26</v>
      </c>
    </row>
    <row r="746" spans="1:16" ht="20.100000000000001" customHeight="1" x14ac:dyDescent="0.25">
      <c r="A746" s="26" t="str">
        <f>CONCATENATE(LEFT(ConsumoConcreto[[#This Row],[RecebimentoID]],4),"CNSC",TEXT(ConsumoConcreto[[#This Row],[Ordem]],"0000"),UPPER(LEFT(ConsumoConcreto[[#This Row],[Destino]],3)))</f>
        <v>0184CNSC0958PAR</v>
      </c>
      <c r="B746" s="1">
        <v>958</v>
      </c>
      <c r="C746" s="2" t="s">
        <v>2788</v>
      </c>
      <c r="D746" s="2" t="s">
        <v>2033</v>
      </c>
      <c r="E746" s="18">
        <v>18</v>
      </c>
      <c r="F746" s="2" t="s">
        <v>25</v>
      </c>
      <c r="G746" s="36">
        <v>0.77708333333333324</v>
      </c>
      <c r="H746" s="2" t="s">
        <v>1965</v>
      </c>
      <c r="I7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46" s="22">
        <v>14.5</v>
      </c>
      <c r="K746" s="22">
        <v>14.5</v>
      </c>
      <c r="L746" s="37">
        <v>36892</v>
      </c>
      <c r="M746" s="2"/>
      <c r="N746" s="2" t="s">
        <v>1966</v>
      </c>
      <c r="O746" s="2" t="s">
        <v>27</v>
      </c>
      <c r="P746" s="2" t="s">
        <v>26</v>
      </c>
    </row>
    <row r="747" spans="1:16" ht="20.100000000000001" customHeight="1" x14ac:dyDescent="0.25">
      <c r="A747" s="26" t="str">
        <f>CONCATENATE(LEFT(ConsumoConcreto[[#This Row],[RecebimentoID]],4),"CNSC",TEXT(ConsumoConcreto[[#This Row],[Ordem]],"0000"),UPPER(LEFT(ConsumoConcreto[[#This Row],[Destino]],3)))</f>
        <v>0184CNSC0954RAD</v>
      </c>
      <c r="B747" s="1">
        <v>954</v>
      </c>
      <c r="C747" s="2" t="s">
        <v>2789</v>
      </c>
      <c r="D747" s="2" t="s">
        <v>2033</v>
      </c>
      <c r="E747" s="18">
        <v>18</v>
      </c>
      <c r="F747" s="2" t="s">
        <v>1801</v>
      </c>
      <c r="G747" s="36">
        <v>0.64861111111111114</v>
      </c>
      <c r="H747" s="2" t="s">
        <v>1968</v>
      </c>
      <c r="I7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47" s="22">
        <v>5.5</v>
      </c>
      <c r="K747" s="22">
        <v>5.5</v>
      </c>
      <c r="L747" s="37">
        <v>36892</v>
      </c>
      <c r="M747" s="2" t="s">
        <v>2790</v>
      </c>
      <c r="N747" s="2" t="s">
        <v>1963</v>
      </c>
      <c r="O747" s="2" t="s">
        <v>27</v>
      </c>
      <c r="P747" s="2" t="s">
        <v>26</v>
      </c>
    </row>
    <row r="748" spans="1:16" ht="20.100000000000001" customHeight="1" x14ac:dyDescent="0.25">
      <c r="A748" s="26" t="str">
        <f>CONCATENATE(LEFT(ConsumoConcreto[[#This Row],[RecebimentoID]],4),"CNSC",TEXT(ConsumoConcreto[[#This Row],[Ordem]],"0000"),UPPER(LEFT(ConsumoConcreto[[#This Row],[Destino]],3)))</f>
        <v>0184CNSC1074PAR</v>
      </c>
      <c r="B748" s="1">
        <v>1074</v>
      </c>
      <c r="C748" s="2" t="s">
        <v>2791</v>
      </c>
      <c r="D748" s="2" t="s">
        <v>2036</v>
      </c>
      <c r="E748" s="18">
        <v>18</v>
      </c>
      <c r="F748" s="2" t="s">
        <v>25</v>
      </c>
      <c r="G748" s="36">
        <v>0.75138888888888899</v>
      </c>
      <c r="H748" s="2" t="s">
        <v>1965</v>
      </c>
      <c r="I7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48" s="22">
        <v>14.5</v>
      </c>
      <c r="K748" s="22">
        <v>14.5</v>
      </c>
      <c r="L748" s="37">
        <v>36892</v>
      </c>
      <c r="M748" s="2"/>
      <c r="N748" s="2" t="s">
        <v>1966</v>
      </c>
      <c r="O748" s="2" t="s">
        <v>27</v>
      </c>
      <c r="P748" s="2" t="s">
        <v>26</v>
      </c>
    </row>
    <row r="749" spans="1:16" ht="20.100000000000001" customHeight="1" x14ac:dyDescent="0.25">
      <c r="A749" s="26" t="str">
        <f>CONCATENATE(LEFT(ConsumoConcreto[[#This Row],[RecebimentoID]],4),"CNSC",TEXT(ConsumoConcreto[[#This Row],[Ordem]],"0000"),UPPER(LEFT(ConsumoConcreto[[#This Row],[Destino]],3)))</f>
        <v>0184CNSC1018RAD</v>
      </c>
      <c r="B749" s="1">
        <v>1018</v>
      </c>
      <c r="C749" s="2" t="s">
        <v>2792</v>
      </c>
      <c r="D749" s="2" t="s">
        <v>2036</v>
      </c>
      <c r="E749" s="18">
        <v>18</v>
      </c>
      <c r="F749" s="2" t="s">
        <v>1801</v>
      </c>
      <c r="G749" s="36">
        <v>0.65277777777777779</v>
      </c>
      <c r="H749" s="2" t="s">
        <v>1968</v>
      </c>
      <c r="I7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49" s="22">
        <v>5.5</v>
      </c>
      <c r="K749" s="22">
        <v>5.5</v>
      </c>
      <c r="L749" s="37">
        <v>36892</v>
      </c>
      <c r="M749" s="2"/>
      <c r="N749" s="2" t="s">
        <v>1963</v>
      </c>
      <c r="O749" s="2" t="s">
        <v>27</v>
      </c>
      <c r="P749" s="2" t="s">
        <v>26</v>
      </c>
    </row>
    <row r="750" spans="1:16" ht="20.100000000000001" customHeight="1" x14ac:dyDescent="0.25">
      <c r="A750" s="26" t="str">
        <f>CONCATENATE(LEFT(ConsumoConcreto[[#This Row],[RecebimentoID]],4),"CNSC",TEXT(ConsumoConcreto[[#This Row],[Ordem]],"0000"),UPPER(LEFT(ConsumoConcreto[[#This Row],[Destino]],3)))</f>
        <v>0184CNSC0061PAR</v>
      </c>
      <c r="B750" s="1">
        <v>61</v>
      </c>
      <c r="C750" s="2" t="s">
        <v>2793</v>
      </c>
      <c r="D750" s="2" t="s">
        <v>1970</v>
      </c>
      <c r="E750" s="18">
        <v>19</v>
      </c>
      <c r="F750" s="2" t="s">
        <v>25</v>
      </c>
      <c r="G750" s="36"/>
      <c r="H750" s="2" t="s">
        <v>1965</v>
      </c>
      <c r="I7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50" s="22">
        <v>16</v>
      </c>
      <c r="K750" s="22">
        <v>14</v>
      </c>
      <c r="L750" s="37">
        <v>36892</v>
      </c>
      <c r="M750" s="2" t="s">
        <v>1971</v>
      </c>
      <c r="N750" s="2" t="s">
        <v>1966</v>
      </c>
      <c r="O750" s="2" t="s">
        <v>27</v>
      </c>
      <c r="P750" s="2" t="s">
        <v>26</v>
      </c>
    </row>
    <row r="751" spans="1:16" ht="20.100000000000001" customHeight="1" x14ac:dyDescent="0.25">
      <c r="A751" s="26" t="str">
        <f>CONCATENATE(LEFT(ConsumoConcreto[[#This Row],[RecebimentoID]],4),"CNSC",TEXT(ConsumoConcreto[[#This Row],[Ordem]],"0000"),UPPER(LEFT(ConsumoConcreto[[#This Row],[Destino]],3)))</f>
        <v>0184CNSC0079PIL</v>
      </c>
      <c r="B751" s="1">
        <v>79</v>
      </c>
      <c r="C751" s="2" t="s">
        <v>2794</v>
      </c>
      <c r="D751" s="2" t="s">
        <v>1970</v>
      </c>
      <c r="E751" s="18">
        <v>19</v>
      </c>
      <c r="F751" s="2" t="s">
        <v>25</v>
      </c>
      <c r="G751" s="36"/>
      <c r="H751" s="2" t="s">
        <v>1962</v>
      </c>
      <c r="I7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51" s="22">
        <v>0.17</v>
      </c>
      <c r="K751" s="22">
        <v>0.17</v>
      </c>
      <c r="L751" s="37">
        <v>36892</v>
      </c>
      <c r="M751" s="2"/>
      <c r="N751" s="2" t="s">
        <v>1963</v>
      </c>
      <c r="O751" s="2" t="s">
        <v>27</v>
      </c>
      <c r="P751" s="2" t="s">
        <v>26</v>
      </c>
    </row>
    <row r="752" spans="1:16" ht="20.100000000000001" customHeight="1" x14ac:dyDescent="0.25">
      <c r="A752" s="26" t="str">
        <f>CONCATENATE(LEFT(ConsumoConcreto[[#This Row],[RecebimentoID]],4),"CNSC",TEXT(ConsumoConcreto[[#This Row],[Ordem]],"0000"),UPPER(LEFT(ConsumoConcreto[[#This Row],[Destino]],3)))</f>
        <v>0184CNSC0047RAD</v>
      </c>
      <c r="B752" s="1">
        <v>47</v>
      </c>
      <c r="C752" s="2" t="s">
        <v>2795</v>
      </c>
      <c r="D752" s="2" t="s">
        <v>1970</v>
      </c>
      <c r="E752" s="18">
        <v>19</v>
      </c>
      <c r="F752" s="2" t="s">
        <v>1801</v>
      </c>
      <c r="G752" s="36"/>
      <c r="H752" s="2" t="s">
        <v>1968</v>
      </c>
      <c r="I7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52" s="22">
        <v>5.5</v>
      </c>
      <c r="K752" s="22">
        <v>5.5</v>
      </c>
      <c r="L752" s="37">
        <v>36892</v>
      </c>
      <c r="M752" s="2"/>
      <c r="N752" s="2"/>
      <c r="O752" s="2" t="s">
        <v>27</v>
      </c>
      <c r="P752" s="2" t="s">
        <v>26</v>
      </c>
    </row>
    <row r="753" spans="1:16" ht="20.100000000000001" customHeight="1" x14ac:dyDescent="0.25">
      <c r="A753" s="26" t="str">
        <f>CONCATENATE(LEFT(ConsumoConcreto[[#This Row],[RecebimentoID]],4),"CNSC",TEXT(ConsumoConcreto[[#This Row],[Ordem]],"0000"),UPPER(LEFT(ConsumoConcreto[[#This Row],[Destino]],3)))</f>
        <v>0184CNSC0147PAR</v>
      </c>
      <c r="B753" s="1">
        <v>147</v>
      </c>
      <c r="C753" s="2" t="s">
        <v>2796</v>
      </c>
      <c r="D753" s="2" t="s">
        <v>1975</v>
      </c>
      <c r="E753" s="18">
        <v>19</v>
      </c>
      <c r="F753" s="2" t="s">
        <v>25</v>
      </c>
      <c r="G753" s="36">
        <v>0.79513888888888884</v>
      </c>
      <c r="H753" s="2" t="s">
        <v>1965</v>
      </c>
      <c r="I7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53" s="22">
        <v>14.5</v>
      </c>
      <c r="K753" s="22">
        <v>14.5</v>
      </c>
      <c r="L753" s="37">
        <v>36892</v>
      </c>
      <c r="M753" s="2"/>
      <c r="N753" s="2" t="s">
        <v>1966</v>
      </c>
      <c r="O753" s="2" t="s">
        <v>27</v>
      </c>
      <c r="P753" s="2" t="s">
        <v>26</v>
      </c>
    </row>
    <row r="754" spans="1:16" ht="20.100000000000001" customHeight="1" x14ac:dyDescent="0.25">
      <c r="A754" s="26" t="str">
        <f>CONCATENATE(LEFT(ConsumoConcreto[[#This Row],[RecebimentoID]],4),"CNSC",TEXT(ConsumoConcreto[[#This Row],[Ordem]],"0000"),UPPER(LEFT(ConsumoConcreto[[#This Row],[Destino]],3)))</f>
        <v>0184CNSC0172PIL</v>
      </c>
      <c r="B754" s="1">
        <v>172</v>
      </c>
      <c r="C754" s="2" t="s">
        <v>2797</v>
      </c>
      <c r="D754" s="2" t="s">
        <v>1975</v>
      </c>
      <c r="E754" s="18">
        <v>19</v>
      </c>
      <c r="F754" s="2" t="s">
        <v>25</v>
      </c>
      <c r="G754" s="36"/>
      <c r="H754" s="2" t="s">
        <v>1962</v>
      </c>
      <c r="I7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54" s="22">
        <v>0.1</v>
      </c>
      <c r="K754" s="22">
        <v>0.1</v>
      </c>
      <c r="L754" s="37">
        <v>36892</v>
      </c>
      <c r="M754" s="2"/>
      <c r="N754" s="2" t="s">
        <v>1963</v>
      </c>
      <c r="O754" s="2" t="s">
        <v>27</v>
      </c>
      <c r="P754" s="2" t="s">
        <v>26</v>
      </c>
    </row>
    <row r="755" spans="1:16" ht="20.100000000000001" customHeight="1" x14ac:dyDescent="0.25">
      <c r="A755" s="26" t="str">
        <f>CONCATENATE(LEFT(ConsumoConcreto[[#This Row],[RecebimentoID]],4),"CNSC",TEXT(ConsumoConcreto[[#This Row],[Ordem]],"0000"),UPPER(LEFT(ConsumoConcreto[[#This Row],[Destino]],3)))</f>
        <v>0184CNSC0118RAD</v>
      </c>
      <c r="B755" s="1">
        <v>118</v>
      </c>
      <c r="C755" s="2" t="s">
        <v>2798</v>
      </c>
      <c r="D755" s="2" t="s">
        <v>1975</v>
      </c>
      <c r="E755" s="18">
        <v>19</v>
      </c>
      <c r="F755" s="2" t="s">
        <v>1801</v>
      </c>
      <c r="G755" s="36"/>
      <c r="H755" s="2" t="s">
        <v>1968</v>
      </c>
      <c r="I7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55" s="22">
        <v>5.5</v>
      </c>
      <c r="K755" s="22">
        <v>5.4809999999999999</v>
      </c>
      <c r="L755" s="37">
        <v>36892</v>
      </c>
      <c r="M755" s="2"/>
      <c r="N755" s="2"/>
      <c r="O755" s="2" t="s">
        <v>27</v>
      </c>
      <c r="P755" s="2" t="s">
        <v>26</v>
      </c>
    </row>
    <row r="756" spans="1:16" ht="20.100000000000001" customHeight="1" x14ac:dyDescent="0.25">
      <c r="A756" s="26" t="str">
        <f>CONCATENATE(LEFT(ConsumoConcreto[[#This Row],[RecebimentoID]],4),"CNSC",TEXT(ConsumoConcreto[[#This Row],[Ordem]],"0000"),UPPER(LEFT(ConsumoConcreto[[#This Row],[Destino]],3)))</f>
        <v>0184CNSC0231PAR</v>
      </c>
      <c r="B756" s="1">
        <v>231</v>
      </c>
      <c r="C756" s="2" t="s">
        <v>2799</v>
      </c>
      <c r="D756" s="2" t="s">
        <v>1979</v>
      </c>
      <c r="E756" s="18">
        <v>19</v>
      </c>
      <c r="F756" s="2" t="s">
        <v>25</v>
      </c>
      <c r="G756" s="36">
        <v>0.87152777777777779</v>
      </c>
      <c r="H756" s="2" t="s">
        <v>1965</v>
      </c>
      <c r="I7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56" s="22">
        <v>14.5</v>
      </c>
      <c r="K756" s="22">
        <v>14.5</v>
      </c>
      <c r="L756" s="37">
        <v>36892</v>
      </c>
      <c r="M756" s="2" t="s">
        <v>2800</v>
      </c>
      <c r="N756" s="2" t="s">
        <v>1966</v>
      </c>
      <c r="O756" s="2" t="s">
        <v>27</v>
      </c>
      <c r="P756" s="2" t="s">
        <v>26</v>
      </c>
    </row>
    <row r="757" spans="1:16" ht="20.100000000000001" customHeight="1" x14ac:dyDescent="0.25">
      <c r="A757" s="26" t="str">
        <f>CONCATENATE(LEFT(ConsumoConcreto[[#This Row],[RecebimentoID]],4),"CNSC",TEXT(ConsumoConcreto[[#This Row],[Ordem]],"0000"),UPPER(LEFT(ConsumoConcreto[[#This Row],[Destino]],3)))</f>
        <v>0184CNSC0197RAD</v>
      </c>
      <c r="B757" s="1">
        <v>197</v>
      </c>
      <c r="C757" s="2" t="s">
        <v>2801</v>
      </c>
      <c r="D757" s="2" t="s">
        <v>1979</v>
      </c>
      <c r="E757" s="18">
        <v>19</v>
      </c>
      <c r="F757" s="2" t="s">
        <v>1801</v>
      </c>
      <c r="G757" s="36"/>
      <c r="H757" s="2" t="s">
        <v>1968</v>
      </c>
      <c r="I7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57" s="22">
        <v>5.5</v>
      </c>
      <c r="K757" s="22">
        <v>5.4809999999999999</v>
      </c>
      <c r="L757" s="37">
        <v>36892</v>
      </c>
      <c r="M757" s="2"/>
      <c r="N757" s="2"/>
      <c r="O757" s="2" t="s">
        <v>27</v>
      </c>
      <c r="P757" s="2" t="s">
        <v>26</v>
      </c>
    </row>
    <row r="758" spans="1:16" ht="20.100000000000001" customHeight="1" x14ac:dyDescent="0.25">
      <c r="A758" s="26" t="str">
        <f>CONCATENATE(LEFT(ConsumoConcreto[[#This Row],[RecebimentoID]],4),"CNSC",TEXT(ConsumoConcreto[[#This Row],[Ordem]],"0000"),UPPER(LEFT(ConsumoConcreto[[#This Row],[Destino]],3)))</f>
        <v>0184CNSC0527PAR</v>
      </c>
      <c r="B758" s="1">
        <v>527</v>
      </c>
      <c r="C758" s="2" t="s">
        <v>2802</v>
      </c>
      <c r="D758" s="2" t="s">
        <v>2005</v>
      </c>
      <c r="E758" s="18">
        <v>19</v>
      </c>
      <c r="F758" s="2" t="s">
        <v>25</v>
      </c>
      <c r="G758" s="36">
        <v>0.87708333333333333</v>
      </c>
      <c r="H758" s="2" t="s">
        <v>1965</v>
      </c>
      <c r="I7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58" s="22">
        <v>18</v>
      </c>
      <c r="K758" s="22">
        <v>18</v>
      </c>
      <c r="L758" s="37">
        <v>36892</v>
      </c>
      <c r="M758" s="2"/>
      <c r="N758" s="2" t="s">
        <v>1966</v>
      </c>
      <c r="O758" s="2" t="s">
        <v>27</v>
      </c>
      <c r="P758" s="2" t="s">
        <v>26</v>
      </c>
    </row>
    <row r="759" spans="1:16" ht="20.100000000000001" customHeight="1" x14ac:dyDescent="0.25">
      <c r="A759" s="26" t="str">
        <f>CONCATENATE(LEFT(ConsumoConcreto[[#This Row],[RecebimentoID]],4),"CNSC",TEXT(ConsumoConcreto[[#This Row],[Ordem]],"0000"),UPPER(LEFT(ConsumoConcreto[[#This Row],[Destino]],3)))</f>
        <v>0184CNSC0487RAD</v>
      </c>
      <c r="B759" s="1">
        <v>487</v>
      </c>
      <c r="C759" s="2" t="s">
        <v>2803</v>
      </c>
      <c r="D759" s="2" t="s">
        <v>2005</v>
      </c>
      <c r="E759" s="18">
        <v>19</v>
      </c>
      <c r="F759" s="2" t="s">
        <v>1801</v>
      </c>
      <c r="G759" s="36">
        <v>0.46875</v>
      </c>
      <c r="H759" s="2" t="s">
        <v>1968</v>
      </c>
      <c r="I7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59" s="22">
        <v>7</v>
      </c>
      <c r="K759" s="22">
        <v>7</v>
      </c>
      <c r="L759" s="37">
        <v>36892</v>
      </c>
      <c r="M759" s="2"/>
      <c r="N759" s="2" t="s">
        <v>1963</v>
      </c>
      <c r="O759" s="2" t="s">
        <v>27</v>
      </c>
      <c r="P759" s="2" t="s">
        <v>26</v>
      </c>
    </row>
    <row r="760" spans="1:16" ht="20.100000000000001" customHeight="1" x14ac:dyDescent="0.25">
      <c r="A760" s="26" t="str">
        <f>CONCATENATE(LEFT(ConsumoConcreto[[#This Row],[RecebimentoID]],4),"CNSC",TEXT(ConsumoConcreto[[#This Row],[Ordem]],"0000"),UPPER(LEFT(ConsumoConcreto[[#This Row],[Destino]],3)))</f>
        <v>0184CNSC0577PAR</v>
      </c>
      <c r="B760" s="1">
        <v>577</v>
      </c>
      <c r="C760" s="2" t="s">
        <v>2804</v>
      </c>
      <c r="D760" s="2" t="s">
        <v>2007</v>
      </c>
      <c r="E760" s="18">
        <v>19</v>
      </c>
      <c r="F760" s="2" t="s">
        <v>25</v>
      </c>
      <c r="G760" s="36">
        <v>0.79513888888888884</v>
      </c>
      <c r="H760" s="2" t="s">
        <v>1965</v>
      </c>
      <c r="I7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60" s="22">
        <v>18</v>
      </c>
      <c r="K760" s="22">
        <v>18</v>
      </c>
      <c r="L760" s="37">
        <v>36892</v>
      </c>
      <c r="M760" s="2"/>
      <c r="N760" s="2" t="s">
        <v>1966</v>
      </c>
      <c r="O760" s="2" t="s">
        <v>27</v>
      </c>
      <c r="P760" s="2" t="s">
        <v>26</v>
      </c>
    </row>
    <row r="761" spans="1:16" ht="20.100000000000001" customHeight="1" x14ac:dyDescent="0.25">
      <c r="A761" s="26" t="str">
        <f>CONCATENATE(LEFT(ConsumoConcreto[[#This Row],[RecebimentoID]],4),"CNSC",TEXT(ConsumoConcreto[[#This Row],[Ordem]],"0000"),UPPER(LEFT(ConsumoConcreto[[#This Row],[Destino]],3)))</f>
        <v>0184CNSC0549RAD</v>
      </c>
      <c r="B761" s="1">
        <v>549</v>
      </c>
      <c r="C761" s="2" t="s">
        <v>2805</v>
      </c>
      <c r="D761" s="2" t="s">
        <v>2007</v>
      </c>
      <c r="E761" s="18">
        <v>19</v>
      </c>
      <c r="F761" s="2" t="s">
        <v>1801</v>
      </c>
      <c r="G761" s="36"/>
      <c r="H761" s="2" t="s">
        <v>1968</v>
      </c>
      <c r="I7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761" s="22">
        <v>7</v>
      </c>
      <c r="K761" s="22">
        <v>7</v>
      </c>
      <c r="L761" s="37">
        <v>36892</v>
      </c>
      <c r="M761" s="2"/>
      <c r="N761" s="2" t="s">
        <v>1963</v>
      </c>
      <c r="O761" s="2" t="s">
        <v>27</v>
      </c>
      <c r="P761" s="2" t="s">
        <v>26</v>
      </c>
    </row>
    <row r="762" spans="1:16" ht="20.100000000000001" customHeight="1" x14ac:dyDescent="0.25">
      <c r="A762" s="26" t="str">
        <f>CONCATENATE(LEFT(ConsumoConcreto[[#This Row],[RecebimentoID]],4),"CNSC",TEXT(ConsumoConcreto[[#This Row],[Ordem]],"0000"),UPPER(LEFT(ConsumoConcreto[[#This Row],[Destino]],3)))</f>
        <v>0184CNSC0636PAR</v>
      </c>
      <c r="B762" s="1">
        <v>636</v>
      </c>
      <c r="C762" s="2" t="s">
        <v>2806</v>
      </c>
      <c r="D762" s="2" t="s">
        <v>2010</v>
      </c>
      <c r="E762" s="18">
        <v>19</v>
      </c>
      <c r="F762" s="2" t="s">
        <v>25</v>
      </c>
      <c r="G762" s="36">
        <v>0.47152777777777777</v>
      </c>
      <c r="H762" s="2" t="s">
        <v>1965</v>
      </c>
      <c r="I7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62" s="22">
        <v>14.3</v>
      </c>
      <c r="K762" s="22">
        <v>14</v>
      </c>
      <c r="L762" s="37">
        <v>36892</v>
      </c>
      <c r="M762" s="2" t="s">
        <v>2807</v>
      </c>
      <c r="N762" s="2" t="s">
        <v>1966</v>
      </c>
      <c r="O762" s="2" t="s">
        <v>27</v>
      </c>
      <c r="P762" s="2" t="s">
        <v>26</v>
      </c>
    </row>
    <row r="763" spans="1:16" ht="20.100000000000001" customHeight="1" x14ac:dyDescent="0.25">
      <c r="A763" s="26" t="str">
        <f>CONCATENATE(LEFT(ConsumoConcreto[[#This Row],[RecebimentoID]],4),"CNSC",TEXT(ConsumoConcreto[[#This Row],[Ordem]],"0000"),UPPER(LEFT(ConsumoConcreto[[#This Row],[Destino]],3)))</f>
        <v>0184CNSC0613RAD</v>
      </c>
      <c r="B763" s="1">
        <v>613</v>
      </c>
      <c r="C763" s="2" t="s">
        <v>2808</v>
      </c>
      <c r="D763" s="2" t="s">
        <v>2010</v>
      </c>
      <c r="E763" s="18">
        <v>19</v>
      </c>
      <c r="F763" s="2" t="s">
        <v>1801</v>
      </c>
      <c r="G763" s="36">
        <v>0.625</v>
      </c>
      <c r="H763" s="2" t="s">
        <v>1968</v>
      </c>
      <c r="I7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63" s="22">
        <v>5.5</v>
      </c>
      <c r="K763" s="22">
        <v>5.5</v>
      </c>
      <c r="L763" s="37">
        <v>36892</v>
      </c>
      <c r="M763" s="2"/>
      <c r="N763" s="2" t="s">
        <v>1963</v>
      </c>
      <c r="O763" s="2" t="s">
        <v>27</v>
      </c>
      <c r="P763" s="2" t="s">
        <v>26</v>
      </c>
    </row>
    <row r="764" spans="1:16" ht="20.100000000000001" customHeight="1" x14ac:dyDescent="0.25">
      <c r="A764" s="26" t="str">
        <f>CONCATENATE(LEFT(ConsumoConcreto[[#This Row],[RecebimentoID]],4),"CNSC",TEXT(ConsumoConcreto[[#This Row],[Ordem]],"0000"),UPPER(LEFT(ConsumoConcreto[[#This Row],[Destino]],3)))</f>
        <v>0184CNSC0694PAR</v>
      </c>
      <c r="B764" s="1">
        <v>694</v>
      </c>
      <c r="C764" s="2" t="s">
        <v>2809</v>
      </c>
      <c r="D764" s="2" t="s">
        <v>2013</v>
      </c>
      <c r="E764" s="18">
        <v>19</v>
      </c>
      <c r="F764" s="2" t="s">
        <v>25</v>
      </c>
      <c r="G764" s="36">
        <v>0.81944444444444453</v>
      </c>
      <c r="H764" s="2" t="s">
        <v>1965</v>
      </c>
      <c r="I7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64" s="22">
        <v>15</v>
      </c>
      <c r="K764" s="22">
        <v>15</v>
      </c>
      <c r="L764" s="37">
        <v>36892</v>
      </c>
      <c r="M764" s="2" t="s">
        <v>2082</v>
      </c>
      <c r="N764" s="2" t="s">
        <v>1966</v>
      </c>
      <c r="O764" s="2" t="s">
        <v>27</v>
      </c>
      <c r="P764" s="2" t="s">
        <v>26</v>
      </c>
    </row>
    <row r="765" spans="1:16" ht="20.100000000000001" customHeight="1" x14ac:dyDescent="0.25">
      <c r="A765" s="26" t="str">
        <f>CONCATENATE(LEFT(ConsumoConcreto[[#This Row],[RecebimentoID]],4),"CNSC",TEXT(ConsumoConcreto[[#This Row],[Ordem]],"0000"),UPPER(LEFT(ConsumoConcreto[[#This Row],[Destino]],3)))</f>
        <v>0184CNSC0676RAD</v>
      </c>
      <c r="B765" s="1">
        <v>676</v>
      </c>
      <c r="C765" s="2" t="s">
        <v>2810</v>
      </c>
      <c r="D765" s="2" t="s">
        <v>2013</v>
      </c>
      <c r="E765" s="18">
        <v>19</v>
      </c>
      <c r="F765" s="2" t="s">
        <v>1801</v>
      </c>
      <c r="G765" s="36"/>
      <c r="H765" s="2" t="s">
        <v>1968</v>
      </c>
      <c r="I7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65" s="22">
        <v>6</v>
      </c>
      <c r="K765" s="22">
        <v>5.4809999999999999</v>
      </c>
      <c r="L765" s="37">
        <v>36892</v>
      </c>
      <c r="M765" s="2"/>
      <c r="N765" s="2"/>
      <c r="O765" s="2" t="s">
        <v>27</v>
      </c>
      <c r="P765" s="2" t="s">
        <v>26</v>
      </c>
    </row>
    <row r="766" spans="1:16" ht="20.100000000000001" customHeight="1" x14ac:dyDescent="0.25">
      <c r="A766" s="26" t="str">
        <f>CONCATENATE(LEFT(ConsumoConcreto[[#This Row],[RecebimentoID]],4),"CNSC",TEXT(ConsumoConcreto[[#This Row],[Ordem]],"0000"),UPPER(LEFT(ConsumoConcreto[[#This Row],[Destino]],3)))</f>
        <v>0184CNSC0848PAR</v>
      </c>
      <c r="B766" s="1">
        <v>848</v>
      </c>
      <c r="C766" s="2" t="s">
        <v>2811</v>
      </c>
      <c r="D766" s="2" t="s">
        <v>2024</v>
      </c>
      <c r="E766" s="18">
        <v>19</v>
      </c>
      <c r="F766" s="2" t="s">
        <v>25</v>
      </c>
      <c r="G766" s="36">
        <v>0.75624999999999998</v>
      </c>
      <c r="H766" s="2" t="s">
        <v>1965</v>
      </c>
      <c r="I7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66" s="22">
        <v>14.5</v>
      </c>
      <c r="K766" s="22">
        <v>14.5</v>
      </c>
      <c r="L766" s="37">
        <v>36892</v>
      </c>
      <c r="M766" s="2"/>
      <c r="N766" s="2" t="s">
        <v>1966</v>
      </c>
      <c r="O766" s="2" t="s">
        <v>27</v>
      </c>
      <c r="P766" s="2" t="s">
        <v>26</v>
      </c>
    </row>
    <row r="767" spans="1:16" ht="20.100000000000001" customHeight="1" x14ac:dyDescent="0.25">
      <c r="A767" s="26" t="str">
        <f>CONCATENATE(LEFT(ConsumoConcreto[[#This Row],[RecebimentoID]],4),"CNSC",TEXT(ConsumoConcreto[[#This Row],[Ordem]],"0000"),UPPER(LEFT(ConsumoConcreto[[#This Row],[Destino]],3)))</f>
        <v>0184CNSC0819RAD</v>
      </c>
      <c r="B767" s="1">
        <v>819</v>
      </c>
      <c r="C767" s="2" t="s">
        <v>2812</v>
      </c>
      <c r="D767" s="2" t="s">
        <v>2024</v>
      </c>
      <c r="E767" s="18">
        <v>19</v>
      </c>
      <c r="F767" s="2" t="s">
        <v>1801</v>
      </c>
      <c r="G767" s="36">
        <v>0.46875</v>
      </c>
      <c r="H767" s="2" t="s">
        <v>1968</v>
      </c>
      <c r="I7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67" s="22">
        <v>5.5</v>
      </c>
      <c r="K767" s="22">
        <v>5.5</v>
      </c>
      <c r="L767" s="37">
        <v>36892</v>
      </c>
      <c r="M767" s="2"/>
      <c r="N767" s="2" t="s">
        <v>1963</v>
      </c>
      <c r="O767" s="2" t="s">
        <v>27</v>
      </c>
      <c r="P767" s="2" t="s">
        <v>26</v>
      </c>
    </row>
    <row r="768" spans="1:16" ht="20.100000000000001" customHeight="1" x14ac:dyDescent="0.25">
      <c r="A768" s="26" t="str">
        <f>CONCATENATE(LEFT(ConsumoConcreto[[#This Row],[RecebimentoID]],4),"CNSC",TEXT(ConsumoConcreto[[#This Row],[Ordem]],"0000"),UPPER(LEFT(ConsumoConcreto[[#This Row],[Destino]],3)))</f>
        <v>0184CNSC0892PAR</v>
      </c>
      <c r="B768" s="1">
        <v>892</v>
      </c>
      <c r="C768" s="2" t="s">
        <v>2813</v>
      </c>
      <c r="D768" s="2" t="s">
        <v>2027</v>
      </c>
      <c r="E768" s="18">
        <v>19</v>
      </c>
      <c r="F768" s="2" t="s">
        <v>25</v>
      </c>
      <c r="G768" s="36">
        <v>0.78055555555555556</v>
      </c>
      <c r="H768" s="2" t="s">
        <v>1965</v>
      </c>
      <c r="I7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68" s="22">
        <v>14.5</v>
      </c>
      <c r="K768" s="22">
        <v>14.5</v>
      </c>
      <c r="L768" s="37">
        <v>36892</v>
      </c>
      <c r="M768" s="2"/>
      <c r="N768" s="2" t="s">
        <v>1966</v>
      </c>
      <c r="O768" s="2" t="s">
        <v>27</v>
      </c>
      <c r="P768" s="2" t="s">
        <v>26</v>
      </c>
    </row>
    <row r="769" spans="1:16" ht="20.100000000000001" customHeight="1" x14ac:dyDescent="0.25">
      <c r="A769" s="26" t="str">
        <f>CONCATENATE(LEFT(ConsumoConcreto[[#This Row],[RecebimentoID]],4),"CNSC",TEXT(ConsumoConcreto[[#This Row],[Ordem]],"0000"),UPPER(LEFT(ConsumoConcreto[[#This Row],[Destino]],3)))</f>
        <v>0184CNSC0878RAD</v>
      </c>
      <c r="B769" s="1">
        <v>878</v>
      </c>
      <c r="C769" s="2" t="s">
        <v>2814</v>
      </c>
      <c r="D769" s="2" t="s">
        <v>2027</v>
      </c>
      <c r="E769" s="18">
        <v>19</v>
      </c>
      <c r="F769" s="2" t="s">
        <v>1801</v>
      </c>
      <c r="G769" s="36">
        <v>0.5</v>
      </c>
      <c r="H769" s="2" t="s">
        <v>1968</v>
      </c>
      <c r="I7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69" s="22">
        <v>5.5</v>
      </c>
      <c r="K769" s="22">
        <v>5.5</v>
      </c>
      <c r="L769" s="37">
        <v>36892</v>
      </c>
      <c r="M769" s="2"/>
      <c r="N769" s="2" t="s">
        <v>1963</v>
      </c>
      <c r="O769" s="2" t="s">
        <v>27</v>
      </c>
      <c r="P769" s="2" t="s">
        <v>26</v>
      </c>
    </row>
    <row r="770" spans="1:16" ht="20.100000000000001" customHeight="1" x14ac:dyDescent="0.25">
      <c r="A770" s="26" t="str">
        <f>CONCATENATE(LEFT(ConsumoConcreto[[#This Row],[RecebimentoID]],4),"CNSC",TEXT(ConsumoConcreto[[#This Row],[Ordem]],"0000"),UPPER(LEFT(ConsumoConcreto[[#This Row],[Destino]],3)))</f>
        <v>0184CNSC0929PAR</v>
      </c>
      <c r="B770" s="1">
        <v>929</v>
      </c>
      <c r="C770" s="2" t="s">
        <v>2815</v>
      </c>
      <c r="D770" s="2" t="s">
        <v>2030</v>
      </c>
      <c r="E770" s="18">
        <v>19</v>
      </c>
      <c r="F770" s="2" t="s">
        <v>25</v>
      </c>
      <c r="G770" s="36">
        <v>0.60763888888888895</v>
      </c>
      <c r="H770" s="2" t="s">
        <v>1965</v>
      </c>
      <c r="I7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70" s="22">
        <v>14</v>
      </c>
      <c r="K770" s="22">
        <v>14</v>
      </c>
      <c r="L770" s="37">
        <v>36892</v>
      </c>
      <c r="M770" s="2"/>
      <c r="N770" s="2" t="s">
        <v>1966</v>
      </c>
      <c r="O770" s="2" t="s">
        <v>27</v>
      </c>
      <c r="P770" s="2" t="s">
        <v>26</v>
      </c>
    </row>
    <row r="771" spans="1:16" ht="20.100000000000001" customHeight="1" x14ac:dyDescent="0.25">
      <c r="A771" s="26" t="str">
        <f>CONCATENATE(LEFT(ConsumoConcreto[[#This Row],[RecebimentoID]],4),"CNSC",TEXT(ConsumoConcreto[[#This Row],[Ordem]],"0000"),UPPER(LEFT(ConsumoConcreto[[#This Row],[Destino]],3)))</f>
        <v>0184CNSC0927RAD</v>
      </c>
      <c r="B771" s="1">
        <v>927</v>
      </c>
      <c r="C771" s="2" t="s">
        <v>2816</v>
      </c>
      <c r="D771" s="2" t="s">
        <v>2030</v>
      </c>
      <c r="E771" s="18">
        <v>19</v>
      </c>
      <c r="F771" s="2" t="s">
        <v>1801</v>
      </c>
      <c r="G771" s="36">
        <v>0.50694444444444442</v>
      </c>
      <c r="H771" s="2" t="s">
        <v>1968</v>
      </c>
      <c r="I7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71" s="22">
        <v>5.5</v>
      </c>
      <c r="K771" s="22">
        <v>5.5</v>
      </c>
      <c r="L771" s="37">
        <v>36892</v>
      </c>
      <c r="M771" s="2"/>
      <c r="N771" s="2" t="s">
        <v>1966</v>
      </c>
      <c r="O771" s="2" t="s">
        <v>27</v>
      </c>
      <c r="P771" s="2" t="s">
        <v>26</v>
      </c>
    </row>
    <row r="772" spans="1:16" ht="20.100000000000001" customHeight="1" x14ac:dyDescent="0.25">
      <c r="A772" s="26" t="str">
        <f>CONCATENATE(LEFT(ConsumoConcreto[[#This Row],[RecebimentoID]],4),"CNSC",TEXT(ConsumoConcreto[[#This Row],[Ordem]],"0000"),UPPER(LEFT(ConsumoConcreto[[#This Row],[Destino]],3)))</f>
        <v>0184CNSC0959PAR</v>
      </c>
      <c r="B772" s="1">
        <v>959</v>
      </c>
      <c r="C772" s="2" t="s">
        <v>2817</v>
      </c>
      <c r="D772" s="2" t="s">
        <v>2033</v>
      </c>
      <c r="E772" s="18">
        <v>19</v>
      </c>
      <c r="F772" s="2" t="s">
        <v>25</v>
      </c>
      <c r="G772" s="36">
        <v>0.83472222222222225</v>
      </c>
      <c r="H772" s="2" t="s">
        <v>1965</v>
      </c>
      <c r="I7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72" s="22">
        <v>14.5</v>
      </c>
      <c r="K772" s="22">
        <v>14.5</v>
      </c>
      <c r="L772" s="37">
        <v>36892</v>
      </c>
      <c r="M772" s="2"/>
      <c r="N772" s="2" t="s">
        <v>1966</v>
      </c>
      <c r="O772" s="2" t="s">
        <v>27</v>
      </c>
      <c r="P772" s="2" t="s">
        <v>26</v>
      </c>
    </row>
    <row r="773" spans="1:16" ht="20.100000000000001" customHeight="1" x14ac:dyDescent="0.25">
      <c r="A773" s="26" t="str">
        <f>CONCATENATE(LEFT(ConsumoConcreto[[#This Row],[RecebimentoID]],4),"CNSC",TEXT(ConsumoConcreto[[#This Row],[Ordem]],"0000"),UPPER(LEFT(ConsumoConcreto[[#This Row],[Destino]],3)))</f>
        <v>0184CNSC0941RAD</v>
      </c>
      <c r="B773" s="1">
        <v>941</v>
      </c>
      <c r="C773" s="2" t="s">
        <v>2818</v>
      </c>
      <c r="D773" s="2" t="s">
        <v>2033</v>
      </c>
      <c r="E773" s="18">
        <v>19</v>
      </c>
      <c r="F773" s="2" t="s">
        <v>1801</v>
      </c>
      <c r="G773" s="36">
        <v>0.63472222222222219</v>
      </c>
      <c r="H773" s="2" t="s">
        <v>1968</v>
      </c>
      <c r="I7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73" s="22">
        <v>5.5</v>
      </c>
      <c r="K773" s="22">
        <v>5.5</v>
      </c>
      <c r="L773" s="37">
        <v>36892</v>
      </c>
      <c r="M773" s="2"/>
      <c r="N773" s="2" t="s">
        <v>1963</v>
      </c>
      <c r="O773" s="2" t="s">
        <v>27</v>
      </c>
      <c r="P773" s="2" t="s">
        <v>26</v>
      </c>
    </row>
    <row r="774" spans="1:16" ht="20.100000000000001" customHeight="1" x14ac:dyDescent="0.25">
      <c r="A774" s="26" t="str">
        <f>CONCATENATE(LEFT(ConsumoConcreto[[#This Row],[RecebimentoID]],4),"CNSC",TEXT(ConsumoConcreto[[#This Row],[Ordem]],"0000"),UPPER(LEFT(ConsumoConcreto[[#This Row],[Destino]],3)))</f>
        <v>0184CNSC1075PAR</v>
      </c>
      <c r="B774" s="1">
        <v>1075</v>
      </c>
      <c r="C774" s="2" t="s">
        <v>2819</v>
      </c>
      <c r="D774" s="2" t="s">
        <v>2036</v>
      </c>
      <c r="E774" s="18">
        <v>19</v>
      </c>
      <c r="F774" s="2" t="s">
        <v>25</v>
      </c>
      <c r="G774" s="36">
        <v>0.80763888888888891</v>
      </c>
      <c r="H774" s="2" t="s">
        <v>1965</v>
      </c>
      <c r="I7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74" s="22">
        <v>14.5</v>
      </c>
      <c r="K774" s="22">
        <v>14.5</v>
      </c>
      <c r="L774" s="37">
        <v>36892</v>
      </c>
      <c r="M774" s="2"/>
      <c r="N774" s="2" t="s">
        <v>1966</v>
      </c>
      <c r="O774" s="2" t="s">
        <v>27</v>
      </c>
      <c r="P774" s="2" t="s">
        <v>26</v>
      </c>
    </row>
    <row r="775" spans="1:16" ht="20.100000000000001" customHeight="1" x14ac:dyDescent="0.25">
      <c r="A775" s="26" t="str">
        <f>CONCATENATE(LEFT(ConsumoConcreto[[#This Row],[RecebimentoID]],4),"CNSC",TEXT(ConsumoConcreto[[#This Row],[Ordem]],"0000"),UPPER(LEFT(ConsumoConcreto[[#This Row],[Destino]],3)))</f>
        <v>0184CNSC1043RAD</v>
      </c>
      <c r="B775" s="1">
        <v>1043</v>
      </c>
      <c r="C775" s="2" t="s">
        <v>2820</v>
      </c>
      <c r="D775" s="2" t="s">
        <v>2036</v>
      </c>
      <c r="E775" s="18">
        <v>19</v>
      </c>
      <c r="F775" s="2" t="s">
        <v>1801</v>
      </c>
      <c r="G775" s="36">
        <v>0.60416666666666663</v>
      </c>
      <c r="H775" s="2" t="s">
        <v>1968</v>
      </c>
      <c r="I7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75" s="22">
        <v>5.5</v>
      </c>
      <c r="K775" s="22">
        <v>5.5</v>
      </c>
      <c r="L775" s="37">
        <v>36892</v>
      </c>
      <c r="M775" s="2"/>
      <c r="N775" s="2" t="s">
        <v>1963</v>
      </c>
      <c r="O775" s="2" t="s">
        <v>27</v>
      </c>
      <c r="P775" s="2" t="s">
        <v>26</v>
      </c>
    </row>
    <row r="776" spans="1:16" ht="20.100000000000001" customHeight="1" x14ac:dyDescent="0.25">
      <c r="A776" s="26" t="str">
        <f>CONCATENATE(LEFT(ConsumoConcreto[[#This Row],[RecebimentoID]],4),"CNSC",TEXT(ConsumoConcreto[[#This Row],[Ordem]],"0000"),UPPER(LEFT(ConsumoConcreto[[#This Row],[Destino]],3)))</f>
        <v>0184CNSC0062PAR</v>
      </c>
      <c r="B776" s="1">
        <v>62</v>
      </c>
      <c r="C776" s="2" t="s">
        <v>2821</v>
      </c>
      <c r="D776" s="2" t="s">
        <v>1970</v>
      </c>
      <c r="E776" s="18">
        <v>20</v>
      </c>
      <c r="F776" s="2" t="s">
        <v>25</v>
      </c>
      <c r="G776" s="36"/>
      <c r="H776" s="2" t="s">
        <v>1965</v>
      </c>
      <c r="I7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76" s="22">
        <v>14.5</v>
      </c>
      <c r="K776" s="22">
        <v>14.5</v>
      </c>
      <c r="L776" s="37">
        <v>36892</v>
      </c>
      <c r="M776" s="2"/>
      <c r="N776" s="2" t="s">
        <v>1966</v>
      </c>
      <c r="O776" s="2" t="s">
        <v>27</v>
      </c>
      <c r="P776" s="2" t="s">
        <v>26</v>
      </c>
    </row>
    <row r="777" spans="1:16" ht="20.100000000000001" customHeight="1" x14ac:dyDescent="0.25">
      <c r="A777" s="26" t="str">
        <f>CONCATENATE(LEFT(ConsumoConcreto[[#This Row],[RecebimentoID]],4),"CNSC",TEXT(ConsumoConcreto[[#This Row],[Ordem]],"0000"),UPPER(LEFT(ConsumoConcreto[[#This Row],[Destino]],3)))</f>
        <v>0184CNSC0092PIL</v>
      </c>
      <c r="B777" s="1">
        <v>92</v>
      </c>
      <c r="C777" s="2" t="s">
        <v>2822</v>
      </c>
      <c r="D777" s="2" t="s">
        <v>1970</v>
      </c>
      <c r="E777" s="18">
        <v>20</v>
      </c>
      <c r="F777" s="2" t="s">
        <v>25</v>
      </c>
      <c r="G777" s="36"/>
      <c r="H777" s="2" t="s">
        <v>1962</v>
      </c>
      <c r="I7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77" s="22">
        <v>0.1</v>
      </c>
      <c r="K777" s="22">
        <v>0.1</v>
      </c>
      <c r="L777" s="37">
        <v>36892</v>
      </c>
      <c r="M777" s="2"/>
      <c r="N777" s="2" t="s">
        <v>1963</v>
      </c>
      <c r="O777" s="2" t="s">
        <v>27</v>
      </c>
      <c r="P777" s="2" t="s">
        <v>26</v>
      </c>
    </row>
    <row r="778" spans="1:16" ht="20.100000000000001" customHeight="1" x14ac:dyDescent="0.25">
      <c r="A778" s="26" t="str">
        <f>CONCATENATE(LEFT(ConsumoConcreto[[#This Row],[RecebimentoID]],4),"CNSC",TEXT(ConsumoConcreto[[#This Row],[Ordem]],"0000"),UPPER(LEFT(ConsumoConcreto[[#This Row],[Destino]],3)))</f>
        <v>0184CNSC0048RAD</v>
      </c>
      <c r="B778" s="1">
        <v>48</v>
      </c>
      <c r="C778" s="2" t="s">
        <v>2823</v>
      </c>
      <c r="D778" s="2" t="s">
        <v>1970</v>
      </c>
      <c r="E778" s="18">
        <v>20</v>
      </c>
      <c r="F778" s="2" t="s">
        <v>1801</v>
      </c>
      <c r="G778" s="36"/>
      <c r="H778" s="2" t="s">
        <v>1968</v>
      </c>
      <c r="I7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78" s="22">
        <v>5.5</v>
      </c>
      <c r="K778" s="22">
        <v>5.5</v>
      </c>
      <c r="L778" s="37">
        <v>36892</v>
      </c>
      <c r="M778" s="2"/>
      <c r="N778" s="2"/>
      <c r="O778" s="2" t="s">
        <v>27</v>
      </c>
      <c r="P778" s="2" t="s">
        <v>26</v>
      </c>
    </row>
    <row r="779" spans="1:16" ht="20.100000000000001" customHeight="1" x14ac:dyDescent="0.25">
      <c r="A779" s="26" t="str">
        <f>CONCATENATE(LEFT(ConsumoConcreto[[#This Row],[RecebimentoID]],4),"CNSC",TEXT(ConsumoConcreto[[#This Row],[Ordem]],"0000"),UPPER(LEFT(ConsumoConcreto[[#This Row],[Destino]],3)))</f>
        <v>0184CNSC0140PAR</v>
      </c>
      <c r="B779" s="1">
        <v>140</v>
      </c>
      <c r="C779" s="2" t="s">
        <v>2824</v>
      </c>
      <c r="D779" s="2" t="s">
        <v>1975</v>
      </c>
      <c r="E779" s="18">
        <v>20</v>
      </c>
      <c r="F779" s="2" t="s">
        <v>25</v>
      </c>
      <c r="G779" s="36"/>
      <c r="H779" s="2" t="s">
        <v>1965</v>
      </c>
      <c r="I7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79" s="22">
        <v>14.5</v>
      </c>
      <c r="K779" s="22">
        <v>14</v>
      </c>
      <c r="L779" s="37">
        <v>36892</v>
      </c>
      <c r="M779" s="2"/>
      <c r="N779" s="2" t="s">
        <v>1966</v>
      </c>
      <c r="O779" s="2" t="s">
        <v>27</v>
      </c>
      <c r="P779" s="2" t="s">
        <v>26</v>
      </c>
    </row>
    <row r="780" spans="1:16" ht="20.100000000000001" customHeight="1" x14ac:dyDescent="0.25">
      <c r="A780" s="26" t="str">
        <f>CONCATENATE(LEFT(ConsumoConcreto[[#This Row],[RecebimentoID]],4),"CNSC",TEXT(ConsumoConcreto[[#This Row],[Ordem]],"0000"),UPPER(LEFT(ConsumoConcreto[[#This Row],[Destino]],3)))</f>
        <v>0184CNSC0173PIL</v>
      </c>
      <c r="B780" s="1">
        <v>173</v>
      </c>
      <c r="C780" s="2" t="s">
        <v>2825</v>
      </c>
      <c r="D780" s="2" t="s">
        <v>1975</v>
      </c>
      <c r="E780" s="18">
        <v>20</v>
      </c>
      <c r="F780" s="2" t="s">
        <v>25</v>
      </c>
      <c r="G780" s="36"/>
      <c r="H780" s="2" t="s">
        <v>1962</v>
      </c>
      <c r="I7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80" s="22">
        <v>0.1</v>
      </c>
      <c r="K780" s="22">
        <v>0.1</v>
      </c>
      <c r="L780" s="37">
        <v>36892</v>
      </c>
      <c r="M780" s="2"/>
      <c r="N780" s="2" t="s">
        <v>1963</v>
      </c>
      <c r="O780" s="2" t="s">
        <v>27</v>
      </c>
      <c r="P780" s="2" t="s">
        <v>26</v>
      </c>
    </row>
    <row r="781" spans="1:16" ht="20.100000000000001" customHeight="1" x14ac:dyDescent="0.25">
      <c r="A781" s="26" t="str">
        <f>CONCATENATE(LEFT(ConsumoConcreto[[#This Row],[RecebimentoID]],4),"CNSC",TEXT(ConsumoConcreto[[#This Row],[Ordem]],"0000"),UPPER(LEFT(ConsumoConcreto[[#This Row],[Destino]],3)))</f>
        <v>0184CNSC0103RAD</v>
      </c>
      <c r="B781" s="1">
        <v>103</v>
      </c>
      <c r="C781" s="2" t="s">
        <v>2826</v>
      </c>
      <c r="D781" s="2" t="s">
        <v>1975</v>
      </c>
      <c r="E781" s="18">
        <v>20</v>
      </c>
      <c r="F781" s="2" t="s">
        <v>1801</v>
      </c>
      <c r="G781" s="36"/>
      <c r="H781" s="2" t="s">
        <v>1968</v>
      </c>
      <c r="I7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81" s="22">
        <v>5.5</v>
      </c>
      <c r="K781" s="22">
        <v>5.5</v>
      </c>
      <c r="L781" s="37">
        <v>36892</v>
      </c>
      <c r="M781" s="2"/>
      <c r="N781" s="2" t="s">
        <v>1966</v>
      </c>
      <c r="O781" s="2" t="s">
        <v>27</v>
      </c>
      <c r="P781" s="2" t="s">
        <v>26</v>
      </c>
    </row>
    <row r="782" spans="1:16" ht="20.100000000000001" customHeight="1" x14ac:dyDescent="0.25">
      <c r="A782" s="26" t="str">
        <f>CONCATENATE(LEFT(ConsumoConcreto[[#This Row],[RecebimentoID]],4),"CNSC",TEXT(ConsumoConcreto[[#This Row],[Ordem]],"0000"),UPPER(LEFT(ConsumoConcreto[[#This Row],[Destino]],3)))</f>
        <v>0184CNSC0222PAR</v>
      </c>
      <c r="B782" s="1">
        <v>222</v>
      </c>
      <c r="C782" s="2" t="s">
        <v>2827</v>
      </c>
      <c r="D782" s="2" t="s">
        <v>1979</v>
      </c>
      <c r="E782" s="18">
        <v>20</v>
      </c>
      <c r="F782" s="2" t="s">
        <v>25</v>
      </c>
      <c r="G782" s="36">
        <v>0.61944444444444446</v>
      </c>
      <c r="H782" s="2" t="s">
        <v>1965</v>
      </c>
      <c r="I7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82" s="22">
        <v>14.5</v>
      </c>
      <c r="K782" s="22">
        <v>14.5</v>
      </c>
      <c r="L782" s="37">
        <v>36892</v>
      </c>
      <c r="M782" s="2"/>
      <c r="N782" s="2" t="s">
        <v>1966</v>
      </c>
      <c r="O782" s="2" t="s">
        <v>27</v>
      </c>
      <c r="P782" s="2" t="s">
        <v>26</v>
      </c>
    </row>
    <row r="783" spans="1:16" ht="20.100000000000001" customHeight="1" x14ac:dyDescent="0.25">
      <c r="A783" s="26" t="str">
        <f>CONCATENATE(LEFT(ConsumoConcreto[[#This Row],[RecebimentoID]],4),"CNSC",TEXT(ConsumoConcreto[[#This Row],[Ordem]],"0000"),UPPER(LEFT(ConsumoConcreto[[#This Row],[Destino]],3)))</f>
        <v>0184CNSC0198RAD</v>
      </c>
      <c r="B783" s="1">
        <v>198</v>
      </c>
      <c r="C783" s="2" t="s">
        <v>2828</v>
      </c>
      <c r="D783" s="2" t="s">
        <v>1979</v>
      </c>
      <c r="E783" s="18">
        <v>20</v>
      </c>
      <c r="F783" s="2" t="s">
        <v>1801</v>
      </c>
      <c r="G783" s="36"/>
      <c r="H783" s="2" t="s">
        <v>1968</v>
      </c>
      <c r="I7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83" s="22">
        <v>5.5</v>
      </c>
      <c r="K783" s="22">
        <v>5.4809999999999999</v>
      </c>
      <c r="L783" s="37">
        <v>36892</v>
      </c>
      <c r="M783" s="2"/>
      <c r="N783" s="2"/>
      <c r="O783" s="2" t="s">
        <v>27</v>
      </c>
      <c r="P783" s="2" t="s">
        <v>26</v>
      </c>
    </row>
    <row r="784" spans="1:16" ht="20.100000000000001" customHeight="1" x14ac:dyDescent="0.25">
      <c r="A784" s="26" t="str">
        <f>CONCATENATE(LEFT(ConsumoConcreto[[#This Row],[RecebimentoID]],4),"CNSC",TEXT(ConsumoConcreto[[#This Row],[Ordem]],"0000"),UPPER(LEFT(ConsumoConcreto[[#This Row],[Destino]],3)))</f>
        <v>0184CNSC0248PIL</v>
      </c>
      <c r="B784" s="1">
        <v>248</v>
      </c>
      <c r="C784" s="2" t="s">
        <v>2829</v>
      </c>
      <c r="D784" s="2" t="s">
        <v>1979</v>
      </c>
      <c r="E784" s="18">
        <v>20</v>
      </c>
      <c r="F784" s="2" t="s">
        <v>1801</v>
      </c>
      <c r="G784" s="36">
        <v>0.4375</v>
      </c>
      <c r="H784" s="2" t="s">
        <v>1962</v>
      </c>
      <c r="I7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784" s="22">
        <v>0.1</v>
      </c>
      <c r="K784" s="22">
        <v>0.1</v>
      </c>
      <c r="L784" s="37">
        <v>36892</v>
      </c>
      <c r="M784" s="2"/>
      <c r="N784" s="2" t="s">
        <v>1963</v>
      </c>
      <c r="O784" s="2" t="s">
        <v>27</v>
      </c>
      <c r="P784" s="2" t="s">
        <v>26</v>
      </c>
    </row>
    <row r="785" spans="1:16" ht="20.100000000000001" customHeight="1" x14ac:dyDescent="0.25">
      <c r="A785" s="26" t="str">
        <f>CONCATENATE(LEFT(ConsumoConcreto[[#This Row],[RecebimentoID]],4),"CNSC",TEXT(ConsumoConcreto[[#This Row],[Ordem]],"0000"),UPPER(LEFT(ConsumoConcreto[[#This Row],[Destino]],3)))</f>
        <v>0184CNSC0511PAR</v>
      </c>
      <c r="B785" s="1">
        <v>511</v>
      </c>
      <c r="C785" s="2" t="s">
        <v>2830</v>
      </c>
      <c r="D785" s="2" t="s">
        <v>2005</v>
      </c>
      <c r="E785" s="18">
        <v>20</v>
      </c>
      <c r="F785" s="2" t="s">
        <v>25</v>
      </c>
      <c r="G785" s="36">
        <v>0.7729166666666667</v>
      </c>
      <c r="H785" s="2" t="s">
        <v>1965</v>
      </c>
      <c r="I7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85" s="22">
        <v>18</v>
      </c>
      <c r="K785" s="22">
        <v>18</v>
      </c>
      <c r="L785" s="37">
        <v>36892</v>
      </c>
      <c r="M785" s="2"/>
      <c r="N785" s="2" t="s">
        <v>1966</v>
      </c>
      <c r="O785" s="2" t="s">
        <v>27</v>
      </c>
      <c r="P785" s="2" t="s">
        <v>26</v>
      </c>
    </row>
    <row r="786" spans="1:16" ht="20.100000000000001" customHeight="1" x14ac:dyDescent="0.25">
      <c r="A786" s="26" t="str">
        <f>CONCATENATE(LEFT(ConsumoConcreto[[#This Row],[RecebimentoID]],4),"CNSC",TEXT(ConsumoConcreto[[#This Row],[Ordem]],"0000"),UPPER(LEFT(ConsumoConcreto[[#This Row],[Destino]],3)))</f>
        <v>0184CNSC0478RAD</v>
      </c>
      <c r="B786" s="1">
        <v>478</v>
      </c>
      <c r="C786" s="2" t="s">
        <v>2831</v>
      </c>
      <c r="D786" s="2" t="s">
        <v>2005</v>
      </c>
      <c r="E786" s="18">
        <v>20</v>
      </c>
      <c r="F786" s="2" t="s">
        <v>1801</v>
      </c>
      <c r="G786" s="36">
        <v>0.69444444444444453</v>
      </c>
      <c r="H786" s="2" t="s">
        <v>1968</v>
      </c>
      <c r="I7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86" s="22">
        <v>5.5</v>
      </c>
      <c r="K786" s="22">
        <v>5.5</v>
      </c>
      <c r="L786" s="37">
        <v>36892</v>
      </c>
      <c r="M786" s="2"/>
      <c r="N786" s="2" t="s">
        <v>1963</v>
      </c>
      <c r="O786" s="2" t="s">
        <v>27</v>
      </c>
      <c r="P786" s="2" t="s">
        <v>26</v>
      </c>
    </row>
    <row r="787" spans="1:16" ht="20.100000000000001" customHeight="1" x14ac:dyDescent="0.25">
      <c r="A787" s="26" t="str">
        <f>CONCATENATE(LEFT(ConsumoConcreto[[#This Row],[RecebimentoID]],4),"CNSC",TEXT(ConsumoConcreto[[#This Row],[Ordem]],"0000"),UPPER(LEFT(ConsumoConcreto[[#This Row],[Destino]],3)))</f>
        <v>0184CNSC0587PAR</v>
      </c>
      <c r="B787" s="1">
        <v>587</v>
      </c>
      <c r="C787" s="2" t="s">
        <v>2832</v>
      </c>
      <c r="D787" s="2" t="s">
        <v>2007</v>
      </c>
      <c r="E787" s="18">
        <v>20</v>
      </c>
      <c r="F787" s="2" t="s">
        <v>25</v>
      </c>
      <c r="G787" s="36">
        <v>0.7944444444444444</v>
      </c>
      <c r="H787" s="2" t="s">
        <v>1965</v>
      </c>
      <c r="I7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87" s="22">
        <v>15</v>
      </c>
      <c r="K787" s="22">
        <v>15</v>
      </c>
      <c r="L787" s="37">
        <v>36892</v>
      </c>
      <c r="M787" s="2"/>
      <c r="N787" s="2" t="s">
        <v>1966</v>
      </c>
      <c r="O787" s="2" t="s">
        <v>27</v>
      </c>
      <c r="P787" s="2" t="s">
        <v>26</v>
      </c>
    </row>
    <row r="788" spans="1:16" ht="20.100000000000001" customHeight="1" x14ac:dyDescent="0.25">
      <c r="A788" s="26" t="str">
        <f>CONCATENATE(LEFT(ConsumoConcreto[[#This Row],[RecebimentoID]],4),"CNSC",TEXT(ConsumoConcreto[[#This Row],[Ordem]],"0000"),UPPER(LEFT(ConsumoConcreto[[#This Row],[Destino]],3)))</f>
        <v>0184CNSC0558RAD</v>
      </c>
      <c r="B788" s="1">
        <v>558</v>
      </c>
      <c r="C788" s="2" t="s">
        <v>2833</v>
      </c>
      <c r="D788" s="2" t="s">
        <v>2007</v>
      </c>
      <c r="E788" s="18">
        <v>20</v>
      </c>
      <c r="F788" s="2" t="s">
        <v>1801</v>
      </c>
      <c r="G788" s="36"/>
      <c r="H788" s="2" t="s">
        <v>1968</v>
      </c>
      <c r="I7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88" s="22">
        <v>5.5</v>
      </c>
      <c r="K788" s="22">
        <v>5.5</v>
      </c>
      <c r="L788" s="37">
        <v>36892</v>
      </c>
      <c r="M788" s="2"/>
      <c r="N788" s="2" t="s">
        <v>1963</v>
      </c>
      <c r="O788" s="2" t="s">
        <v>27</v>
      </c>
      <c r="P788" s="2" t="s">
        <v>26</v>
      </c>
    </row>
    <row r="789" spans="1:16" ht="20.100000000000001" customHeight="1" x14ac:dyDescent="0.25">
      <c r="A789" s="26" t="str">
        <f>CONCATENATE(LEFT(ConsumoConcreto[[#This Row],[RecebimentoID]],4),"CNSC",TEXT(ConsumoConcreto[[#This Row],[Ordem]],"0000"),UPPER(LEFT(ConsumoConcreto[[#This Row],[Destino]],3)))</f>
        <v>0184CNSC0655PAR</v>
      </c>
      <c r="B789" s="1">
        <v>655</v>
      </c>
      <c r="C789" s="2" t="s">
        <v>2834</v>
      </c>
      <c r="D789" s="2" t="s">
        <v>2010</v>
      </c>
      <c r="E789" s="18">
        <v>20</v>
      </c>
      <c r="F789" s="2" t="s">
        <v>25</v>
      </c>
      <c r="G789" s="36">
        <v>0.83333333333333337</v>
      </c>
      <c r="H789" s="2" t="s">
        <v>1965</v>
      </c>
      <c r="I7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89" s="22">
        <v>14</v>
      </c>
      <c r="K789" s="22">
        <v>14</v>
      </c>
      <c r="L789" s="37">
        <v>36892</v>
      </c>
      <c r="M789" s="2"/>
      <c r="N789" s="2" t="s">
        <v>1966</v>
      </c>
      <c r="O789" s="2" t="s">
        <v>27</v>
      </c>
      <c r="P789" s="2" t="s">
        <v>26</v>
      </c>
    </row>
    <row r="790" spans="1:16" ht="20.100000000000001" customHeight="1" x14ac:dyDescent="0.25">
      <c r="A790" s="26" t="str">
        <f>CONCATENATE(LEFT(ConsumoConcreto[[#This Row],[RecebimentoID]],4),"CNSC",TEXT(ConsumoConcreto[[#This Row],[Ordem]],"0000"),UPPER(LEFT(ConsumoConcreto[[#This Row],[Destino]],3)))</f>
        <v>0184CNSC0625RAD</v>
      </c>
      <c r="B790" s="1">
        <v>625</v>
      </c>
      <c r="C790" s="2" t="s">
        <v>2835</v>
      </c>
      <c r="D790" s="2" t="s">
        <v>2010</v>
      </c>
      <c r="E790" s="18">
        <v>20</v>
      </c>
      <c r="F790" s="2" t="s">
        <v>1801</v>
      </c>
      <c r="G790" s="36">
        <v>0.62638888888888888</v>
      </c>
      <c r="H790" s="2" t="s">
        <v>1968</v>
      </c>
      <c r="I7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90" s="22">
        <v>5.5</v>
      </c>
      <c r="K790" s="22">
        <v>5.5</v>
      </c>
      <c r="L790" s="37">
        <v>36892</v>
      </c>
      <c r="M790" s="2"/>
      <c r="N790" s="2" t="s">
        <v>1963</v>
      </c>
      <c r="O790" s="2" t="s">
        <v>27</v>
      </c>
      <c r="P790" s="2" t="s">
        <v>26</v>
      </c>
    </row>
    <row r="791" spans="1:16" ht="20.100000000000001" customHeight="1" x14ac:dyDescent="0.25">
      <c r="A791" s="26" t="str">
        <f>CONCATENATE(LEFT(ConsumoConcreto[[#This Row],[RecebimentoID]],4),"CNSC",TEXT(ConsumoConcreto[[#This Row],[Ordem]],"0000"),UPPER(LEFT(ConsumoConcreto[[#This Row],[Destino]],3)))</f>
        <v>0184CNSC0735PAR</v>
      </c>
      <c r="B791" s="1">
        <v>735</v>
      </c>
      <c r="C791" s="2" t="s">
        <v>2836</v>
      </c>
      <c r="D791" s="2" t="s">
        <v>2013</v>
      </c>
      <c r="E791" s="18">
        <v>20</v>
      </c>
      <c r="F791" s="2" t="s">
        <v>25</v>
      </c>
      <c r="G791" s="36">
        <v>0.70277777777777783</v>
      </c>
      <c r="H791" s="2" t="s">
        <v>1965</v>
      </c>
      <c r="I7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91" s="22">
        <v>14</v>
      </c>
      <c r="K791" s="22">
        <v>14</v>
      </c>
      <c r="L791" s="37">
        <v>36892</v>
      </c>
      <c r="M791" s="2"/>
      <c r="N791" s="2" t="s">
        <v>1966</v>
      </c>
      <c r="O791" s="2" t="s">
        <v>27</v>
      </c>
      <c r="P791" s="2" t="s">
        <v>26</v>
      </c>
    </row>
    <row r="792" spans="1:16" ht="20.100000000000001" customHeight="1" x14ac:dyDescent="0.25">
      <c r="A792" s="26" t="str">
        <f>CONCATENATE(LEFT(ConsumoConcreto[[#This Row],[RecebimentoID]],4),"CNSC",TEXT(ConsumoConcreto[[#This Row],[Ordem]],"0000"),UPPER(LEFT(ConsumoConcreto[[#This Row],[Destino]],3)))</f>
        <v>0184CNSC0709RAD</v>
      </c>
      <c r="B792" s="1">
        <v>709</v>
      </c>
      <c r="C792" s="2" t="s">
        <v>2837</v>
      </c>
      <c r="D792" s="2" t="s">
        <v>2013</v>
      </c>
      <c r="E792" s="18">
        <v>20</v>
      </c>
      <c r="F792" s="2" t="s">
        <v>1801</v>
      </c>
      <c r="G792" s="36">
        <v>0.40277777777777773</v>
      </c>
      <c r="H792" s="2" t="s">
        <v>1968</v>
      </c>
      <c r="I7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92" s="22">
        <v>5.5</v>
      </c>
      <c r="K792" s="22">
        <v>5.5</v>
      </c>
      <c r="L792" s="37">
        <v>36892</v>
      </c>
      <c r="M792" s="2"/>
      <c r="N792" s="2" t="s">
        <v>1963</v>
      </c>
      <c r="O792" s="2" t="s">
        <v>27</v>
      </c>
      <c r="P792" s="2" t="s">
        <v>26</v>
      </c>
    </row>
    <row r="793" spans="1:16" ht="20.100000000000001" customHeight="1" x14ac:dyDescent="0.25">
      <c r="A793" s="26" t="str">
        <f>CONCATENATE(LEFT(ConsumoConcreto[[#This Row],[RecebimentoID]],4),"CNSC",TEXT(ConsumoConcreto[[#This Row],[Ordem]],"0000"),UPPER(LEFT(ConsumoConcreto[[#This Row],[Destino]],3)))</f>
        <v>0184CNSC0858PAR</v>
      </c>
      <c r="B793" s="1">
        <v>858</v>
      </c>
      <c r="C793" s="2" t="s">
        <v>2838</v>
      </c>
      <c r="D793" s="2" t="s">
        <v>2024</v>
      </c>
      <c r="E793" s="18">
        <v>20</v>
      </c>
      <c r="F793" s="2" t="s">
        <v>25</v>
      </c>
      <c r="G793" s="36">
        <v>0.81527777777777777</v>
      </c>
      <c r="H793" s="2" t="s">
        <v>1965</v>
      </c>
      <c r="I7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93" s="22">
        <v>14.5</v>
      </c>
      <c r="K793" s="22">
        <v>14.5</v>
      </c>
      <c r="L793" s="37">
        <v>36892</v>
      </c>
      <c r="M793" s="2"/>
      <c r="N793" s="2" t="s">
        <v>1966</v>
      </c>
      <c r="O793" s="2" t="s">
        <v>27</v>
      </c>
      <c r="P793" s="2" t="s">
        <v>26</v>
      </c>
    </row>
    <row r="794" spans="1:16" ht="20.100000000000001" customHeight="1" x14ac:dyDescent="0.25">
      <c r="A794" s="26" t="str">
        <f>CONCATENATE(LEFT(ConsumoConcreto[[#This Row],[RecebimentoID]],4),"CNSC",TEXT(ConsumoConcreto[[#This Row],[Ordem]],"0000"),UPPER(LEFT(ConsumoConcreto[[#This Row],[Destino]],3)))</f>
        <v>0184CNSC0817RAD</v>
      </c>
      <c r="B794" s="1">
        <v>817</v>
      </c>
      <c r="C794" s="2" t="s">
        <v>2839</v>
      </c>
      <c r="D794" s="2" t="s">
        <v>2024</v>
      </c>
      <c r="E794" s="18">
        <v>20</v>
      </c>
      <c r="F794" s="2" t="s">
        <v>1801</v>
      </c>
      <c r="G794" s="36">
        <v>0.74305555555555547</v>
      </c>
      <c r="H794" s="2" t="s">
        <v>1968</v>
      </c>
      <c r="I7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94" s="22">
        <v>5.5</v>
      </c>
      <c r="K794" s="22">
        <v>5.5</v>
      </c>
      <c r="L794" s="37">
        <v>36892</v>
      </c>
      <c r="M794" s="2"/>
      <c r="N794" s="2" t="s">
        <v>1966</v>
      </c>
      <c r="O794" s="2" t="s">
        <v>27</v>
      </c>
      <c r="P794" s="2" t="s">
        <v>26</v>
      </c>
    </row>
    <row r="795" spans="1:16" ht="20.100000000000001" customHeight="1" x14ac:dyDescent="0.25">
      <c r="A795" s="26" t="str">
        <f>CONCATENATE(LEFT(ConsumoConcreto[[#This Row],[RecebimentoID]],4),"CNSC",TEXT(ConsumoConcreto[[#This Row],[Ordem]],"0000"),UPPER(LEFT(ConsumoConcreto[[#This Row],[Destino]],3)))</f>
        <v>0184CNSC0978PAR</v>
      </c>
      <c r="B795" s="1">
        <v>978</v>
      </c>
      <c r="C795" s="2" t="s">
        <v>2840</v>
      </c>
      <c r="D795" s="2" t="s">
        <v>2033</v>
      </c>
      <c r="E795" s="18">
        <v>20</v>
      </c>
      <c r="F795" s="2" t="s">
        <v>25</v>
      </c>
      <c r="G795" s="36">
        <v>0.79166666666666663</v>
      </c>
      <c r="H795" s="2" t="s">
        <v>1965</v>
      </c>
      <c r="I7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95" s="22">
        <v>14.5</v>
      </c>
      <c r="K795" s="22">
        <v>14.5</v>
      </c>
      <c r="L795" s="37">
        <v>36892</v>
      </c>
      <c r="M795" s="2"/>
      <c r="N795" s="2" t="s">
        <v>1966</v>
      </c>
      <c r="O795" s="2" t="s">
        <v>27</v>
      </c>
      <c r="P795" s="2" t="s">
        <v>26</v>
      </c>
    </row>
    <row r="796" spans="1:16" ht="20.100000000000001" customHeight="1" x14ac:dyDescent="0.25">
      <c r="A796" s="26" t="str">
        <f>CONCATENATE(LEFT(ConsumoConcreto[[#This Row],[RecebimentoID]],4),"CNSC",TEXT(ConsumoConcreto[[#This Row],[Ordem]],"0000"),UPPER(LEFT(ConsumoConcreto[[#This Row],[Destino]],3)))</f>
        <v>0184CNSC0961RAD</v>
      </c>
      <c r="B796" s="1">
        <v>961</v>
      </c>
      <c r="C796" s="2" t="s">
        <v>2841</v>
      </c>
      <c r="D796" s="2" t="s">
        <v>2033</v>
      </c>
      <c r="E796" s="18">
        <v>20</v>
      </c>
      <c r="F796" s="2" t="s">
        <v>1801</v>
      </c>
      <c r="G796" s="36">
        <v>0.63055555555555554</v>
      </c>
      <c r="H796" s="2" t="s">
        <v>1968</v>
      </c>
      <c r="I7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96" s="22">
        <v>6.5</v>
      </c>
      <c r="K796" s="22">
        <v>6.5</v>
      </c>
      <c r="L796" s="37">
        <v>36892</v>
      </c>
      <c r="M796" s="2" t="s">
        <v>2289</v>
      </c>
      <c r="N796" s="2" t="s">
        <v>1966</v>
      </c>
      <c r="O796" s="2" t="s">
        <v>27</v>
      </c>
      <c r="P796" s="2" t="s">
        <v>26</v>
      </c>
    </row>
    <row r="797" spans="1:16" ht="20.100000000000001" customHeight="1" x14ac:dyDescent="0.25">
      <c r="A797" s="26" t="str">
        <f>CONCATENATE(LEFT(ConsumoConcreto[[#This Row],[RecebimentoID]],4),"CNSC",TEXT(ConsumoConcreto[[#This Row],[Ordem]],"0000"),UPPER(LEFT(ConsumoConcreto[[#This Row],[Destino]],3)))</f>
        <v>0184CNSC1076PAR</v>
      </c>
      <c r="B797" s="1">
        <v>1076</v>
      </c>
      <c r="C797" s="2" t="s">
        <v>2842</v>
      </c>
      <c r="D797" s="2" t="s">
        <v>2036</v>
      </c>
      <c r="E797" s="18">
        <v>20</v>
      </c>
      <c r="F797" s="2" t="s">
        <v>25</v>
      </c>
      <c r="G797" s="36">
        <v>0.73541666666666661</v>
      </c>
      <c r="H797" s="2" t="s">
        <v>1965</v>
      </c>
      <c r="I7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797" s="22">
        <v>14.5</v>
      </c>
      <c r="K797" s="22">
        <v>14.5</v>
      </c>
      <c r="L797" s="37">
        <v>36892</v>
      </c>
      <c r="M797" s="2"/>
      <c r="N797" s="2" t="s">
        <v>1966</v>
      </c>
      <c r="O797" s="2" t="s">
        <v>27</v>
      </c>
      <c r="P797" s="2" t="s">
        <v>26</v>
      </c>
    </row>
    <row r="798" spans="1:16" ht="20.100000000000001" customHeight="1" x14ac:dyDescent="0.25">
      <c r="A798" s="26" t="str">
        <f>CONCATENATE(LEFT(ConsumoConcreto[[#This Row],[RecebimentoID]],4),"CNSC",TEXT(ConsumoConcreto[[#This Row],[Ordem]],"0000"),UPPER(LEFT(ConsumoConcreto[[#This Row],[Destino]],3)))</f>
        <v>0184CNSC1019RAD</v>
      </c>
      <c r="B798" s="1">
        <v>1019</v>
      </c>
      <c r="C798" s="2" t="s">
        <v>2843</v>
      </c>
      <c r="D798" s="2" t="s">
        <v>2036</v>
      </c>
      <c r="E798" s="18">
        <v>20</v>
      </c>
      <c r="F798" s="2" t="s">
        <v>1801</v>
      </c>
      <c r="G798" s="36">
        <v>0.69791666666666663</v>
      </c>
      <c r="H798" s="2" t="s">
        <v>1968</v>
      </c>
      <c r="I7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798" s="22">
        <v>5.5</v>
      </c>
      <c r="K798" s="22">
        <v>5.5</v>
      </c>
      <c r="L798" s="37">
        <v>36892</v>
      </c>
      <c r="M798" s="2"/>
      <c r="N798" s="2" t="s">
        <v>1963</v>
      </c>
      <c r="O798" s="2" t="s">
        <v>27</v>
      </c>
      <c r="P798" s="2" t="s">
        <v>26</v>
      </c>
    </row>
    <row r="799" spans="1:16" ht="20.100000000000001" customHeight="1" x14ac:dyDescent="0.25">
      <c r="A799" s="26" t="str">
        <f>CONCATENATE(LEFT(ConsumoConcreto[[#This Row],[RecebimentoID]],4),"CNSC",TEXT(ConsumoConcreto[[#This Row],[Ordem]],"0000"),UPPER(LEFT(ConsumoConcreto[[#This Row],[Destino]],3)))</f>
        <v>0184CNSC0072PAR</v>
      </c>
      <c r="B799" s="1">
        <v>72</v>
      </c>
      <c r="C799" s="2" t="s">
        <v>2844</v>
      </c>
      <c r="D799" s="2" t="s">
        <v>1970</v>
      </c>
      <c r="E799" s="18">
        <v>21</v>
      </c>
      <c r="F799" s="2" t="s">
        <v>25</v>
      </c>
      <c r="G799" s="36"/>
      <c r="H799" s="2" t="s">
        <v>1965</v>
      </c>
      <c r="I7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799" s="22">
        <v>18</v>
      </c>
      <c r="K799" s="22">
        <v>18</v>
      </c>
      <c r="L799" s="37">
        <v>36892</v>
      </c>
      <c r="M799" s="2"/>
      <c r="N799" s="2" t="s">
        <v>1966</v>
      </c>
      <c r="O799" s="2" t="s">
        <v>27</v>
      </c>
      <c r="P799" s="2" t="s">
        <v>26</v>
      </c>
    </row>
    <row r="800" spans="1:16" ht="20.100000000000001" customHeight="1" x14ac:dyDescent="0.25">
      <c r="A800" s="26" t="str">
        <f>CONCATENATE(LEFT(ConsumoConcreto[[#This Row],[RecebimentoID]],4),"CNSC",TEXT(ConsumoConcreto[[#This Row],[Ordem]],"0000"),UPPER(LEFT(ConsumoConcreto[[#This Row],[Destino]],3)))</f>
        <v>0184CNSC0093PIL</v>
      </c>
      <c r="B800" s="1">
        <v>93</v>
      </c>
      <c r="C800" s="2" t="s">
        <v>2845</v>
      </c>
      <c r="D800" s="2" t="s">
        <v>1970</v>
      </c>
      <c r="E800" s="18">
        <v>21</v>
      </c>
      <c r="F800" s="2" t="s">
        <v>25</v>
      </c>
      <c r="G800" s="36"/>
      <c r="H800" s="2" t="s">
        <v>1962</v>
      </c>
      <c r="I8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00" s="22">
        <v>0.1</v>
      </c>
      <c r="K800" s="22">
        <v>0.1</v>
      </c>
      <c r="L800" s="37">
        <v>36892</v>
      </c>
      <c r="M800" s="2"/>
      <c r="N800" s="2" t="s">
        <v>1963</v>
      </c>
      <c r="O800" s="2" t="s">
        <v>27</v>
      </c>
      <c r="P800" s="2" t="s">
        <v>26</v>
      </c>
    </row>
    <row r="801" spans="1:16" ht="20.100000000000001" customHeight="1" x14ac:dyDescent="0.25">
      <c r="A801" s="26" t="str">
        <f>CONCATENATE(LEFT(ConsumoConcreto[[#This Row],[RecebimentoID]],4),"CNSC",TEXT(ConsumoConcreto[[#This Row],[Ordem]],"0000"),UPPER(LEFT(ConsumoConcreto[[#This Row],[Destino]],3)))</f>
        <v>0184CNSC0033RAD</v>
      </c>
      <c r="B801" s="1">
        <v>33</v>
      </c>
      <c r="C801" s="2" t="s">
        <v>2846</v>
      </c>
      <c r="D801" s="2" t="s">
        <v>1970</v>
      </c>
      <c r="E801" s="18">
        <v>21</v>
      </c>
      <c r="F801" s="2" t="s">
        <v>1801</v>
      </c>
      <c r="G801" s="36"/>
      <c r="H801" s="2" t="s">
        <v>1968</v>
      </c>
      <c r="I8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801" s="22">
        <v>7</v>
      </c>
      <c r="K801" s="22">
        <v>7</v>
      </c>
      <c r="L801" s="37">
        <v>36892</v>
      </c>
      <c r="M801" s="2"/>
      <c r="N801" s="2"/>
      <c r="O801" s="2" t="s">
        <v>27</v>
      </c>
      <c r="P801" s="2" t="s">
        <v>26</v>
      </c>
    </row>
    <row r="802" spans="1:16" ht="20.100000000000001" customHeight="1" x14ac:dyDescent="0.25">
      <c r="A802" s="26" t="str">
        <f>CONCATENATE(LEFT(ConsumoConcreto[[#This Row],[RecebimentoID]],4),"CNSC",TEXT(ConsumoConcreto[[#This Row],[Ordem]],"0000"),UPPER(LEFT(ConsumoConcreto[[#This Row],[Destino]],3)))</f>
        <v>0184CNSC0146PAR</v>
      </c>
      <c r="B802" s="1">
        <v>146</v>
      </c>
      <c r="C802" s="2" t="s">
        <v>2847</v>
      </c>
      <c r="D802" s="2" t="s">
        <v>1975</v>
      </c>
      <c r="E802" s="18">
        <v>21</v>
      </c>
      <c r="F802" s="2" t="s">
        <v>25</v>
      </c>
      <c r="G802" s="36">
        <v>0.75</v>
      </c>
      <c r="H802" s="2" t="s">
        <v>1965</v>
      </c>
      <c r="I8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02" s="22">
        <v>14.5</v>
      </c>
      <c r="K802" s="22">
        <v>14.5</v>
      </c>
      <c r="L802" s="37">
        <v>36892</v>
      </c>
      <c r="M802" s="2"/>
      <c r="N802" s="2" t="s">
        <v>1966</v>
      </c>
      <c r="O802" s="2" t="s">
        <v>27</v>
      </c>
      <c r="P802" s="2" t="s">
        <v>26</v>
      </c>
    </row>
    <row r="803" spans="1:16" ht="20.100000000000001" customHeight="1" x14ac:dyDescent="0.25">
      <c r="A803" s="26" t="str">
        <f>CONCATENATE(LEFT(ConsumoConcreto[[#This Row],[RecebimentoID]],4),"CNSC",TEXT(ConsumoConcreto[[#This Row],[Ordem]],"0000"),UPPER(LEFT(ConsumoConcreto[[#This Row],[Destino]],3)))</f>
        <v>0184CNSC0174PIL</v>
      </c>
      <c r="B803" s="1">
        <v>174</v>
      </c>
      <c r="C803" s="2" t="s">
        <v>2848</v>
      </c>
      <c r="D803" s="2" t="s">
        <v>1975</v>
      </c>
      <c r="E803" s="18">
        <v>21</v>
      </c>
      <c r="F803" s="2" t="s">
        <v>25</v>
      </c>
      <c r="G803" s="36"/>
      <c r="H803" s="2" t="s">
        <v>1962</v>
      </c>
      <c r="I8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03" s="22">
        <v>0.1</v>
      </c>
      <c r="K803" s="22">
        <v>0.1</v>
      </c>
      <c r="L803" s="37">
        <v>36892</v>
      </c>
      <c r="M803" s="2"/>
      <c r="N803" s="2" t="s">
        <v>1963</v>
      </c>
      <c r="O803" s="2" t="s">
        <v>27</v>
      </c>
      <c r="P803" s="2" t="s">
        <v>26</v>
      </c>
    </row>
    <row r="804" spans="1:16" ht="20.100000000000001" customHeight="1" x14ac:dyDescent="0.25">
      <c r="A804" s="26" t="str">
        <f>CONCATENATE(LEFT(ConsumoConcreto[[#This Row],[RecebimentoID]],4),"CNSC",TEXT(ConsumoConcreto[[#This Row],[Ordem]],"0000"),UPPER(LEFT(ConsumoConcreto[[#This Row],[Destino]],3)))</f>
        <v>0184CNSC0120RAD</v>
      </c>
      <c r="B804" s="1">
        <v>120</v>
      </c>
      <c r="C804" s="2" t="s">
        <v>2849</v>
      </c>
      <c r="D804" s="2" t="s">
        <v>1975</v>
      </c>
      <c r="E804" s="18">
        <v>21</v>
      </c>
      <c r="F804" s="2" t="s">
        <v>1801</v>
      </c>
      <c r="G804" s="36"/>
      <c r="H804" s="2" t="s">
        <v>1968</v>
      </c>
      <c r="I8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04" s="22">
        <v>7</v>
      </c>
      <c r="K804" s="22">
        <v>6.5</v>
      </c>
      <c r="L804" s="37">
        <v>36892</v>
      </c>
      <c r="M804" s="2" t="s">
        <v>1982</v>
      </c>
      <c r="N804" s="2" t="s">
        <v>1966</v>
      </c>
      <c r="O804" s="2" t="s">
        <v>27</v>
      </c>
      <c r="P804" s="2" t="s">
        <v>26</v>
      </c>
    </row>
    <row r="805" spans="1:16" ht="20.100000000000001" customHeight="1" x14ac:dyDescent="0.25">
      <c r="A805" s="26" t="str">
        <f>CONCATENATE(LEFT(ConsumoConcreto[[#This Row],[RecebimentoID]],4),"CNSC",TEXT(ConsumoConcreto[[#This Row],[Ordem]],"0000"),UPPER(LEFT(ConsumoConcreto[[#This Row],[Destino]],3)))</f>
        <v>0184CNSC0230PAR</v>
      </c>
      <c r="B805" s="1">
        <v>230</v>
      </c>
      <c r="C805" s="2" t="s">
        <v>2850</v>
      </c>
      <c r="D805" s="2" t="s">
        <v>1979</v>
      </c>
      <c r="E805" s="18">
        <v>21</v>
      </c>
      <c r="F805" s="2" t="s">
        <v>25</v>
      </c>
      <c r="G805" s="36">
        <v>0.80902777777777779</v>
      </c>
      <c r="H805" s="2" t="s">
        <v>1965</v>
      </c>
      <c r="I8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05" s="22">
        <v>14.5</v>
      </c>
      <c r="K805" s="22">
        <v>14.5</v>
      </c>
      <c r="L805" s="37">
        <v>36892</v>
      </c>
      <c r="M805" s="2"/>
      <c r="N805" s="2" t="s">
        <v>1966</v>
      </c>
      <c r="O805" s="2" t="s">
        <v>27</v>
      </c>
      <c r="P805" s="2" t="s">
        <v>26</v>
      </c>
    </row>
    <row r="806" spans="1:16" ht="20.100000000000001" customHeight="1" x14ac:dyDescent="0.25">
      <c r="A806" s="26" t="str">
        <f>CONCATENATE(LEFT(ConsumoConcreto[[#This Row],[RecebimentoID]],4),"CNSC",TEXT(ConsumoConcreto[[#This Row],[Ordem]],"0000"),UPPER(LEFT(ConsumoConcreto[[#This Row],[Destino]],3)))</f>
        <v>0184CNSC0202RAD</v>
      </c>
      <c r="B806" s="1">
        <v>202</v>
      </c>
      <c r="C806" s="2" t="s">
        <v>2851</v>
      </c>
      <c r="D806" s="2" t="s">
        <v>1979</v>
      </c>
      <c r="E806" s="18">
        <v>21</v>
      </c>
      <c r="F806" s="2" t="s">
        <v>1801</v>
      </c>
      <c r="G806" s="36"/>
      <c r="H806" s="2" t="s">
        <v>1968</v>
      </c>
      <c r="I8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06" s="22">
        <v>5.5</v>
      </c>
      <c r="K806" s="22">
        <v>5.4809999999999999</v>
      </c>
      <c r="L806" s="37">
        <v>36892</v>
      </c>
      <c r="M806" s="2"/>
      <c r="N806" s="2"/>
      <c r="O806" s="2" t="s">
        <v>27</v>
      </c>
      <c r="P806" s="2" t="s">
        <v>26</v>
      </c>
    </row>
    <row r="807" spans="1:16" ht="20.100000000000001" customHeight="1" x14ac:dyDescent="0.25">
      <c r="A807" s="26" t="str">
        <f>CONCATENATE(LEFT(ConsumoConcreto[[#This Row],[RecebimentoID]],4),"CNSC",TEXT(ConsumoConcreto[[#This Row],[Ordem]],"0000"),UPPER(LEFT(ConsumoConcreto[[#This Row],[Destino]],3)))</f>
        <v>0184CNSC0529PAR</v>
      </c>
      <c r="B807" s="1">
        <v>529</v>
      </c>
      <c r="C807" s="2" t="s">
        <v>2852</v>
      </c>
      <c r="D807" s="2" t="s">
        <v>2005</v>
      </c>
      <c r="E807" s="18">
        <v>21</v>
      </c>
      <c r="F807" s="2" t="s">
        <v>25</v>
      </c>
      <c r="G807" s="36">
        <v>0.78819444444444453</v>
      </c>
      <c r="H807" s="2" t="s">
        <v>1965</v>
      </c>
      <c r="I8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807" s="22">
        <v>18</v>
      </c>
      <c r="K807" s="22">
        <v>18</v>
      </c>
      <c r="L807" s="37">
        <v>36892</v>
      </c>
      <c r="M807" s="2"/>
      <c r="N807" s="2" t="s">
        <v>1966</v>
      </c>
      <c r="O807" s="2" t="s">
        <v>27</v>
      </c>
      <c r="P807" s="2" t="s">
        <v>26</v>
      </c>
    </row>
    <row r="808" spans="1:16" ht="20.100000000000001" customHeight="1" x14ac:dyDescent="0.25">
      <c r="A808" s="26" t="str">
        <f>CONCATENATE(LEFT(ConsumoConcreto[[#This Row],[RecebimentoID]],4),"CNSC",TEXT(ConsumoConcreto[[#This Row],[Ordem]],"0000"),UPPER(LEFT(ConsumoConcreto[[#This Row],[Destino]],3)))</f>
        <v>0184CNSC0488RAD</v>
      </c>
      <c r="B808" s="1">
        <v>488</v>
      </c>
      <c r="C808" s="2" t="s">
        <v>2853</v>
      </c>
      <c r="D808" s="2" t="s">
        <v>2005</v>
      </c>
      <c r="E808" s="18">
        <v>21</v>
      </c>
      <c r="F808" s="2" t="s">
        <v>1801</v>
      </c>
      <c r="G808" s="36">
        <v>0.50694444444444442</v>
      </c>
      <c r="H808" s="2" t="s">
        <v>1968</v>
      </c>
      <c r="I8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808" s="22">
        <v>7</v>
      </c>
      <c r="K808" s="22">
        <v>7</v>
      </c>
      <c r="L808" s="37">
        <v>36892</v>
      </c>
      <c r="M808" s="2"/>
      <c r="N808" s="2" t="s">
        <v>1963</v>
      </c>
      <c r="O808" s="2" t="s">
        <v>27</v>
      </c>
      <c r="P808" s="2" t="s">
        <v>26</v>
      </c>
    </row>
    <row r="809" spans="1:16" ht="20.100000000000001" customHeight="1" x14ac:dyDescent="0.25">
      <c r="A809" s="26" t="str">
        <f>CONCATENATE(LEFT(ConsumoConcreto[[#This Row],[RecebimentoID]],4),"CNSC",TEXT(ConsumoConcreto[[#This Row],[Ordem]],"0000"),UPPER(LEFT(ConsumoConcreto[[#This Row],[Destino]],3)))</f>
        <v>0184CNSC0594PAR</v>
      </c>
      <c r="B809" s="1">
        <v>594</v>
      </c>
      <c r="C809" s="2" t="s">
        <v>2854</v>
      </c>
      <c r="D809" s="2" t="s">
        <v>2007</v>
      </c>
      <c r="E809" s="18">
        <v>21</v>
      </c>
      <c r="F809" s="2" t="s">
        <v>25</v>
      </c>
      <c r="G809" s="36">
        <v>0.81111111111111101</v>
      </c>
      <c r="H809" s="2" t="s">
        <v>1965</v>
      </c>
      <c r="I8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09" s="22">
        <v>15</v>
      </c>
      <c r="K809" s="22">
        <v>15</v>
      </c>
      <c r="L809" s="37">
        <v>36892</v>
      </c>
      <c r="M809" s="2"/>
      <c r="N809" s="2" t="s">
        <v>1966</v>
      </c>
      <c r="O809" s="2" t="s">
        <v>27</v>
      </c>
      <c r="P809" s="2" t="s">
        <v>26</v>
      </c>
    </row>
    <row r="810" spans="1:16" ht="20.100000000000001" customHeight="1" x14ac:dyDescent="0.25">
      <c r="A810" s="26" t="str">
        <f>CONCATENATE(LEFT(ConsumoConcreto[[#This Row],[RecebimentoID]],4),"CNSC",TEXT(ConsumoConcreto[[#This Row],[Ordem]],"0000"),UPPER(LEFT(ConsumoConcreto[[#This Row],[Destino]],3)))</f>
        <v>0184CNSC0550RAD</v>
      </c>
      <c r="B810" s="1">
        <v>550</v>
      </c>
      <c r="C810" s="2" t="s">
        <v>2855</v>
      </c>
      <c r="D810" s="2" t="s">
        <v>2007</v>
      </c>
      <c r="E810" s="18">
        <v>21</v>
      </c>
      <c r="F810" s="2" t="s">
        <v>1801</v>
      </c>
      <c r="G810" s="36"/>
      <c r="H810" s="2" t="s">
        <v>1968</v>
      </c>
      <c r="I8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10" s="22">
        <v>5.5</v>
      </c>
      <c r="K810" s="22">
        <v>5.5</v>
      </c>
      <c r="L810" s="37">
        <v>36892</v>
      </c>
      <c r="M810" s="2"/>
      <c r="N810" s="2" t="s">
        <v>1963</v>
      </c>
      <c r="O810" s="2" t="s">
        <v>27</v>
      </c>
      <c r="P810" s="2" t="s">
        <v>26</v>
      </c>
    </row>
    <row r="811" spans="1:16" ht="20.100000000000001" customHeight="1" x14ac:dyDescent="0.25">
      <c r="A811" s="26" t="str">
        <f>CONCATENATE(LEFT(ConsumoConcreto[[#This Row],[RecebimentoID]],4),"CNSC",TEXT(ConsumoConcreto[[#This Row],[Ordem]],"0000"),UPPER(LEFT(ConsumoConcreto[[#This Row],[Destino]],3)))</f>
        <v>0184CNSC0638PAR</v>
      </c>
      <c r="B811" s="1">
        <v>638</v>
      </c>
      <c r="C811" s="2" t="s">
        <v>2856</v>
      </c>
      <c r="D811" s="2" t="s">
        <v>2010</v>
      </c>
      <c r="E811" s="18">
        <v>21</v>
      </c>
      <c r="F811" s="2" t="s">
        <v>25</v>
      </c>
      <c r="G811" s="36">
        <v>3.7499999999999999E-2</v>
      </c>
      <c r="H811" s="2" t="s">
        <v>1965</v>
      </c>
      <c r="I8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11" s="22">
        <v>14.5</v>
      </c>
      <c r="K811" s="22">
        <v>14</v>
      </c>
      <c r="L811" s="37">
        <v>36892</v>
      </c>
      <c r="M811" s="2" t="s">
        <v>2857</v>
      </c>
      <c r="N811" s="2" t="s">
        <v>1966</v>
      </c>
      <c r="O811" s="2" t="s">
        <v>27</v>
      </c>
      <c r="P811" s="2" t="s">
        <v>26</v>
      </c>
    </row>
    <row r="812" spans="1:16" ht="20.100000000000001" customHeight="1" x14ac:dyDescent="0.25">
      <c r="A812" s="26" t="str">
        <f>CONCATENATE(LEFT(ConsumoConcreto[[#This Row],[RecebimentoID]],4),"CNSC",TEXT(ConsumoConcreto[[#This Row],[Ordem]],"0000"),UPPER(LEFT(ConsumoConcreto[[#This Row],[Destino]],3)))</f>
        <v>0184CNSC0614RAD</v>
      </c>
      <c r="B812" s="1">
        <v>614</v>
      </c>
      <c r="C812" s="2" t="s">
        <v>2858</v>
      </c>
      <c r="D812" s="2" t="s">
        <v>2010</v>
      </c>
      <c r="E812" s="18">
        <v>21</v>
      </c>
      <c r="F812" s="2" t="s">
        <v>1801</v>
      </c>
      <c r="G812" s="36">
        <v>0.71111111111111114</v>
      </c>
      <c r="H812" s="2" t="s">
        <v>1968</v>
      </c>
      <c r="I8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12" s="22">
        <v>5.5</v>
      </c>
      <c r="K812" s="22">
        <v>5.5</v>
      </c>
      <c r="L812" s="37">
        <v>36892</v>
      </c>
      <c r="M812" s="2"/>
      <c r="N812" s="2" t="s">
        <v>1963</v>
      </c>
      <c r="O812" s="2" t="s">
        <v>27</v>
      </c>
      <c r="P812" s="2" t="s">
        <v>26</v>
      </c>
    </row>
    <row r="813" spans="1:16" ht="20.100000000000001" customHeight="1" x14ac:dyDescent="0.25">
      <c r="A813" s="26" t="str">
        <f>CONCATENATE(LEFT(ConsumoConcreto[[#This Row],[RecebimentoID]],4),"CNSC",TEXT(ConsumoConcreto[[#This Row],[Ordem]],"0000"),UPPER(LEFT(ConsumoConcreto[[#This Row],[Destino]],3)))</f>
        <v>0184CNSC0692PAR</v>
      </c>
      <c r="B813" s="1">
        <v>692</v>
      </c>
      <c r="C813" s="2" t="s">
        <v>2859</v>
      </c>
      <c r="D813" s="2" t="s">
        <v>2013</v>
      </c>
      <c r="E813" s="18">
        <v>21</v>
      </c>
      <c r="F813" s="2" t="s">
        <v>25</v>
      </c>
      <c r="G813" s="36">
        <v>0.78402777777777777</v>
      </c>
      <c r="H813" s="2" t="s">
        <v>1965</v>
      </c>
      <c r="I8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13" s="22">
        <v>15</v>
      </c>
      <c r="K813" s="22">
        <v>15</v>
      </c>
      <c r="L813" s="37">
        <v>36892</v>
      </c>
      <c r="M813" s="2" t="s">
        <v>2082</v>
      </c>
      <c r="N813" s="2" t="s">
        <v>1966</v>
      </c>
      <c r="O813" s="2" t="s">
        <v>27</v>
      </c>
      <c r="P813" s="2" t="s">
        <v>26</v>
      </c>
    </row>
    <row r="814" spans="1:16" ht="20.100000000000001" customHeight="1" x14ac:dyDescent="0.25">
      <c r="A814" s="26" t="str">
        <f>CONCATENATE(LEFT(ConsumoConcreto[[#This Row],[RecebimentoID]],4),"CNSC",TEXT(ConsumoConcreto[[#This Row],[Ordem]],"0000"),UPPER(LEFT(ConsumoConcreto[[#This Row],[Destino]],3)))</f>
        <v>0184CNSC0679RAD</v>
      </c>
      <c r="B814" s="1">
        <v>679</v>
      </c>
      <c r="C814" s="2" t="s">
        <v>2860</v>
      </c>
      <c r="D814" s="2" t="s">
        <v>2013</v>
      </c>
      <c r="E814" s="18">
        <v>21</v>
      </c>
      <c r="F814" s="2" t="s">
        <v>1801</v>
      </c>
      <c r="G814" s="36"/>
      <c r="H814" s="2" t="s">
        <v>1968</v>
      </c>
      <c r="I8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14" s="22">
        <v>7.33</v>
      </c>
      <c r="K814" s="22">
        <v>5.4809999999999999</v>
      </c>
      <c r="L814" s="37">
        <v>36892</v>
      </c>
      <c r="M814" s="2" t="s">
        <v>1971</v>
      </c>
      <c r="N814" s="2"/>
      <c r="O814" s="2" t="s">
        <v>27</v>
      </c>
      <c r="P814" s="2" t="s">
        <v>26</v>
      </c>
    </row>
    <row r="815" spans="1:16" ht="20.100000000000001" customHeight="1" x14ac:dyDescent="0.25">
      <c r="A815" s="26" t="str">
        <f>CONCATENATE(LEFT(ConsumoConcreto[[#This Row],[RecebimentoID]],4),"CNSC",TEXT(ConsumoConcreto[[#This Row],[Ordem]],"0000"),UPPER(LEFT(ConsumoConcreto[[#This Row],[Destino]],3)))</f>
        <v>0184CNSC0736PIL</v>
      </c>
      <c r="B815" s="1">
        <v>736</v>
      </c>
      <c r="C815" s="2" t="s">
        <v>2861</v>
      </c>
      <c r="D815" s="2" t="s">
        <v>2013</v>
      </c>
      <c r="E815" s="18">
        <v>21</v>
      </c>
      <c r="F815" s="2" t="s">
        <v>1801</v>
      </c>
      <c r="G815" s="36">
        <v>0.54166666666666663</v>
      </c>
      <c r="H815" s="2" t="s">
        <v>1962</v>
      </c>
      <c r="I8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15" s="22">
        <v>0.1</v>
      </c>
      <c r="K815" s="22">
        <v>0.1</v>
      </c>
      <c r="L815" s="37">
        <v>36892</v>
      </c>
      <c r="M815" s="2"/>
      <c r="N815" s="2" t="s">
        <v>1963</v>
      </c>
      <c r="O815" s="2" t="s">
        <v>27</v>
      </c>
      <c r="P815" s="2" t="s">
        <v>26</v>
      </c>
    </row>
    <row r="816" spans="1:16" ht="20.100000000000001" customHeight="1" x14ac:dyDescent="0.25">
      <c r="A816" s="26" t="str">
        <f>CONCATENATE(LEFT(ConsumoConcreto[[#This Row],[RecebimentoID]],4),"CNSC",TEXT(ConsumoConcreto[[#This Row],[Ordem]],"0000"),UPPER(LEFT(ConsumoConcreto[[#This Row],[Destino]],3)))</f>
        <v>0184CNSC0846PAR</v>
      </c>
      <c r="B816" s="1">
        <v>846</v>
      </c>
      <c r="C816" s="2" t="s">
        <v>2862</v>
      </c>
      <c r="D816" s="2" t="s">
        <v>2024</v>
      </c>
      <c r="E816" s="18">
        <v>21</v>
      </c>
      <c r="F816" s="2" t="s">
        <v>25</v>
      </c>
      <c r="G816" s="36">
        <v>0.7055555555555556</v>
      </c>
      <c r="H816" s="2" t="s">
        <v>1965</v>
      </c>
      <c r="I8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16" s="22">
        <v>14.5</v>
      </c>
      <c r="K816" s="22">
        <v>14.5</v>
      </c>
      <c r="L816" s="37">
        <v>36892</v>
      </c>
      <c r="M816" s="2"/>
      <c r="N816" s="2" t="s">
        <v>1966</v>
      </c>
      <c r="O816" s="2" t="s">
        <v>27</v>
      </c>
      <c r="P816" s="2" t="s">
        <v>26</v>
      </c>
    </row>
    <row r="817" spans="1:16" ht="20.100000000000001" customHeight="1" x14ac:dyDescent="0.25">
      <c r="A817" s="26" t="str">
        <f>CONCATENATE(LEFT(ConsumoConcreto[[#This Row],[RecebimentoID]],4),"CNSC",TEXT(ConsumoConcreto[[#This Row],[Ordem]],"0000"),UPPER(LEFT(ConsumoConcreto[[#This Row],[Destino]],3)))</f>
        <v>0184CNSC0821RAD</v>
      </c>
      <c r="B817" s="1">
        <v>821</v>
      </c>
      <c r="C817" s="2" t="s">
        <v>2863</v>
      </c>
      <c r="D817" s="2" t="s">
        <v>2024</v>
      </c>
      <c r="E817" s="18">
        <v>21</v>
      </c>
      <c r="F817" s="2" t="s">
        <v>1801</v>
      </c>
      <c r="G817" s="36">
        <v>0.39930555555555558</v>
      </c>
      <c r="H817" s="2" t="s">
        <v>1968</v>
      </c>
      <c r="I8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17" s="22">
        <v>5.5</v>
      </c>
      <c r="K817" s="22">
        <v>5.5</v>
      </c>
      <c r="L817" s="37">
        <v>36892</v>
      </c>
      <c r="M817" s="2"/>
      <c r="N817" s="2" t="s">
        <v>1963</v>
      </c>
      <c r="O817" s="2" t="s">
        <v>27</v>
      </c>
      <c r="P817" s="2" t="s">
        <v>26</v>
      </c>
    </row>
    <row r="818" spans="1:16" ht="20.100000000000001" customHeight="1" x14ac:dyDescent="0.25">
      <c r="A818" s="26" t="str">
        <f>CONCATENATE(LEFT(ConsumoConcreto[[#This Row],[RecebimentoID]],4),"CNSC",TEXT(ConsumoConcreto[[#This Row],[Ordem]],"0000"),UPPER(LEFT(ConsumoConcreto[[#This Row],[Destino]],3)))</f>
        <v>0184CNSC0868PAR</v>
      </c>
      <c r="B818" s="1">
        <v>868</v>
      </c>
      <c r="C818" s="2" t="s">
        <v>2864</v>
      </c>
      <c r="D818" s="2" t="s">
        <v>2027</v>
      </c>
      <c r="E818" s="18">
        <v>21</v>
      </c>
      <c r="F818" s="2" t="s">
        <v>25</v>
      </c>
      <c r="G818" s="36">
        <v>0.9291666666666667</v>
      </c>
      <c r="H818" s="2" t="s">
        <v>1965</v>
      </c>
      <c r="I8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18" s="22">
        <v>18.5</v>
      </c>
      <c r="K818" s="22">
        <v>18.5</v>
      </c>
      <c r="L818" s="37">
        <v>36892</v>
      </c>
      <c r="M818" s="2"/>
      <c r="N818" s="2" t="s">
        <v>1966</v>
      </c>
      <c r="O818" s="2" t="s">
        <v>27</v>
      </c>
      <c r="P818" s="2" t="s">
        <v>26</v>
      </c>
    </row>
    <row r="819" spans="1:16" ht="20.100000000000001" customHeight="1" x14ac:dyDescent="0.25">
      <c r="A819" s="26" t="str">
        <f>CONCATENATE(LEFT(ConsumoConcreto[[#This Row],[RecebimentoID]],4),"CNSC",TEXT(ConsumoConcreto[[#This Row],[Ordem]],"0000"),UPPER(LEFT(ConsumoConcreto[[#This Row],[Destino]],3)))</f>
        <v>0184CNSC0879RAD</v>
      </c>
      <c r="B819" s="1">
        <v>879</v>
      </c>
      <c r="C819" s="2" t="s">
        <v>2865</v>
      </c>
      <c r="D819" s="2" t="s">
        <v>2027</v>
      </c>
      <c r="E819" s="18">
        <v>21</v>
      </c>
      <c r="F819" s="2" t="s">
        <v>1801</v>
      </c>
      <c r="G819" s="36">
        <v>0.625</v>
      </c>
      <c r="H819" s="2" t="s">
        <v>1968</v>
      </c>
      <c r="I8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19" s="22">
        <v>5.5</v>
      </c>
      <c r="K819" s="22">
        <v>5.5</v>
      </c>
      <c r="L819" s="37">
        <v>36892</v>
      </c>
      <c r="M819" s="2"/>
      <c r="N819" s="2" t="s">
        <v>1963</v>
      </c>
      <c r="O819" s="2" t="s">
        <v>27</v>
      </c>
      <c r="P819" s="2" t="s">
        <v>26</v>
      </c>
    </row>
    <row r="820" spans="1:16" ht="20.100000000000001" customHeight="1" x14ac:dyDescent="0.25">
      <c r="A820" s="26" t="str">
        <f>CONCATENATE(LEFT(ConsumoConcreto[[#This Row],[RecebimentoID]],4),"CNSC",TEXT(ConsumoConcreto[[#This Row],[Ordem]],"0000"),UPPER(LEFT(ConsumoConcreto[[#This Row],[Destino]],3)))</f>
        <v>0184CNSC0957PAR</v>
      </c>
      <c r="B820" s="1">
        <v>957</v>
      </c>
      <c r="C820" s="2" t="s">
        <v>2866</v>
      </c>
      <c r="D820" s="2" t="s">
        <v>2033</v>
      </c>
      <c r="E820" s="18">
        <v>21</v>
      </c>
      <c r="F820" s="2" t="s">
        <v>25</v>
      </c>
      <c r="G820" s="36">
        <v>0.66736111111111107</v>
      </c>
      <c r="H820" s="2" t="s">
        <v>1965</v>
      </c>
      <c r="I8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20" s="22">
        <v>14.5</v>
      </c>
      <c r="K820" s="22">
        <v>14.5</v>
      </c>
      <c r="L820" s="37">
        <v>36892</v>
      </c>
      <c r="M820" s="2"/>
      <c r="N820" s="2" t="s">
        <v>1966</v>
      </c>
      <c r="O820" s="2" t="s">
        <v>27</v>
      </c>
      <c r="P820" s="2" t="s">
        <v>26</v>
      </c>
    </row>
    <row r="821" spans="1:16" ht="20.100000000000001" customHeight="1" x14ac:dyDescent="0.25">
      <c r="A821" s="26" t="str">
        <f>CONCATENATE(LEFT(ConsumoConcreto[[#This Row],[RecebimentoID]],4),"CNSC",TEXT(ConsumoConcreto[[#This Row],[Ordem]],"0000"),UPPER(LEFT(ConsumoConcreto[[#This Row],[Destino]],3)))</f>
        <v>0184CNSC0942RAD</v>
      </c>
      <c r="B821" s="1">
        <v>942</v>
      </c>
      <c r="C821" s="2" t="s">
        <v>2867</v>
      </c>
      <c r="D821" s="2" t="s">
        <v>2033</v>
      </c>
      <c r="E821" s="18">
        <v>21</v>
      </c>
      <c r="F821" s="2" t="s">
        <v>1801</v>
      </c>
      <c r="G821" s="36">
        <v>0.67708333333333337</v>
      </c>
      <c r="H821" s="2" t="s">
        <v>1968</v>
      </c>
      <c r="I8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21" s="22">
        <v>5.5</v>
      </c>
      <c r="K821" s="22">
        <v>5.5</v>
      </c>
      <c r="L821" s="37">
        <v>36892</v>
      </c>
      <c r="M821" s="2"/>
      <c r="N821" s="2" t="s">
        <v>1963</v>
      </c>
      <c r="O821" s="2" t="s">
        <v>27</v>
      </c>
      <c r="P821" s="2" t="s">
        <v>26</v>
      </c>
    </row>
    <row r="822" spans="1:16" ht="20.100000000000001" customHeight="1" x14ac:dyDescent="0.25">
      <c r="A822" s="26" t="str">
        <f>CONCATENATE(LEFT(ConsumoConcreto[[#This Row],[RecebimentoID]],4),"CNSC",TEXT(ConsumoConcreto[[#This Row],[Ordem]],"0000"),UPPER(LEFT(ConsumoConcreto[[#This Row],[Destino]],3)))</f>
        <v>0184CNSC1077PAR</v>
      </c>
      <c r="B822" s="1">
        <v>1077</v>
      </c>
      <c r="C822" s="2" t="s">
        <v>2868</v>
      </c>
      <c r="D822" s="2" t="s">
        <v>2036</v>
      </c>
      <c r="E822" s="18">
        <v>21</v>
      </c>
      <c r="F822" s="2" t="s">
        <v>25</v>
      </c>
      <c r="G822" s="36">
        <v>0.71597222222222223</v>
      </c>
      <c r="H822" s="2" t="s">
        <v>1965</v>
      </c>
      <c r="I8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22" s="22">
        <v>14.5</v>
      </c>
      <c r="K822" s="22">
        <v>14.5</v>
      </c>
      <c r="L822" s="37">
        <v>36892</v>
      </c>
      <c r="M822" s="2"/>
      <c r="N822" s="2" t="s">
        <v>1966</v>
      </c>
      <c r="O822" s="2" t="s">
        <v>27</v>
      </c>
      <c r="P822" s="2" t="s">
        <v>26</v>
      </c>
    </row>
    <row r="823" spans="1:16" ht="20.100000000000001" customHeight="1" x14ac:dyDescent="0.25">
      <c r="A823" s="26" t="str">
        <f>CONCATENATE(LEFT(ConsumoConcreto[[#This Row],[RecebimentoID]],4),"CNSC",TEXT(ConsumoConcreto[[#This Row],[Ordem]],"0000"),UPPER(LEFT(ConsumoConcreto[[#This Row],[Destino]],3)))</f>
        <v>0184CNSC1044RAD</v>
      </c>
      <c r="B823" s="1">
        <v>1044</v>
      </c>
      <c r="C823" s="2" t="s">
        <v>2869</v>
      </c>
      <c r="D823" s="2" t="s">
        <v>2036</v>
      </c>
      <c r="E823" s="18">
        <v>21</v>
      </c>
      <c r="F823" s="2" t="s">
        <v>1801</v>
      </c>
      <c r="G823" s="36">
        <v>0.66666666666666663</v>
      </c>
      <c r="H823" s="2" t="s">
        <v>1968</v>
      </c>
      <c r="I8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23" s="22">
        <v>5.5</v>
      </c>
      <c r="K823" s="22">
        <v>5.5</v>
      </c>
      <c r="L823" s="37">
        <v>36892</v>
      </c>
      <c r="M823" s="2"/>
      <c r="N823" s="2" t="s">
        <v>1963</v>
      </c>
      <c r="O823" s="2" t="s">
        <v>27</v>
      </c>
      <c r="P823" s="2" t="s">
        <v>26</v>
      </c>
    </row>
    <row r="824" spans="1:16" ht="20.100000000000001" customHeight="1" x14ac:dyDescent="0.25">
      <c r="A824" s="26" t="str">
        <f>CONCATENATE(LEFT(ConsumoConcreto[[#This Row],[RecebimentoID]],4),"CNSC",TEXT(ConsumoConcreto[[#This Row],[Ordem]],"0000"),UPPER(LEFT(ConsumoConcreto[[#This Row],[Destino]],3)))</f>
        <v>0184CNSC0070PAR</v>
      </c>
      <c r="B824" s="1">
        <v>70</v>
      </c>
      <c r="C824" s="2" t="s">
        <v>2870</v>
      </c>
      <c r="D824" s="2" t="s">
        <v>1970</v>
      </c>
      <c r="E824" s="18">
        <v>22</v>
      </c>
      <c r="F824" s="2" t="s">
        <v>25</v>
      </c>
      <c r="G824" s="36"/>
      <c r="H824" s="2" t="s">
        <v>1965</v>
      </c>
      <c r="I8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824" s="22">
        <v>18</v>
      </c>
      <c r="K824" s="22">
        <v>18</v>
      </c>
      <c r="L824" s="37">
        <v>36892</v>
      </c>
      <c r="M824" s="2"/>
      <c r="N824" s="2" t="s">
        <v>1966</v>
      </c>
      <c r="O824" s="2" t="s">
        <v>27</v>
      </c>
      <c r="P824" s="2" t="s">
        <v>26</v>
      </c>
    </row>
    <row r="825" spans="1:16" ht="20.100000000000001" customHeight="1" x14ac:dyDescent="0.25">
      <c r="A825" s="26" t="str">
        <f>CONCATENATE(LEFT(ConsumoConcreto[[#This Row],[RecebimentoID]],4),"CNSC",TEXT(ConsumoConcreto[[#This Row],[Ordem]],"0000"),UPPER(LEFT(ConsumoConcreto[[#This Row],[Destino]],3)))</f>
        <v>0184CNSC0028RAD</v>
      </c>
      <c r="B825" s="1">
        <v>28</v>
      </c>
      <c r="C825" s="2" t="s">
        <v>2871</v>
      </c>
      <c r="D825" s="2" t="s">
        <v>1970</v>
      </c>
      <c r="E825" s="18">
        <v>22</v>
      </c>
      <c r="F825" s="2" t="s">
        <v>1801</v>
      </c>
      <c r="G825" s="36"/>
      <c r="H825" s="2" t="s">
        <v>1968</v>
      </c>
      <c r="I8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825" s="22">
        <v>7</v>
      </c>
      <c r="K825" s="22">
        <v>7</v>
      </c>
      <c r="L825" s="37">
        <v>36892</v>
      </c>
      <c r="M825" s="2"/>
      <c r="N825" s="2"/>
      <c r="O825" s="2" t="s">
        <v>27</v>
      </c>
      <c r="P825" s="2" t="s">
        <v>26</v>
      </c>
    </row>
    <row r="826" spans="1:16" ht="20.100000000000001" customHeight="1" x14ac:dyDescent="0.25">
      <c r="A826" s="26" t="str">
        <f>CONCATENATE(LEFT(ConsumoConcreto[[#This Row],[RecebimentoID]],4),"CNSC",TEXT(ConsumoConcreto[[#This Row],[Ordem]],"0000"),UPPER(LEFT(ConsumoConcreto[[#This Row],[Destino]],3)))</f>
        <v>0184CNSC0141PAR</v>
      </c>
      <c r="B826" s="1">
        <v>141</v>
      </c>
      <c r="C826" s="2" t="s">
        <v>2872</v>
      </c>
      <c r="D826" s="2" t="s">
        <v>1975</v>
      </c>
      <c r="E826" s="18">
        <v>22</v>
      </c>
      <c r="F826" s="2" t="s">
        <v>25</v>
      </c>
      <c r="G826" s="36"/>
      <c r="H826" s="2" t="s">
        <v>1965</v>
      </c>
      <c r="I8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26" s="22">
        <v>14.5</v>
      </c>
      <c r="K826" s="22">
        <v>14</v>
      </c>
      <c r="L826" s="37">
        <v>36892</v>
      </c>
      <c r="M826" s="2"/>
      <c r="N826" s="2" t="s">
        <v>1966</v>
      </c>
      <c r="O826" s="2" t="s">
        <v>27</v>
      </c>
      <c r="P826" s="2" t="s">
        <v>26</v>
      </c>
    </row>
    <row r="827" spans="1:16" ht="20.100000000000001" customHeight="1" x14ac:dyDescent="0.25">
      <c r="A827" s="26" t="str">
        <f>CONCATENATE(LEFT(ConsumoConcreto[[#This Row],[RecebimentoID]],4),"CNSC",TEXT(ConsumoConcreto[[#This Row],[Ordem]],"0000"),UPPER(LEFT(ConsumoConcreto[[#This Row],[Destino]],3)))</f>
        <v>0184CNSC0104RAD</v>
      </c>
      <c r="B827" s="1">
        <v>104</v>
      </c>
      <c r="C827" s="2" t="s">
        <v>2873</v>
      </c>
      <c r="D827" s="2" t="s">
        <v>1975</v>
      </c>
      <c r="E827" s="18">
        <v>22</v>
      </c>
      <c r="F827" s="2" t="s">
        <v>1801</v>
      </c>
      <c r="G827" s="36"/>
      <c r="H827" s="2" t="s">
        <v>1968</v>
      </c>
      <c r="I8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27" s="22">
        <v>5.5</v>
      </c>
      <c r="K827" s="22">
        <v>5.5</v>
      </c>
      <c r="L827" s="37">
        <v>36892</v>
      </c>
      <c r="M827" s="2"/>
      <c r="N827" s="2" t="s">
        <v>1966</v>
      </c>
      <c r="O827" s="2" t="s">
        <v>27</v>
      </c>
      <c r="P827" s="2" t="s">
        <v>26</v>
      </c>
    </row>
    <row r="828" spans="1:16" ht="20.100000000000001" customHeight="1" x14ac:dyDescent="0.25">
      <c r="A828" s="26" t="str">
        <f>CONCATENATE(LEFT(ConsumoConcreto[[#This Row],[RecebimentoID]],4),"CNSC",TEXT(ConsumoConcreto[[#This Row],[Ordem]],"0000"),UPPER(LEFT(ConsumoConcreto[[#This Row],[Destino]],3)))</f>
        <v>0184CNSC0162PIL</v>
      </c>
      <c r="B828" s="1">
        <v>162</v>
      </c>
      <c r="C828" s="2" t="s">
        <v>2874</v>
      </c>
      <c r="D828" s="2" t="s">
        <v>1975</v>
      </c>
      <c r="E828" s="18">
        <v>22</v>
      </c>
      <c r="F828" s="2" t="s">
        <v>1801</v>
      </c>
      <c r="G828" s="36"/>
      <c r="H828" s="2" t="s">
        <v>1962</v>
      </c>
      <c r="I8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28" s="22">
        <v>0.2</v>
      </c>
      <c r="K828" s="22">
        <v>0.1</v>
      </c>
      <c r="L828" s="37">
        <v>36892</v>
      </c>
      <c r="M828" s="2"/>
      <c r="N828" s="2" t="s">
        <v>1963</v>
      </c>
      <c r="O828" s="2" t="s">
        <v>27</v>
      </c>
      <c r="P828" s="2" t="s">
        <v>26</v>
      </c>
    </row>
    <row r="829" spans="1:16" ht="20.100000000000001" customHeight="1" x14ac:dyDescent="0.25">
      <c r="A829" s="26" t="str">
        <f>CONCATENATE(LEFT(ConsumoConcreto[[#This Row],[RecebimentoID]],4),"CNSC",TEXT(ConsumoConcreto[[#This Row],[Ordem]],"0000"),UPPER(LEFT(ConsumoConcreto[[#This Row],[Destino]],3)))</f>
        <v>0184CNSC0223PAR</v>
      </c>
      <c r="B829" s="1">
        <v>223</v>
      </c>
      <c r="C829" s="2" t="s">
        <v>2875</v>
      </c>
      <c r="D829" s="2" t="s">
        <v>1979</v>
      </c>
      <c r="E829" s="18">
        <v>22</v>
      </c>
      <c r="F829" s="2" t="s">
        <v>25</v>
      </c>
      <c r="G829" s="36">
        <v>0.69444444444444453</v>
      </c>
      <c r="H829" s="2" t="s">
        <v>1965</v>
      </c>
      <c r="I8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29" s="22">
        <v>18</v>
      </c>
      <c r="K829" s="22">
        <v>18</v>
      </c>
      <c r="L829" s="37">
        <v>36892</v>
      </c>
      <c r="M829" s="2" t="s">
        <v>2876</v>
      </c>
      <c r="N829" s="2" t="s">
        <v>1966</v>
      </c>
      <c r="O829" s="2" t="s">
        <v>27</v>
      </c>
      <c r="P829" s="2" t="s">
        <v>26</v>
      </c>
    </row>
    <row r="830" spans="1:16" ht="20.100000000000001" customHeight="1" x14ac:dyDescent="0.25">
      <c r="A830" s="26" t="str">
        <f>CONCATENATE(LEFT(ConsumoConcreto[[#This Row],[RecebimentoID]],4),"CNSC",TEXT(ConsumoConcreto[[#This Row],[Ordem]],"0000"),UPPER(LEFT(ConsumoConcreto[[#This Row],[Destino]],3)))</f>
        <v>0184CNSC0199RAD</v>
      </c>
      <c r="B830" s="1">
        <v>199</v>
      </c>
      <c r="C830" s="2" t="s">
        <v>2877</v>
      </c>
      <c r="D830" s="2" t="s">
        <v>1979</v>
      </c>
      <c r="E830" s="18">
        <v>22</v>
      </c>
      <c r="F830" s="2" t="s">
        <v>1801</v>
      </c>
      <c r="G830" s="36"/>
      <c r="H830" s="2" t="s">
        <v>1968</v>
      </c>
      <c r="I8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30" s="22">
        <v>5.5</v>
      </c>
      <c r="K830" s="22">
        <v>5.4809999999999999</v>
      </c>
      <c r="L830" s="37">
        <v>36892</v>
      </c>
      <c r="M830" s="2"/>
      <c r="N830" s="2"/>
      <c r="O830" s="2" t="s">
        <v>27</v>
      </c>
      <c r="P830" s="2" t="s">
        <v>26</v>
      </c>
    </row>
    <row r="831" spans="1:16" ht="20.100000000000001" customHeight="1" x14ac:dyDescent="0.25">
      <c r="A831" s="26" t="str">
        <f>CONCATENATE(LEFT(ConsumoConcreto[[#This Row],[RecebimentoID]],4),"CNSC",TEXT(ConsumoConcreto[[#This Row],[Ordem]],"0000"),UPPER(LEFT(ConsumoConcreto[[#This Row],[Destino]],3)))</f>
        <v>0184CNSC0249PIL</v>
      </c>
      <c r="B831" s="1">
        <v>249</v>
      </c>
      <c r="C831" s="2" t="s">
        <v>2878</v>
      </c>
      <c r="D831" s="2" t="s">
        <v>1979</v>
      </c>
      <c r="E831" s="18">
        <v>22</v>
      </c>
      <c r="F831" s="2" t="s">
        <v>1801</v>
      </c>
      <c r="G831" s="36">
        <v>0.4375</v>
      </c>
      <c r="H831" s="2" t="s">
        <v>1962</v>
      </c>
      <c r="I8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31" s="22">
        <v>0.1</v>
      </c>
      <c r="K831" s="22">
        <v>0.1</v>
      </c>
      <c r="L831" s="37">
        <v>36892</v>
      </c>
      <c r="M831" s="2"/>
      <c r="N831" s="2" t="s">
        <v>1963</v>
      </c>
      <c r="O831" s="2" t="s">
        <v>27</v>
      </c>
      <c r="P831" s="2" t="s">
        <v>26</v>
      </c>
    </row>
    <row r="832" spans="1:16" ht="20.100000000000001" customHeight="1" x14ac:dyDescent="0.25">
      <c r="A832" s="26" t="str">
        <f>CONCATENATE(LEFT(ConsumoConcreto[[#This Row],[RecebimentoID]],4),"CNSC",TEXT(ConsumoConcreto[[#This Row],[Ordem]],"0000"),UPPER(LEFT(ConsumoConcreto[[#This Row],[Destino]],3)))</f>
        <v>0184CNSC0513PAR</v>
      </c>
      <c r="B832" s="1">
        <v>513</v>
      </c>
      <c r="C832" s="2" t="s">
        <v>2879</v>
      </c>
      <c r="D832" s="2" t="s">
        <v>2005</v>
      </c>
      <c r="E832" s="18">
        <v>22</v>
      </c>
      <c r="F832" s="2" t="s">
        <v>25</v>
      </c>
      <c r="G832" s="36">
        <v>0.74861111111111101</v>
      </c>
      <c r="H832" s="2" t="s">
        <v>1965</v>
      </c>
      <c r="I8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32" s="22">
        <v>14.5</v>
      </c>
      <c r="K832" s="22">
        <v>14.5</v>
      </c>
      <c r="L832" s="37">
        <v>36892</v>
      </c>
      <c r="M832" s="2"/>
      <c r="N832" s="2" t="s">
        <v>1966</v>
      </c>
      <c r="O832" s="2" t="s">
        <v>27</v>
      </c>
      <c r="P832" s="2" t="s">
        <v>26</v>
      </c>
    </row>
    <row r="833" spans="1:16" ht="20.100000000000001" customHeight="1" x14ac:dyDescent="0.25">
      <c r="A833" s="26" t="str">
        <f>CONCATENATE(LEFT(ConsumoConcreto[[#This Row],[RecebimentoID]],4),"CNSC",TEXT(ConsumoConcreto[[#This Row],[Ordem]],"0000"),UPPER(LEFT(ConsumoConcreto[[#This Row],[Destino]],3)))</f>
        <v>0184CNSC0479RAD</v>
      </c>
      <c r="B833" s="1">
        <v>479</v>
      </c>
      <c r="C833" s="2" t="s">
        <v>2880</v>
      </c>
      <c r="D833" s="2" t="s">
        <v>2005</v>
      </c>
      <c r="E833" s="18">
        <v>22</v>
      </c>
      <c r="F833" s="2" t="s">
        <v>1801</v>
      </c>
      <c r="G833" s="36">
        <v>0.72916666666666663</v>
      </c>
      <c r="H833" s="2" t="s">
        <v>1968</v>
      </c>
      <c r="I8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33" s="22">
        <v>5.5</v>
      </c>
      <c r="K833" s="22">
        <v>5.5</v>
      </c>
      <c r="L833" s="37">
        <v>36892</v>
      </c>
      <c r="M833" s="2"/>
      <c r="N833" s="2" t="s">
        <v>1963</v>
      </c>
      <c r="O833" s="2" t="s">
        <v>27</v>
      </c>
      <c r="P833" s="2" t="s">
        <v>26</v>
      </c>
    </row>
    <row r="834" spans="1:16" ht="20.100000000000001" customHeight="1" x14ac:dyDescent="0.25">
      <c r="A834" s="26" t="str">
        <f>CONCATENATE(LEFT(ConsumoConcreto[[#This Row],[RecebimentoID]],4),"CNSC",TEXT(ConsumoConcreto[[#This Row],[Ordem]],"0000"),UPPER(LEFT(ConsumoConcreto[[#This Row],[Destino]],3)))</f>
        <v>0184CNSC0588PAR</v>
      </c>
      <c r="B834" s="1">
        <v>588</v>
      </c>
      <c r="C834" s="2" t="s">
        <v>2881</v>
      </c>
      <c r="D834" s="2" t="s">
        <v>2007</v>
      </c>
      <c r="E834" s="18">
        <v>22</v>
      </c>
      <c r="F834" s="2" t="s">
        <v>25</v>
      </c>
      <c r="G834" s="36">
        <v>0.74305555555555547</v>
      </c>
      <c r="H834" s="2" t="s">
        <v>1965</v>
      </c>
      <c r="I8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34" s="22">
        <v>15</v>
      </c>
      <c r="K834" s="22">
        <v>15</v>
      </c>
      <c r="L834" s="37">
        <v>36892</v>
      </c>
      <c r="M834" s="2"/>
      <c r="N834" s="2" t="s">
        <v>1966</v>
      </c>
      <c r="O834" s="2" t="s">
        <v>27</v>
      </c>
      <c r="P834" s="2" t="s">
        <v>26</v>
      </c>
    </row>
    <row r="835" spans="1:16" ht="20.100000000000001" customHeight="1" x14ac:dyDescent="0.25">
      <c r="A835" s="26" t="str">
        <f>CONCATENATE(LEFT(ConsumoConcreto[[#This Row],[RecebimentoID]],4),"CNSC",TEXT(ConsumoConcreto[[#This Row],[Ordem]],"0000"),UPPER(LEFT(ConsumoConcreto[[#This Row],[Destino]],3)))</f>
        <v>0184CNSC0559RAD</v>
      </c>
      <c r="B835" s="1">
        <v>559</v>
      </c>
      <c r="C835" s="2" t="s">
        <v>2882</v>
      </c>
      <c r="D835" s="2" t="s">
        <v>2007</v>
      </c>
      <c r="E835" s="18">
        <v>22</v>
      </c>
      <c r="F835" s="2" t="s">
        <v>1801</v>
      </c>
      <c r="G835" s="36"/>
      <c r="H835" s="2" t="s">
        <v>1968</v>
      </c>
      <c r="I8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35" s="22">
        <v>5.5</v>
      </c>
      <c r="K835" s="22">
        <v>5.5</v>
      </c>
      <c r="L835" s="37">
        <v>36892</v>
      </c>
      <c r="M835" s="2"/>
      <c r="N835" s="2" t="s">
        <v>1963</v>
      </c>
      <c r="O835" s="2" t="s">
        <v>27</v>
      </c>
      <c r="P835" s="2" t="s">
        <v>26</v>
      </c>
    </row>
    <row r="836" spans="1:16" ht="20.100000000000001" customHeight="1" x14ac:dyDescent="0.25">
      <c r="A836" s="26" t="str">
        <f>CONCATENATE(LEFT(ConsumoConcreto[[#This Row],[RecebimentoID]],4),"CNSC",TEXT(ConsumoConcreto[[#This Row],[Ordem]],"0000"),UPPER(LEFT(ConsumoConcreto[[#This Row],[Destino]],3)))</f>
        <v>0184CNSC0658PAR</v>
      </c>
      <c r="B836" s="1">
        <v>658</v>
      </c>
      <c r="C836" s="2" t="s">
        <v>2883</v>
      </c>
      <c r="D836" s="2" t="s">
        <v>2010</v>
      </c>
      <c r="E836" s="18">
        <v>22</v>
      </c>
      <c r="F836" s="2" t="s">
        <v>25</v>
      </c>
      <c r="G836" s="36">
        <v>0.48125000000000001</v>
      </c>
      <c r="H836" s="2" t="s">
        <v>1965</v>
      </c>
      <c r="I8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36" s="22">
        <v>14</v>
      </c>
      <c r="K836" s="22">
        <v>14</v>
      </c>
      <c r="L836" s="37">
        <v>36892</v>
      </c>
      <c r="M836" s="2"/>
      <c r="N836" s="2" t="s">
        <v>1966</v>
      </c>
      <c r="O836" s="2" t="s">
        <v>27</v>
      </c>
      <c r="P836" s="2" t="s">
        <v>26</v>
      </c>
    </row>
    <row r="837" spans="1:16" ht="20.100000000000001" customHeight="1" x14ac:dyDescent="0.25">
      <c r="A837" s="26" t="str">
        <f>CONCATENATE(LEFT(ConsumoConcreto[[#This Row],[RecebimentoID]],4),"CNSC",TEXT(ConsumoConcreto[[#This Row],[Ordem]],"0000"),UPPER(LEFT(ConsumoConcreto[[#This Row],[Destino]],3)))</f>
        <v>0184CNSC0626RAD</v>
      </c>
      <c r="B837" s="1">
        <v>626</v>
      </c>
      <c r="C837" s="2" t="s">
        <v>2884</v>
      </c>
      <c r="D837" s="2" t="s">
        <v>2010</v>
      </c>
      <c r="E837" s="18">
        <v>22</v>
      </c>
      <c r="F837" s="2" t="s">
        <v>1801</v>
      </c>
      <c r="G837" s="36">
        <v>0.6875</v>
      </c>
      <c r="H837" s="2" t="s">
        <v>1968</v>
      </c>
      <c r="I8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37" s="22">
        <v>5.5</v>
      </c>
      <c r="K837" s="22">
        <v>5.5</v>
      </c>
      <c r="L837" s="37">
        <v>36892</v>
      </c>
      <c r="M837" s="2"/>
      <c r="N837" s="2" t="s">
        <v>1963</v>
      </c>
      <c r="O837" s="2" t="s">
        <v>27</v>
      </c>
      <c r="P837" s="2" t="s">
        <v>26</v>
      </c>
    </row>
    <row r="838" spans="1:16" ht="20.100000000000001" customHeight="1" x14ac:dyDescent="0.25">
      <c r="A838" s="26" t="str">
        <f>CONCATENATE(LEFT(ConsumoConcreto[[#This Row],[RecebimentoID]],4),"CNSC",TEXT(ConsumoConcreto[[#This Row],[Ordem]],"0000"),UPPER(LEFT(ConsumoConcreto[[#This Row],[Destino]],3)))</f>
        <v>0184CNSC0733PAR</v>
      </c>
      <c r="B838" s="1">
        <v>733</v>
      </c>
      <c r="C838" s="2" t="s">
        <v>2885</v>
      </c>
      <c r="D838" s="2" t="s">
        <v>2013</v>
      </c>
      <c r="E838" s="18">
        <v>22</v>
      </c>
      <c r="F838" s="2" t="s">
        <v>25</v>
      </c>
      <c r="G838" s="36">
        <v>0.73958333333333337</v>
      </c>
      <c r="H838" s="2" t="s">
        <v>1965</v>
      </c>
      <c r="I8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38" s="22">
        <v>14</v>
      </c>
      <c r="K838" s="22">
        <v>14</v>
      </c>
      <c r="L838" s="37">
        <v>36892</v>
      </c>
      <c r="M838" s="2" t="s">
        <v>2082</v>
      </c>
      <c r="N838" s="2" t="s">
        <v>1966</v>
      </c>
      <c r="O838" s="2" t="s">
        <v>27</v>
      </c>
      <c r="P838" s="2" t="s">
        <v>26</v>
      </c>
    </row>
    <row r="839" spans="1:16" ht="20.100000000000001" customHeight="1" x14ac:dyDescent="0.25">
      <c r="A839" s="26" t="str">
        <f>CONCATENATE(LEFT(ConsumoConcreto[[#This Row],[RecebimentoID]],4),"CNSC",TEXT(ConsumoConcreto[[#This Row],[Ordem]],"0000"),UPPER(LEFT(ConsumoConcreto[[#This Row],[Destino]],3)))</f>
        <v>0184CNSC0700RAD</v>
      </c>
      <c r="B839" s="1">
        <v>700</v>
      </c>
      <c r="C839" s="2" t="s">
        <v>2886</v>
      </c>
      <c r="D839" s="2" t="s">
        <v>2013</v>
      </c>
      <c r="E839" s="18">
        <v>22</v>
      </c>
      <c r="F839" s="2" t="s">
        <v>1801</v>
      </c>
      <c r="G839" s="36">
        <v>0.6694444444444444</v>
      </c>
      <c r="H839" s="2" t="s">
        <v>1968</v>
      </c>
      <c r="I8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39" s="22">
        <v>6</v>
      </c>
      <c r="K839" s="22">
        <v>6</v>
      </c>
      <c r="L839" s="37">
        <v>36892</v>
      </c>
      <c r="M839" s="2" t="s">
        <v>2887</v>
      </c>
      <c r="N839" s="2" t="s">
        <v>1966</v>
      </c>
      <c r="O839" s="2" t="s">
        <v>27</v>
      </c>
      <c r="P839" s="2" t="s">
        <v>26</v>
      </c>
    </row>
    <row r="840" spans="1:16" ht="20.100000000000001" customHeight="1" x14ac:dyDescent="0.25">
      <c r="A840" s="26" t="str">
        <f>CONCATENATE(LEFT(ConsumoConcreto[[#This Row],[RecebimentoID]],4),"CNSC",TEXT(ConsumoConcreto[[#This Row],[Ordem]],"0000"),UPPER(LEFT(ConsumoConcreto[[#This Row],[Destino]],3)))</f>
        <v>0184CNSC0859PAR</v>
      </c>
      <c r="B840" s="1">
        <v>859</v>
      </c>
      <c r="C840" s="2" t="s">
        <v>2888</v>
      </c>
      <c r="D840" s="2" t="s">
        <v>2024</v>
      </c>
      <c r="E840" s="18">
        <v>22</v>
      </c>
      <c r="F840" s="2" t="s">
        <v>25</v>
      </c>
      <c r="G840" s="36">
        <v>0.83819444444444446</v>
      </c>
      <c r="H840" s="2" t="s">
        <v>1965</v>
      </c>
      <c r="I8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40" s="22">
        <v>14.5</v>
      </c>
      <c r="K840" s="22">
        <v>14.5</v>
      </c>
      <c r="L840" s="37">
        <v>36892</v>
      </c>
      <c r="M840" s="2"/>
      <c r="N840" s="2" t="s">
        <v>1966</v>
      </c>
      <c r="O840" s="2" t="s">
        <v>27</v>
      </c>
      <c r="P840" s="2" t="s">
        <v>26</v>
      </c>
    </row>
    <row r="841" spans="1:16" ht="20.100000000000001" customHeight="1" x14ac:dyDescent="0.25">
      <c r="A841" s="26" t="str">
        <f>CONCATENATE(LEFT(ConsumoConcreto[[#This Row],[RecebimentoID]],4),"CNSC",TEXT(ConsumoConcreto[[#This Row],[Ordem]],"0000"),UPPER(LEFT(ConsumoConcreto[[#This Row],[Destino]],3)))</f>
        <v>0184CNSC0820RAD</v>
      </c>
      <c r="B841" s="1">
        <v>820</v>
      </c>
      <c r="C841" s="2" t="s">
        <v>2889</v>
      </c>
      <c r="D841" s="2" t="s">
        <v>2024</v>
      </c>
      <c r="E841" s="18">
        <v>22</v>
      </c>
      <c r="F841" s="2" t="s">
        <v>1801</v>
      </c>
      <c r="G841" s="36">
        <v>0.52777777777777779</v>
      </c>
      <c r="H841" s="2" t="s">
        <v>1968</v>
      </c>
      <c r="I8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41" s="22">
        <v>5.5</v>
      </c>
      <c r="K841" s="22">
        <v>5.5</v>
      </c>
      <c r="L841" s="37">
        <v>36892</v>
      </c>
      <c r="M841" s="2"/>
      <c r="N841" s="2" t="s">
        <v>1963</v>
      </c>
      <c r="O841" s="2" t="s">
        <v>27</v>
      </c>
      <c r="P841" s="2" t="s">
        <v>26</v>
      </c>
    </row>
    <row r="842" spans="1:16" ht="20.100000000000001" customHeight="1" x14ac:dyDescent="0.25">
      <c r="A842" s="26" t="str">
        <f>CONCATENATE(LEFT(ConsumoConcreto[[#This Row],[RecebimentoID]],4),"CNSC",TEXT(ConsumoConcreto[[#This Row],[Ordem]],"0000"),UPPER(LEFT(ConsumoConcreto[[#This Row],[Destino]],3)))</f>
        <v>0184CNSC0979PAR</v>
      </c>
      <c r="B842" s="1">
        <v>979</v>
      </c>
      <c r="C842" s="2" t="s">
        <v>2890</v>
      </c>
      <c r="D842" s="2" t="s">
        <v>2033</v>
      </c>
      <c r="E842" s="18">
        <v>22</v>
      </c>
      <c r="F842" s="2" t="s">
        <v>25</v>
      </c>
      <c r="G842" s="36" t="s">
        <v>2891</v>
      </c>
      <c r="H842" s="2" t="s">
        <v>1965</v>
      </c>
      <c r="I8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42" s="22">
        <v>14.5</v>
      </c>
      <c r="K842" s="22">
        <v>14.5</v>
      </c>
      <c r="L842" s="37">
        <v>36892</v>
      </c>
      <c r="M842" s="2"/>
      <c r="N842" s="2" t="s">
        <v>1966</v>
      </c>
      <c r="O842" s="2" t="s">
        <v>27</v>
      </c>
      <c r="P842" s="2" t="s">
        <v>26</v>
      </c>
    </row>
    <row r="843" spans="1:16" ht="20.100000000000001" customHeight="1" x14ac:dyDescent="0.25">
      <c r="A843" s="26" t="str">
        <f>CONCATENATE(LEFT(ConsumoConcreto[[#This Row],[RecebimentoID]],4),"CNSC",TEXT(ConsumoConcreto[[#This Row],[Ordem]],"0000"),UPPER(LEFT(ConsumoConcreto[[#This Row],[Destino]],3)))</f>
        <v>0184CNSC0962RAD</v>
      </c>
      <c r="B843" s="1">
        <v>962</v>
      </c>
      <c r="C843" s="2" t="s">
        <v>2892</v>
      </c>
      <c r="D843" s="2" t="s">
        <v>2033</v>
      </c>
      <c r="E843" s="18">
        <v>22</v>
      </c>
      <c r="F843" s="2" t="s">
        <v>1801</v>
      </c>
      <c r="G843" s="36">
        <v>0.66041666666666665</v>
      </c>
      <c r="H843" s="2" t="s">
        <v>1968</v>
      </c>
      <c r="I8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43" s="22">
        <v>7</v>
      </c>
      <c r="K843" s="22">
        <v>7</v>
      </c>
      <c r="L843" s="37">
        <v>36892</v>
      </c>
      <c r="M843" s="2" t="s">
        <v>2289</v>
      </c>
      <c r="N843" s="2" t="s">
        <v>1966</v>
      </c>
      <c r="O843" s="2" t="s">
        <v>27</v>
      </c>
      <c r="P843" s="2" t="s">
        <v>26</v>
      </c>
    </row>
    <row r="844" spans="1:16" ht="20.100000000000001" customHeight="1" x14ac:dyDescent="0.25">
      <c r="A844" s="26" t="str">
        <f>CONCATENATE(LEFT(ConsumoConcreto[[#This Row],[RecebimentoID]],4),"CNSC",TEXT(ConsumoConcreto[[#This Row],[Ordem]],"0000"),UPPER(LEFT(ConsumoConcreto[[#This Row],[Destino]],3)))</f>
        <v>0184CNSC1078PAR</v>
      </c>
      <c r="B844" s="1">
        <v>1078</v>
      </c>
      <c r="C844" s="2" t="s">
        <v>2893</v>
      </c>
      <c r="D844" s="2" t="s">
        <v>2036</v>
      </c>
      <c r="E844" s="18">
        <v>22</v>
      </c>
      <c r="F844" s="2" t="s">
        <v>25</v>
      </c>
      <c r="G844" s="36">
        <v>0.8930555555555556</v>
      </c>
      <c r="H844" s="2" t="s">
        <v>1965</v>
      </c>
      <c r="I8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44" s="22">
        <v>14.5</v>
      </c>
      <c r="K844" s="22">
        <v>14.5</v>
      </c>
      <c r="L844" s="37">
        <v>36892</v>
      </c>
      <c r="M844" s="2"/>
      <c r="N844" s="2" t="s">
        <v>1966</v>
      </c>
      <c r="O844" s="2" t="s">
        <v>27</v>
      </c>
      <c r="P844" s="2" t="s">
        <v>26</v>
      </c>
    </row>
    <row r="845" spans="1:16" ht="20.100000000000001" customHeight="1" x14ac:dyDescent="0.25">
      <c r="A845" s="26" t="str">
        <f>CONCATENATE(LEFT(ConsumoConcreto[[#This Row],[RecebimentoID]],4),"CNSC",TEXT(ConsumoConcreto[[#This Row],[Ordem]],"0000"),UPPER(LEFT(ConsumoConcreto[[#This Row],[Destino]],3)))</f>
        <v>0184CNSC1020RAD</v>
      </c>
      <c r="B845" s="1">
        <v>1020</v>
      </c>
      <c r="C845" s="2" t="s">
        <v>2894</v>
      </c>
      <c r="D845" s="2" t="s">
        <v>2036</v>
      </c>
      <c r="E845" s="18">
        <v>22</v>
      </c>
      <c r="F845" s="2" t="s">
        <v>1801</v>
      </c>
      <c r="G845" s="36">
        <v>0.5</v>
      </c>
      <c r="H845" s="2" t="s">
        <v>1968</v>
      </c>
      <c r="I8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45" s="22">
        <v>5.5</v>
      </c>
      <c r="K845" s="22">
        <v>5.5</v>
      </c>
      <c r="L845" s="37">
        <v>36892</v>
      </c>
      <c r="M845" s="2"/>
      <c r="N845" s="2" t="s">
        <v>1963</v>
      </c>
      <c r="O845" s="2" t="s">
        <v>27</v>
      </c>
      <c r="P845" s="2" t="s">
        <v>26</v>
      </c>
    </row>
    <row r="846" spans="1:16" ht="20.100000000000001" customHeight="1" x14ac:dyDescent="0.25">
      <c r="A846" s="26" t="str">
        <f>CONCATENATE(LEFT(ConsumoConcreto[[#This Row],[RecebimentoID]],4),"CNSC",TEXT(ConsumoConcreto[[#This Row],[Ordem]],"0000"),UPPER(LEFT(ConsumoConcreto[[#This Row],[Destino]],3)))</f>
        <v>0184CNSC0067PAR</v>
      </c>
      <c r="B846" s="1">
        <v>67</v>
      </c>
      <c r="C846" s="2" t="s">
        <v>2895</v>
      </c>
      <c r="D846" s="2" t="s">
        <v>1970</v>
      </c>
      <c r="E846" s="18">
        <v>23</v>
      </c>
      <c r="F846" s="2" t="s">
        <v>25</v>
      </c>
      <c r="G846" s="36"/>
      <c r="H846" s="2" t="s">
        <v>1965</v>
      </c>
      <c r="I8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846" s="22">
        <v>18</v>
      </c>
      <c r="K846" s="22">
        <v>18</v>
      </c>
      <c r="L846" s="37">
        <v>36892</v>
      </c>
      <c r="M846" s="2"/>
      <c r="N846" s="2" t="s">
        <v>1966</v>
      </c>
      <c r="O846" s="2" t="s">
        <v>27</v>
      </c>
      <c r="P846" s="2" t="s">
        <v>26</v>
      </c>
    </row>
    <row r="847" spans="1:16" ht="20.100000000000001" customHeight="1" x14ac:dyDescent="0.25">
      <c r="A847" s="26" t="str">
        <f>CONCATENATE(LEFT(ConsumoConcreto[[#This Row],[RecebimentoID]],4),"CNSC",TEXT(ConsumoConcreto[[#This Row],[Ordem]],"0000"),UPPER(LEFT(ConsumoConcreto[[#This Row],[Destino]],3)))</f>
        <v>0184CNSC0094PIL</v>
      </c>
      <c r="B847" s="1">
        <v>94</v>
      </c>
      <c r="C847" s="2" t="s">
        <v>2896</v>
      </c>
      <c r="D847" s="2" t="s">
        <v>1970</v>
      </c>
      <c r="E847" s="18">
        <v>23</v>
      </c>
      <c r="F847" s="2" t="s">
        <v>25</v>
      </c>
      <c r="G847" s="36"/>
      <c r="H847" s="2" t="s">
        <v>1962</v>
      </c>
      <c r="I8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47" s="22">
        <v>0.1</v>
      </c>
      <c r="K847" s="22">
        <v>0.1</v>
      </c>
      <c r="L847" s="37">
        <v>36892</v>
      </c>
      <c r="M847" s="2"/>
      <c r="N847" s="2" t="s">
        <v>1963</v>
      </c>
      <c r="O847" s="2" t="s">
        <v>27</v>
      </c>
      <c r="P847" s="2" t="s">
        <v>26</v>
      </c>
    </row>
    <row r="848" spans="1:16" ht="20.100000000000001" customHeight="1" x14ac:dyDescent="0.25">
      <c r="A848" s="26" t="str">
        <f>CONCATENATE(LEFT(ConsumoConcreto[[#This Row],[RecebimentoID]],4),"CNSC",TEXT(ConsumoConcreto[[#This Row],[Ordem]],"0000"),UPPER(LEFT(ConsumoConcreto[[#This Row],[Destino]],3)))</f>
        <v>0184CNSC0043RAD</v>
      </c>
      <c r="B848" s="1">
        <v>43</v>
      </c>
      <c r="C848" s="2" t="s">
        <v>2897</v>
      </c>
      <c r="D848" s="2" t="s">
        <v>1970</v>
      </c>
      <c r="E848" s="18">
        <v>23</v>
      </c>
      <c r="F848" s="2" t="s">
        <v>1801</v>
      </c>
      <c r="G848" s="36"/>
      <c r="H848" s="2" t="s">
        <v>1968</v>
      </c>
      <c r="I8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848" s="22">
        <v>7.5</v>
      </c>
      <c r="K848" s="22">
        <v>7.5</v>
      </c>
      <c r="L848" s="37">
        <v>36892</v>
      </c>
      <c r="M848" s="2"/>
      <c r="N848" s="2"/>
      <c r="O848" s="2" t="s">
        <v>27</v>
      </c>
      <c r="P848" s="2" t="s">
        <v>26</v>
      </c>
    </row>
    <row r="849" spans="1:16" ht="20.100000000000001" customHeight="1" x14ac:dyDescent="0.25">
      <c r="A849" s="26" t="str">
        <f>CONCATENATE(LEFT(ConsumoConcreto[[#This Row],[RecebimentoID]],4),"CNSC",TEXT(ConsumoConcreto[[#This Row],[Ordem]],"0000"),UPPER(LEFT(ConsumoConcreto[[#This Row],[Destino]],3)))</f>
        <v>0184CNSC0145PAR</v>
      </c>
      <c r="B849" s="1">
        <v>145</v>
      </c>
      <c r="C849" s="2" t="s">
        <v>2898</v>
      </c>
      <c r="D849" s="2" t="s">
        <v>1975</v>
      </c>
      <c r="E849" s="18">
        <v>23</v>
      </c>
      <c r="F849" s="2" t="s">
        <v>25</v>
      </c>
      <c r="G849" s="36">
        <v>0.42708333333333331</v>
      </c>
      <c r="H849" s="2" t="s">
        <v>1965</v>
      </c>
      <c r="I8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49" s="22">
        <v>14.5</v>
      </c>
      <c r="K849" s="22">
        <v>14.5</v>
      </c>
      <c r="L849" s="37">
        <v>36892</v>
      </c>
      <c r="M849" s="2"/>
      <c r="N849" s="2" t="s">
        <v>1966</v>
      </c>
      <c r="O849" s="2" t="s">
        <v>27</v>
      </c>
      <c r="P849" s="2" t="s">
        <v>26</v>
      </c>
    </row>
    <row r="850" spans="1:16" ht="20.100000000000001" customHeight="1" x14ac:dyDescent="0.25">
      <c r="A850" s="26" t="str">
        <f>CONCATENATE(LEFT(ConsumoConcreto[[#This Row],[RecebimentoID]],4),"CNSC",TEXT(ConsumoConcreto[[#This Row],[Ordem]],"0000"),UPPER(LEFT(ConsumoConcreto[[#This Row],[Destino]],3)))</f>
        <v>0184CNSC0175PIL</v>
      </c>
      <c r="B850" s="1">
        <v>175</v>
      </c>
      <c r="C850" s="2" t="s">
        <v>2899</v>
      </c>
      <c r="D850" s="2" t="s">
        <v>1975</v>
      </c>
      <c r="E850" s="18">
        <v>23</v>
      </c>
      <c r="F850" s="2" t="s">
        <v>25</v>
      </c>
      <c r="G850" s="36"/>
      <c r="H850" s="2" t="s">
        <v>1962</v>
      </c>
      <c r="I8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50" s="22">
        <v>0.1</v>
      </c>
      <c r="K850" s="22">
        <v>0.1</v>
      </c>
      <c r="L850" s="37">
        <v>36892</v>
      </c>
      <c r="M850" s="2"/>
      <c r="N850" s="2" t="s">
        <v>1963</v>
      </c>
      <c r="O850" s="2" t="s">
        <v>27</v>
      </c>
      <c r="P850" s="2" t="s">
        <v>26</v>
      </c>
    </row>
    <row r="851" spans="1:16" ht="20.100000000000001" customHeight="1" x14ac:dyDescent="0.25">
      <c r="A851" s="26" t="str">
        <f>CONCATENATE(LEFT(ConsumoConcreto[[#This Row],[RecebimentoID]],4),"CNSC",TEXT(ConsumoConcreto[[#This Row],[Ordem]],"0000"),UPPER(LEFT(ConsumoConcreto[[#This Row],[Destino]],3)))</f>
        <v>0184CNSC0121RAD</v>
      </c>
      <c r="B851" s="1">
        <v>121</v>
      </c>
      <c r="C851" s="2" t="s">
        <v>2900</v>
      </c>
      <c r="D851" s="2" t="s">
        <v>1975</v>
      </c>
      <c r="E851" s="18">
        <v>23</v>
      </c>
      <c r="F851" s="2" t="s">
        <v>1801</v>
      </c>
      <c r="G851" s="36"/>
      <c r="H851" s="2" t="s">
        <v>1968</v>
      </c>
      <c r="I8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51" s="22">
        <v>7</v>
      </c>
      <c r="K851" s="22">
        <v>6.5</v>
      </c>
      <c r="L851" s="37">
        <v>36892</v>
      </c>
      <c r="M851" s="2" t="s">
        <v>1982</v>
      </c>
      <c r="N851" s="2" t="s">
        <v>1966</v>
      </c>
      <c r="O851" s="2" t="s">
        <v>27</v>
      </c>
      <c r="P851" s="2" t="s">
        <v>26</v>
      </c>
    </row>
    <row r="852" spans="1:16" ht="20.100000000000001" customHeight="1" x14ac:dyDescent="0.25">
      <c r="A852" s="26" t="str">
        <f>CONCATENATE(LEFT(ConsumoConcreto[[#This Row],[RecebimentoID]],4),"CNSC",TEXT(ConsumoConcreto[[#This Row],[Ordem]],"0000"),UPPER(LEFT(ConsumoConcreto[[#This Row],[Destino]],3)))</f>
        <v>0184CNSC0229PAR</v>
      </c>
      <c r="B852" s="1">
        <v>229</v>
      </c>
      <c r="C852" s="2" t="s">
        <v>2901</v>
      </c>
      <c r="D852" s="2" t="s">
        <v>1979</v>
      </c>
      <c r="E852" s="18">
        <v>23</v>
      </c>
      <c r="F852" s="2" t="s">
        <v>25</v>
      </c>
      <c r="G852" s="36">
        <v>0.7715277777777777</v>
      </c>
      <c r="H852" s="2" t="s">
        <v>1965</v>
      </c>
      <c r="I8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52" s="22">
        <v>14.5</v>
      </c>
      <c r="K852" s="22">
        <v>14.5</v>
      </c>
      <c r="L852" s="37">
        <v>36892</v>
      </c>
      <c r="M852" s="2"/>
      <c r="N852" s="2" t="s">
        <v>1966</v>
      </c>
      <c r="O852" s="2" t="s">
        <v>27</v>
      </c>
      <c r="P852" s="2" t="s">
        <v>26</v>
      </c>
    </row>
    <row r="853" spans="1:16" ht="20.100000000000001" customHeight="1" x14ac:dyDescent="0.25">
      <c r="A853" s="26" t="str">
        <f>CONCATENATE(LEFT(ConsumoConcreto[[#This Row],[RecebimentoID]],4),"CNSC",TEXT(ConsumoConcreto[[#This Row],[Ordem]],"0000"),UPPER(LEFT(ConsumoConcreto[[#This Row],[Destino]],3)))</f>
        <v>0184CNSC0200RAD</v>
      </c>
      <c r="B853" s="1">
        <v>200</v>
      </c>
      <c r="C853" s="2" t="s">
        <v>2902</v>
      </c>
      <c r="D853" s="2" t="s">
        <v>1979</v>
      </c>
      <c r="E853" s="18">
        <v>23</v>
      </c>
      <c r="F853" s="2" t="s">
        <v>1801</v>
      </c>
      <c r="G853" s="36"/>
      <c r="H853" s="2" t="s">
        <v>1968</v>
      </c>
      <c r="I8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53" s="22">
        <v>5.5</v>
      </c>
      <c r="K853" s="22">
        <v>5.4809999999999999</v>
      </c>
      <c r="L853" s="37">
        <v>36892</v>
      </c>
      <c r="M853" s="2"/>
      <c r="N853" s="2"/>
      <c r="O853" s="2" t="s">
        <v>27</v>
      </c>
      <c r="P853" s="2" t="s">
        <v>26</v>
      </c>
    </row>
    <row r="854" spans="1:16" ht="20.100000000000001" customHeight="1" x14ac:dyDescent="0.25">
      <c r="A854" s="26" t="str">
        <f>CONCATENATE(LEFT(ConsumoConcreto[[#This Row],[RecebimentoID]],4),"CNSC",TEXT(ConsumoConcreto[[#This Row],[Ordem]],"0000"),UPPER(LEFT(ConsumoConcreto[[#This Row],[Destino]],3)))</f>
        <v>0184CNSC0531PAR</v>
      </c>
      <c r="B854" s="1">
        <v>531</v>
      </c>
      <c r="C854" s="2" t="s">
        <v>2903</v>
      </c>
      <c r="D854" s="2" t="s">
        <v>2005</v>
      </c>
      <c r="E854" s="18">
        <v>23</v>
      </c>
      <c r="F854" s="2" t="s">
        <v>25</v>
      </c>
      <c r="G854" s="36">
        <v>0.78333333333333333</v>
      </c>
      <c r="H854" s="2" t="s">
        <v>1965</v>
      </c>
      <c r="I8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854" s="22">
        <v>18</v>
      </c>
      <c r="K854" s="22">
        <v>18</v>
      </c>
      <c r="L854" s="37">
        <v>36892</v>
      </c>
      <c r="M854" s="2"/>
      <c r="N854" s="2" t="s">
        <v>1966</v>
      </c>
      <c r="O854" s="2" t="s">
        <v>27</v>
      </c>
      <c r="P854" s="2" t="s">
        <v>26</v>
      </c>
    </row>
    <row r="855" spans="1:16" ht="20.100000000000001" customHeight="1" x14ac:dyDescent="0.25">
      <c r="A855" s="26" t="str">
        <f>CONCATENATE(LEFT(ConsumoConcreto[[#This Row],[RecebimentoID]],4),"CNSC",TEXT(ConsumoConcreto[[#This Row],[Ordem]],"0000"),UPPER(LEFT(ConsumoConcreto[[#This Row],[Destino]],3)))</f>
        <v>0184CNSC0489RAD</v>
      </c>
      <c r="B855" s="1">
        <v>489</v>
      </c>
      <c r="C855" s="2" t="s">
        <v>2904</v>
      </c>
      <c r="D855" s="2" t="s">
        <v>2005</v>
      </c>
      <c r="E855" s="18">
        <v>23</v>
      </c>
      <c r="F855" s="2" t="s">
        <v>1801</v>
      </c>
      <c r="G855" s="36">
        <v>0.68402777777777779</v>
      </c>
      <c r="H855" s="2" t="s">
        <v>1968</v>
      </c>
      <c r="I8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855" s="22">
        <v>7</v>
      </c>
      <c r="K855" s="22">
        <v>7</v>
      </c>
      <c r="L855" s="37">
        <v>36892</v>
      </c>
      <c r="M855" s="2"/>
      <c r="N855" s="2" t="s">
        <v>1963</v>
      </c>
      <c r="O855" s="2" t="s">
        <v>27</v>
      </c>
      <c r="P855" s="2" t="s">
        <v>26</v>
      </c>
    </row>
    <row r="856" spans="1:16" ht="20.100000000000001" customHeight="1" x14ac:dyDescent="0.25">
      <c r="A856" s="26" t="str">
        <f>CONCATENATE(LEFT(ConsumoConcreto[[#This Row],[RecebimentoID]],4),"CNSC",TEXT(ConsumoConcreto[[#This Row],[Ordem]],"0000"),UPPER(LEFT(ConsumoConcreto[[#This Row],[Destino]],3)))</f>
        <v>0184CNSC0593PAR</v>
      </c>
      <c r="B856" s="1">
        <v>593</v>
      </c>
      <c r="C856" s="2" t="s">
        <v>2905</v>
      </c>
      <c r="D856" s="2" t="s">
        <v>2007</v>
      </c>
      <c r="E856" s="18">
        <v>23</v>
      </c>
      <c r="F856" s="2" t="s">
        <v>25</v>
      </c>
      <c r="G856" s="36">
        <v>0.76388888888888884</v>
      </c>
      <c r="H856" s="2" t="s">
        <v>1965</v>
      </c>
      <c r="I8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56" s="22">
        <v>15</v>
      </c>
      <c r="K856" s="22">
        <v>15</v>
      </c>
      <c r="L856" s="37">
        <v>36892</v>
      </c>
      <c r="M856" s="2"/>
      <c r="N856" s="2" t="s">
        <v>1966</v>
      </c>
      <c r="O856" s="2" t="s">
        <v>27</v>
      </c>
      <c r="P856" s="2" t="s">
        <v>26</v>
      </c>
    </row>
    <row r="857" spans="1:16" ht="20.100000000000001" customHeight="1" x14ac:dyDescent="0.25">
      <c r="A857" s="26" t="str">
        <f>CONCATENATE(LEFT(ConsumoConcreto[[#This Row],[RecebimentoID]],4),"CNSC",TEXT(ConsumoConcreto[[#This Row],[Ordem]],"0000"),UPPER(LEFT(ConsumoConcreto[[#This Row],[Destino]],3)))</f>
        <v>0184CNSC0545RAD</v>
      </c>
      <c r="B857" s="1">
        <v>545</v>
      </c>
      <c r="C857" s="2" t="s">
        <v>2906</v>
      </c>
      <c r="D857" s="2" t="s">
        <v>2007</v>
      </c>
      <c r="E857" s="18">
        <v>23</v>
      </c>
      <c r="F857" s="2" t="s">
        <v>1801</v>
      </c>
      <c r="G857" s="36"/>
      <c r="H857" s="2" t="s">
        <v>1968</v>
      </c>
      <c r="I8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57" s="22">
        <v>5.5</v>
      </c>
      <c r="K857" s="22">
        <v>5.5</v>
      </c>
      <c r="L857" s="37">
        <v>36892</v>
      </c>
      <c r="M857" s="2"/>
      <c r="N857" s="2" t="s">
        <v>1963</v>
      </c>
      <c r="O857" s="2" t="s">
        <v>27</v>
      </c>
      <c r="P857" s="2" t="s">
        <v>26</v>
      </c>
    </row>
    <row r="858" spans="1:16" ht="20.100000000000001" customHeight="1" x14ac:dyDescent="0.25">
      <c r="A858" s="26" t="str">
        <f>CONCATENATE(LEFT(ConsumoConcreto[[#This Row],[RecebimentoID]],4),"CNSC",TEXT(ConsumoConcreto[[#This Row],[Ordem]],"0000"),UPPER(LEFT(ConsumoConcreto[[#This Row],[Destino]],3)))</f>
        <v>0184CNSC0643PAR</v>
      </c>
      <c r="B858" s="1">
        <v>643</v>
      </c>
      <c r="C858" s="2" t="s">
        <v>2907</v>
      </c>
      <c r="D858" s="2" t="s">
        <v>2010</v>
      </c>
      <c r="E858" s="18">
        <v>23</v>
      </c>
      <c r="F858" s="2" t="s">
        <v>25</v>
      </c>
      <c r="G858" s="36">
        <v>0.78125</v>
      </c>
      <c r="H858" s="2" t="s">
        <v>1965</v>
      </c>
      <c r="I8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58" s="22">
        <v>15</v>
      </c>
      <c r="K858" s="22">
        <v>14</v>
      </c>
      <c r="L858" s="37">
        <v>36892</v>
      </c>
      <c r="M858" s="2" t="s">
        <v>2908</v>
      </c>
      <c r="N858" s="2" t="s">
        <v>1966</v>
      </c>
      <c r="O858" s="2" t="s">
        <v>27</v>
      </c>
      <c r="P858" s="2" t="s">
        <v>26</v>
      </c>
    </row>
    <row r="859" spans="1:16" ht="20.100000000000001" customHeight="1" x14ac:dyDescent="0.25">
      <c r="A859" s="26" t="str">
        <f>CONCATENATE(LEFT(ConsumoConcreto[[#This Row],[RecebimentoID]],4),"CNSC",TEXT(ConsumoConcreto[[#This Row],[Ordem]],"0000"),UPPER(LEFT(ConsumoConcreto[[#This Row],[Destino]],3)))</f>
        <v>0184CNSC0616RAD</v>
      </c>
      <c r="B859" s="1">
        <v>616</v>
      </c>
      <c r="C859" s="2" t="s">
        <v>2909</v>
      </c>
      <c r="D859" s="2" t="s">
        <v>2010</v>
      </c>
      <c r="E859" s="18">
        <v>23</v>
      </c>
      <c r="F859" s="2" t="s">
        <v>1801</v>
      </c>
      <c r="G859" s="36">
        <v>0.63194444444444442</v>
      </c>
      <c r="H859" s="2" t="s">
        <v>1968</v>
      </c>
      <c r="I8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59" s="22">
        <v>5.5</v>
      </c>
      <c r="K859" s="22">
        <v>5.5</v>
      </c>
      <c r="L859" s="37">
        <v>36892</v>
      </c>
      <c r="M859" s="2"/>
      <c r="N859" s="2" t="s">
        <v>1963</v>
      </c>
      <c r="O859" s="2" t="s">
        <v>27</v>
      </c>
      <c r="P859" s="2" t="s">
        <v>26</v>
      </c>
    </row>
    <row r="860" spans="1:16" ht="20.100000000000001" customHeight="1" x14ac:dyDescent="0.25">
      <c r="A860" s="26" t="str">
        <f>CONCATENATE(LEFT(ConsumoConcreto[[#This Row],[RecebimentoID]],4),"CNSC",TEXT(ConsumoConcreto[[#This Row],[Ordem]],"0000"),UPPER(LEFT(ConsumoConcreto[[#This Row],[Destino]],3)))</f>
        <v>0184CNSC0690PAR</v>
      </c>
      <c r="B860" s="1">
        <v>690</v>
      </c>
      <c r="C860" s="2" t="s">
        <v>2910</v>
      </c>
      <c r="D860" s="2" t="s">
        <v>2013</v>
      </c>
      <c r="E860" s="18">
        <v>23</v>
      </c>
      <c r="F860" s="2" t="s">
        <v>25</v>
      </c>
      <c r="G860" s="36">
        <v>0.77083333333333337</v>
      </c>
      <c r="H860" s="2" t="s">
        <v>1965</v>
      </c>
      <c r="I8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60" s="22">
        <v>14.5</v>
      </c>
      <c r="K860" s="22">
        <v>14.5</v>
      </c>
      <c r="L860" s="37">
        <v>36892</v>
      </c>
      <c r="M860" s="2"/>
      <c r="N860" s="2" t="s">
        <v>1966</v>
      </c>
      <c r="O860" s="2" t="s">
        <v>27</v>
      </c>
      <c r="P860" s="2" t="s">
        <v>26</v>
      </c>
    </row>
    <row r="861" spans="1:16" ht="20.100000000000001" customHeight="1" x14ac:dyDescent="0.25">
      <c r="A861" s="26" t="str">
        <f>CONCATENATE(LEFT(ConsumoConcreto[[#This Row],[RecebimentoID]],4),"CNSC",TEXT(ConsumoConcreto[[#This Row],[Ordem]],"0000"),UPPER(LEFT(ConsumoConcreto[[#This Row],[Destino]],3)))</f>
        <v>0184CNSC0680RAD</v>
      </c>
      <c r="B861" s="1">
        <v>680</v>
      </c>
      <c r="C861" s="2" t="s">
        <v>2911</v>
      </c>
      <c r="D861" s="2" t="s">
        <v>2013</v>
      </c>
      <c r="E861" s="18">
        <v>23</v>
      </c>
      <c r="F861" s="2" t="s">
        <v>1801</v>
      </c>
      <c r="G861" s="36"/>
      <c r="H861" s="2" t="s">
        <v>1968</v>
      </c>
      <c r="I8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61" s="22">
        <v>7.33</v>
      </c>
      <c r="K861" s="22">
        <v>5.4809999999999999</v>
      </c>
      <c r="L861" s="37">
        <v>36892</v>
      </c>
      <c r="M861" s="2" t="s">
        <v>1971</v>
      </c>
      <c r="N861" s="2"/>
      <c r="O861" s="2" t="s">
        <v>27</v>
      </c>
      <c r="P861" s="2" t="s">
        <v>26</v>
      </c>
    </row>
    <row r="862" spans="1:16" ht="20.100000000000001" customHeight="1" x14ac:dyDescent="0.25">
      <c r="A862" s="26" t="str">
        <f>CONCATENATE(LEFT(ConsumoConcreto[[#This Row],[RecebimentoID]],4),"CNSC",TEXT(ConsumoConcreto[[#This Row],[Ordem]],"0000"),UPPER(LEFT(ConsumoConcreto[[#This Row],[Destino]],3)))</f>
        <v>0184CNSC0737PIL</v>
      </c>
      <c r="B862" s="1">
        <v>737</v>
      </c>
      <c r="C862" s="2" t="s">
        <v>2912</v>
      </c>
      <c r="D862" s="2" t="s">
        <v>2013</v>
      </c>
      <c r="E862" s="18">
        <v>23</v>
      </c>
      <c r="F862" s="2" t="s">
        <v>1801</v>
      </c>
      <c r="G862" s="36">
        <v>0.54166666666666663</v>
      </c>
      <c r="H862" s="2" t="s">
        <v>1962</v>
      </c>
      <c r="I8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62" s="22">
        <v>0.1</v>
      </c>
      <c r="K862" s="22">
        <v>0.1</v>
      </c>
      <c r="L862" s="37">
        <v>36892</v>
      </c>
      <c r="M862" s="2"/>
      <c r="N862" s="2" t="s">
        <v>1963</v>
      </c>
      <c r="O862" s="2" t="s">
        <v>27</v>
      </c>
      <c r="P862" s="2" t="s">
        <v>26</v>
      </c>
    </row>
    <row r="863" spans="1:16" ht="20.100000000000001" customHeight="1" x14ac:dyDescent="0.25">
      <c r="A863" s="26" t="str">
        <f>CONCATENATE(LEFT(ConsumoConcreto[[#This Row],[RecebimentoID]],4),"CNSC",TEXT(ConsumoConcreto[[#This Row],[Ordem]],"0000"),UPPER(LEFT(ConsumoConcreto[[#This Row],[Destino]],3)))</f>
        <v>0184CNSC0844PAR</v>
      </c>
      <c r="B863" s="1">
        <v>844</v>
      </c>
      <c r="C863" s="2" t="s">
        <v>2913</v>
      </c>
      <c r="D863" s="2" t="s">
        <v>2024</v>
      </c>
      <c r="E863" s="18">
        <v>23</v>
      </c>
      <c r="F863" s="2" t="s">
        <v>25</v>
      </c>
      <c r="G863" s="36">
        <v>0.7729166666666667</v>
      </c>
      <c r="H863" s="2" t="s">
        <v>1965</v>
      </c>
      <c r="I8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63" s="22">
        <v>14.5</v>
      </c>
      <c r="K863" s="22">
        <v>14.5</v>
      </c>
      <c r="L863" s="37">
        <v>36892</v>
      </c>
      <c r="M863" s="2"/>
      <c r="N863" s="2" t="s">
        <v>1966</v>
      </c>
      <c r="O863" s="2" t="s">
        <v>27</v>
      </c>
      <c r="P863" s="2" t="s">
        <v>26</v>
      </c>
    </row>
    <row r="864" spans="1:16" ht="20.100000000000001" customHeight="1" x14ac:dyDescent="0.25">
      <c r="A864" s="26" t="str">
        <f>CONCATENATE(LEFT(ConsumoConcreto[[#This Row],[RecebimentoID]],4),"CNSC",TEXT(ConsumoConcreto[[#This Row],[Ordem]],"0000"),UPPER(LEFT(ConsumoConcreto[[#This Row],[Destino]],3)))</f>
        <v>0184CNSC0822RAD</v>
      </c>
      <c r="B864" s="1">
        <v>822</v>
      </c>
      <c r="C864" s="2" t="s">
        <v>2914</v>
      </c>
      <c r="D864" s="2" t="s">
        <v>2024</v>
      </c>
      <c r="E864" s="18">
        <v>23</v>
      </c>
      <c r="F864" s="2" t="s">
        <v>1801</v>
      </c>
      <c r="G864" s="36">
        <v>0.47222222222222227</v>
      </c>
      <c r="H864" s="2" t="s">
        <v>1968</v>
      </c>
      <c r="I8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64" s="22">
        <v>5.5</v>
      </c>
      <c r="K864" s="22">
        <v>5.5</v>
      </c>
      <c r="L864" s="37">
        <v>36892</v>
      </c>
      <c r="M864" s="2"/>
      <c r="N864" s="2" t="s">
        <v>1963</v>
      </c>
      <c r="O864" s="2" t="s">
        <v>27</v>
      </c>
      <c r="P864" s="2" t="s">
        <v>26</v>
      </c>
    </row>
    <row r="865" spans="1:16" ht="20.100000000000001" customHeight="1" x14ac:dyDescent="0.25">
      <c r="A865" s="26" t="str">
        <f>CONCATENATE(LEFT(ConsumoConcreto[[#This Row],[RecebimentoID]],4),"CNSC",TEXT(ConsumoConcreto[[#This Row],[Ordem]],"0000"),UPPER(LEFT(ConsumoConcreto[[#This Row],[Destino]],3)))</f>
        <v>0184CNSC0889PAR</v>
      </c>
      <c r="B865" s="1">
        <v>889</v>
      </c>
      <c r="C865" s="2" t="s">
        <v>2915</v>
      </c>
      <c r="D865" s="2" t="s">
        <v>2027</v>
      </c>
      <c r="E865" s="18">
        <v>23</v>
      </c>
      <c r="F865" s="2" t="s">
        <v>25</v>
      </c>
      <c r="G865" s="36">
        <v>0.6958333333333333</v>
      </c>
      <c r="H865" s="2" t="s">
        <v>1965</v>
      </c>
      <c r="I8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65" s="22">
        <v>14.5</v>
      </c>
      <c r="K865" s="22">
        <v>14.5</v>
      </c>
      <c r="L865" s="37">
        <v>36892</v>
      </c>
      <c r="M865" s="2"/>
      <c r="N865" s="2" t="s">
        <v>1966</v>
      </c>
      <c r="O865" s="2" t="s">
        <v>27</v>
      </c>
      <c r="P865" s="2" t="s">
        <v>26</v>
      </c>
    </row>
    <row r="866" spans="1:16" ht="20.100000000000001" customHeight="1" x14ac:dyDescent="0.25">
      <c r="A866" s="26" t="str">
        <f>CONCATENATE(LEFT(ConsumoConcreto[[#This Row],[RecebimentoID]],4),"CNSC",TEXT(ConsumoConcreto[[#This Row],[Ordem]],"0000"),UPPER(LEFT(ConsumoConcreto[[#This Row],[Destino]],3)))</f>
        <v>0184CNSC0880RAD</v>
      </c>
      <c r="B866" s="1">
        <v>880</v>
      </c>
      <c r="C866" s="2" t="s">
        <v>2916</v>
      </c>
      <c r="D866" s="2" t="s">
        <v>2027</v>
      </c>
      <c r="E866" s="18">
        <v>23</v>
      </c>
      <c r="F866" s="2" t="s">
        <v>1801</v>
      </c>
      <c r="G866" s="36">
        <v>0.70833333333333337</v>
      </c>
      <c r="H866" s="2" t="s">
        <v>1968</v>
      </c>
      <c r="I8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66" s="22">
        <v>5.5</v>
      </c>
      <c r="K866" s="22">
        <v>5.5</v>
      </c>
      <c r="L866" s="37">
        <v>36892</v>
      </c>
      <c r="M866" s="2"/>
      <c r="N866" s="2" t="s">
        <v>1963</v>
      </c>
      <c r="O866" s="2" t="s">
        <v>27</v>
      </c>
      <c r="P866" s="2" t="s">
        <v>26</v>
      </c>
    </row>
    <row r="867" spans="1:16" ht="20.100000000000001" customHeight="1" x14ac:dyDescent="0.25">
      <c r="A867" s="26" t="str">
        <f>CONCATENATE(LEFT(ConsumoConcreto[[#This Row],[RecebimentoID]],4),"CNSC",TEXT(ConsumoConcreto[[#This Row],[Ordem]],"0000"),UPPER(LEFT(ConsumoConcreto[[#This Row],[Destino]],3)))</f>
        <v>0184CNSC0980PAR</v>
      </c>
      <c r="B867" s="1">
        <v>980</v>
      </c>
      <c r="C867" s="2" t="s">
        <v>2917</v>
      </c>
      <c r="D867" s="2" t="s">
        <v>2033</v>
      </c>
      <c r="E867" s="18">
        <v>23</v>
      </c>
      <c r="F867" s="2" t="s">
        <v>25</v>
      </c>
      <c r="G867" s="36">
        <v>0.8666666666666667</v>
      </c>
      <c r="H867" s="2" t="s">
        <v>1965</v>
      </c>
      <c r="I8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867" s="22">
        <v>18</v>
      </c>
      <c r="K867" s="22">
        <v>18</v>
      </c>
      <c r="L867" s="37">
        <v>36892</v>
      </c>
      <c r="M867" s="2"/>
      <c r="N867" s="2" t="s">
        <v>1966</v>
      </c>
      <c r="O867" s="2" t="s">
        <v>27</v>
      </c>
      <c r="P867" s="2" t="s">
        <v>26</v>
      </c>
    </row>
    <row r="868" spans="1:16" ht="20.100000000000001" customHeight="1" x14ac:dyDescent="0.25">
      <c r="A868" s="26" t="str">
        <f>CONCATENATE(LEFT(ConsumoConcreto[[#This Row],[RecebimentoID]],4),"CNSC",TEXT(ConsumoConcreto[[#This Row],[Ordem]],"0000"),UPPER(LEFT(ConsumoConcreto[[#This Row],[Destino]],3)))</f>
        <v>0184CNSC0943RAD</v>
      </c>
      <c r="B868" s="1">
        <v>943</v>
      </c>
      <c r="C868" s="2" t="s">
        <v>2918</v>
      </c>
      <c r="D868" s="2" t="s">
        <v>2033</v>
      </c>
      <c r="E868" s="18">
        <v>23</v>
      </c>
      <c r="F868" s="2" t="s">
        <v>1801</v>
      </c>
      <c r="G868" s="36">
        <v>0.69444444444444453</v>
      </c>
      <c r="H868" s="2" t="s">
        <v>1968</v>
      </c>
      <c r="I8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868" s="22">
        <v>7</v>
      </c>
      <c r="K868" s="22">
        <v>7</v>
      </c>
      <c r="L868" s="37">
        <v>36892</v>
      </c>
      <c r="M868" s="2"/>
      <c r="N868" s="2" t="s">
        <v>1963</v>
      </c>
      <c r="O868" s="2" t="s">
        <v>27</v>
      </c>
      <c r="P868" s="2" t="s">
        <v>26</v>
      </c>
    </row>
    <row r="869" spans="1:16" ht="20.100000000000001" customHeight="1" x14ac:dyDescent="0.25">
      <c r="A869" s="26" t="str">
        <f>CONCATENATE(LEFT(ConsumoConcreto[[#This Row],[RecebimentoID]],4),"CNSC",TEXT(ConsumoConcreto[[#This Row],[Ordem]],"0000"),UPPER(LEFT(ConsumoConcreto[[#This Row],[Destino]],3)))</f>
        <v>0184CNSC1079PAR</v>
      </c>
      <c r="B869" s="1">
        <v>1079</v>
      </c>
      <c r="C869" s="2" t="s">
        <v>2919</v>
      </c>
      <c r="D869" s="2" t="s">
        <v>2036</v>
      </c>
      <c r="E869" s="18">
        <v>23</v>
      </c>
      <c r="F869" s="2" t="s">
        <v>25</v>
      </c>
      <c r="G869" s="36">
        <v>0.84513888888888899</v>
      </c>
      <c r="H869" s="2" t="s">
        <v>1965</v>
      </c>
      <c r="I8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69" s="22">
        <v>14.5</v>
      </c>
      <c r="K869" s="22">
        <v>14.5</v>
      </c>
      <c r="L869" s="37">
        <v>36892</v>
      </c>
      <c r="M869" s="2"/>
      <c r="N869" s="2" t="s">
        <v>1966</v>
      </c>
      <c r="O869" s="2" t="s">
        <v>27</v>
      </c>
      <c r="P869" s="2" t="s">
        <v>26</v>
      </c>
    </row>
    <row r="870" spans="1:16" ht="20.100000000000001" customHeight="1" x14ac:dyDescent="0.25">
      <c r="A870" s="26" t="str">
        <f>CONCATENATE(LEFT(ConsumoConcreto[[#This Row],[RecebimentoID]],4),"CNSC",TEXT(ConsumoConcreto[[#This Row],[Ordem]],"0000"),UPPER(LEFT(ConsumoConcreto[[#This Row],[Destino]],3)))</f>
        <v>0184CNSC1045RAD</v>
      </c>
      <c r="B870" s="1">
        <v>1045</v>
      </c>
      <c r="C870" s="2" t="s">
        <v>2920</v>
      </c>
      <c r="D870" s="2" t="s">
        <v>2036</v>
      </c>
      <c r="E870" s="18">
        <v>23</v>
      </c>
      <c r="F870" s="2" t="s">
        <v>1801</v>
      </c>
      <c r="G870" s="36">
        <v>0.49305555555555558</v>
      </c>
      <c r="H870" s="2" t="s">
        <v>1968</v>
      </c>
      <c r="I8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70" s="22">
        <v>5.5</v>
      </c>
      <c r="K870" s="22">
        <v>5.5</v>
      </c>
      <c r="L870" s="37">
        <v>36892</v>
      </c>
      <c r="M870" s="2"/>
      <c r="N870" s="2" t="s">
        <v>1963</v>
      </c>
      <c r="O870" s="2" t="s">
        <v>27</v>
      </c>
      <c r="P870" s="2" t="s">
        <v>26</v>
      </c>
    </row>
    <row r="871" spans="1:16" ht="20.100000000000001" customHeight="1" x14ac:dyDescent="0.25">
      <c r="A871" s="26" t="str">
        <f>CONCATENATE(LEFT(ConsumoConcreto[[#This Row],[RecebimentoID]],4),"CNSC",TEXT(ConsumoConcreto[[#This Row],[Ordem]],"0000"),UPPER(LEFT(ConsumoConcreto[[#This Row],[Destino]],3)))</f>
        <v>0184CNSC0063PAR</v>
      </c>
      <c r="B871" s="1">
        <v>63</v>
      </c>
      <c r="C871" s="2" t="s">
        <v>2921</v>
      </c>
      <c r="D871" s="2" t="s">
        <v>1970</v>
      </c>
      <c r="E871" s="18">
        <v>24</v>
      </c>
      <c r="F871" s="2" t="s">
        <v>25</v>
      </c>
      <c r="G871" s="36"/>
      <c r="H871" s="2" t="s">
        <v>1965</v>
      </c>
      <c r="I8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71" s="22">
        <v>14.5</v>
      </c>
      <c r="K871" s="22">
        <v>14.5</v>
      </c>
      <c r="L871" s="37">
        <v>36892</v>
      </c>
      <c r="M871" s="2"/>
      <c r="N871" s="2" t="s">
        <v>1966</v>
      </c>
      <c r="O871" s="2" t="s">
        <v>27</v>
      </c>
      <c r="P871" s="2" t="s">
        <v>26</v>
      </c>
    </row>
    <row r="872" spans="1:16" ht="20.100000000000001" customHeight="1" x14ac:dyDescent="0.25">
      <c r="A872" s="26" t="str">
        <f>CONCATENATE(LEFT(ConsumoConcreto[[#This Row],[RecebimentoID]],4),"CNSC",TEXT(ConsumoConcreto[[#This Row],[Ordem]],"0000"),UPPER(LEFT(ConsumoConcreto[[#This Row],[Destino]],3)))</f>
        <v>0184CNSC0095PIL</v>
      </c>
      <c r="B872" s="1">
        <v>95</v>
      </c>
      <c r="C872" s="2" t="s">
        <v>2922</v>
      </c>
      <c r="D872" s="2" t="s">
        <v>1970</v>
      </c>
      <c r="E872" s="18">
        <v>24</v>
      </c>
      <c r="F872" s="2" t="s">
        <v>25</v>
      </c>
      <c r="G872" s="36"/>
      <c r="H872" s="2" t="s">
        <v>1962</v>
      </c>
      <c r="I8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72" s="22">
        <v>0.1</v>
      </c>
      <c r="K872" s="22">
        <v>0.1</v>
      </c>
      <c r="L872" s="37">
        <v>36892</v>
      </c>
      <c r="M872" s="2"/>
      <c r="N872" s="2" t="s">
        <v>1963</v>
      </c>
      <c r="O872" s="2" t="s">
        <v>27</v>
      </c>
      <c r="P872" s="2" t="s">
        <v>26</v>
      </c>
    </row>
    <row r="873" spans="1:16" ht="20.100000000000001" customHeight="1" x14ac:dyDescent="0.25">
      <c r="A873" s="26" t="str">
        <f>CONCATENATE(LEFT(ConsumoConcreto[[#This Row],[RecebimentoID]],4),"CNSC",TEXT(ConsumoConcreto[[#This Row],[Ordem]],"0000"),UPPER(LEFT(ConsumoConcreto[[#This Row],[Destino]],3)))</f>
        <v>0184CNSC0034RAD</v>
      </c>
      <c r="B873" s="1">
        <v>34</v>
      </c>
      <c r="C873" s="2" t="s">
        <v>2923</v>
      </c>
      <c r="D873" s="2" t="s">
        <v>1970</v>
      </c>
      <c r="E873" s="18">
        <v>24</v>
      </c>
      <c r="F873" s="2" t="s">
        <v>1801</v>
      </c>
      <c r="G873" s="36"/>
      <c r="H873" s="2" t="s">
        <v>1968</v>
      </c>
      <c r="I8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73" s="22">
        <v>5.5</v>
      </c>
      <c r="K873" s="22">
        <v>5.5</v>
      </c>
      <c r="L873" s="37">
        <v>36892</v>
      </c>
      <c r="M873" s="2"/>
      <c r="N873" s="2"/>
      <c r="O873" s="2" t="s">
        <v>27</v>
      </c>
      <c r="P873" s="2" t="s">
        <v>26</v>
      </c>
    </row>
    <row r="874" spans="1:16" ht="20.100000000000001" customHeight="1" x14ac:dyDescent="0.25">
      <c r="A874" s="26" t="str">
        <f>CONCATENATE(LEFT(ConsumoConcreto[[#This Row],[RecebimentoID]],4),"CNSC",TEXT(ConsumoConcreto[[#This Row],[Ordem]],"0000"),UPPER(LEFT(ConsumoConcreto[[#This Row],[Destino]],3)))</f>
        <v>0184CNSC0142PAR</v>
      </c>
      <c r="B874" s="1">
        <v>142</v>
      </c>
      <c r="C874" s="2" t="s">
        <v>2924</v>
      </c>
      <c r="D874" s="2" t="s">
        <v>1975</v>
      </c>
      <c r="E874" s="18">
        <v>24</v>
      </c>
      <c r="F874" s="2" t="s">
        <v>25</v>
      </c>
      <c r="G874" s="36"/>
      <c r="H874" s="2" t="s">
        <v>1965</v>
      </c>
      <c r="I8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74" s="22">
        <v>16.5</v>
      </c>
      <c r="K874" s="22">
        <v>14</v>
      </c>
      <c r="L874" s="37">
        <v>36892</v>
      </c>
      <c r="M874" s="2" t="s">
        <v>1971</v>
      </c>
      <c r="N874" s="2" t="s">
        <v>1966</v>
      </c>
      <c r="O874" s="2" t="s">
        <v>27</v>
      </c>
      <c r="P874" s="2" t="s">
        <v>26</v>
      </c>
    </row>
    <row r="875" spans="1:16" ht="20.100000000000001" customHeight="1" x14ac:dyDescent="0.25">
      <c r="A875" s="26" t="str">
        <f>CONCATENATE(LEFT(ConsumoConcreto[[#This Row],[RecebimentoID]],4),"CNSC",TEXT(ConsumoConcreto[[#This Row],[Ordem]],"0000"),UPPER(LEFT(ConsumoConcreto[[#This Row],[Destino]],3)))</f>
        <v>0184CNSC0105RAD</v>
      </c>
      <c r="B875" s="1">
        <v>105</v>
      </c>
      <c r="C875" s="2" t="s">
        <v>2925</v>
      </c>
      <c r="D875" s="2" t="s">
        <v>1975</v>
      </c>
      <c r="E875" s="18">
        <v>24</v>
      </c>
      <c r="F875" s="2" t="s">
        <v>1801</v>
      </c>
      <c r="G875" s="36"/>
      <c r="H875" s="2" t="s">
        <v>1968</v>
      </c>
      <c r="I8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75" s="22">
        <v>5.5</v>
      </c>
      <c r="K875" s="22">
        <v>5.5</v>
      </c>
      <c r="L875" s="37">
        <v>36892</v>
      </c>
      <c r="M875" s="2"/>
      <c r="N875" s="2" t="s">
        <v>1966</v>
      </c>
      <c r="O875" s="2" t="s">
        <v>27</v>
      </c>
      <c r="P875" s="2" t="s">
        <v>26</v>
      </c>
    </row>
    <row r="876" spans="1:16" ht="20.100000000000001" customHeight="1" x14ac:dyDescent="0.25">
      <c r="A876" s="26" t="str">
        <f>CONCATENATE(LEFT(ConsumoConcreto[[#This Row],[RecebimentoID]],4),"CNSC",TEXT(ConsumoConcreto[[#This Row],[Ordem]],"0000"),UPPER(LEFT(ConsumoConcreto[[#This Row],[Destino]],3)))</f>
        <v>0184CNSC0163PIL</v>
      </c>
      <c r="B876" s="1">
        <v>163</v>
      </c>
      <c r="C876" s="2" t="s">
        <v>2926</v>
      </c>
      <c r="D876" s="2" t="s">
        <v>1975</v>
      </c>
      <c r="E876" s="18">
        <v>24</v>
      </c>
      <c r="F876" s="2" t="s">
        <v>1801</v>
      </c>
      <c r="G876" s="36"/>
      <c r="H876" s="2" t="s">
        <v>1962</v>
      </c>
      <c r="I8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76" s="22">
        <v>0.2</v>
      </c>
      <c r="K876" s="22">
        <v>0.1</v>
      </c>
      <c r="L876" s="37">
        <v>36892</v>
      </c>
      <c r="M876" s="2"/>
      <c r="N876" s="2" t="s">
        <v>1963</v>
      </c>
      <c r="O876" s="2" t="s">
        <v>27</v>
      </c>
      <c r="P876" s="2" t="s">
        <v>26</v>
      </c>
    </row>
    <row r="877" spans="1:16" ht="20.100000000000001" customHeight="1" x14ac:dyDescent="0.25">
      <c r="A877" s="26" t="str">
        <f>CONCATENATE(LEFT(ConsumoConcreto[[#This Row],[RecebimentoID]],4),"CNSC",TEXT(ConsumoConcreto[[#This Row],[Ordem]],"0000"),UPPER(LEFT(ConsumoConcreto[[#This Row],[Destino]],3)))</f>
        <v>0184CNSC0224PAR</v>
      </c>
      <c r="B877" s="1">
        <v>224</v>
      </c>
      <c r="C877" s="2" t="s">
        <v>2927</v>
      </c>
      <c r="D877" s="2" t="s">
        <v>1979</v>
      </c>
      <c r="E877" s="18">
        <v>24</v>
      </c>
      <c r="F877" s="2" t="s">
        <v>25</v>
      </c>
      <c r="G877" s="36">
        <v>0.85069444444444453</v>
      </c>
      <c r="H877" s="2" t="s">
        <v>1965</v>
      </c>
      <c r="I8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77" s="22">
        <v>14.5</v>
      </c>
      <c r="K877" s="22">
        <v>14.5</v>
      </c>
      <c r="L877" s="37">
        <v>36892</v>
      </c>
      <c r="M877" s="2"/>
      <c r="N877" s="2" t="s">
        <v>1966</v>
      </c>
      <c r="O877" s="2" t="s">
        <v>27</v>
      </c>
      <c r="P877" s="2" t="s">
        <v>26</v>
      </c>
    </row>
    <row r="878" spans="1:16" ht="20.100000000000001" customHeight="1" x14ac:dyDescent="0.25">
      <c r="A878" s="26" t="str">
        <f>CONCATENATE(LEFT(ConsumoConcreto[[#This Row],[RecebimentoID]],4),"CNSC",TEXT(ConsumoConcreto[[#This Row],[Ordem]],"0000"),UPPER(LEFT(ConsumoConcreto[[#This Row],[Destino]],3)))</f>
        <v>0184CNSC0203RAD</v>
      </c>
      <c r="B878" s="1">
        <v>203</v>
      </c>
      <c r="C878" s="2" t="s">
        <v>2928</v>
      </c>
      <c r="D878" s="2" t="s">
        <v>1979</v>
      </c>
      <c r="E878" s="18">
        <v>24</v>
      </c>
      <c r="F878" s="2" t="s">
        <v>1801</v>
      </c>
      <c r="G878" s="36"/>
      <c r="H878" s="2" t="s">
        <v>1968</v>
      </c>
      <c r="I8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78" s="22">
        <v>5.5</v>
      </c>
      <c r="K878" s="22">
        <v>5.4809999999999999</v>
      </c>
      <c r="L878" s="37">
        <v>36892</v>
      </c>
      <c r="M878" s="2"/>
      <c r="N878" s="2"/>
      <c r="O878" s="2" t="s">
        <v>27</v>
      </c>
      <c r="P878" s="2" t="s">
        <v>26</v>
      </c>
    </row>
    <row r="879" spans="1:16" ht="20.100000000000001" customHeight="1" x14ac:dyDescent="0.25">
      <c r="A879" s="26" t="str">
        <f>CONCATENATE(LEFT(ConsumoConcreto[[#This Row],[RecebimentoID]],4),"CNSC",TEXT(ConsumoConcreto[[#This Row],[Ordem]],"0000"),UPPER(LEFT(ConsumoConcreto[[#This Row],[Destino]],3)))</f>
        <v>0184CNSC0250PIL</v>
      </c>
      <c r="B879" s="1">
        <v>250</v>
      </c>
      <c r="C879" s="2" t="s">
        <v>2929</v>
      </c>
      <c r="D879" s="2" t="s">
        <v>1979</v>
      </c>
      <c r="E879" s="18">
        <v>24</v>
      </c>
      <c r="F879" s="2" t="s">
        <v>1801</v>
      </c>
      <c r="G879" s="36">
        <v>0.4375</v>
      </c>
      <c r="H879" s="2" t="s">
        <v>1962</v>
      </c>
      <c r="I8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79" s="22">
        <v>0.1</v>
      </c>
      <c r="K879" s="22">
        <v>0.1</v>
      </c>
      <c r="L879" s="37">
        <v>36892</v>
      </c>
      <c r="M879" s="2"/>
      <c r="N879" s="2" t="s">
        <v>1963</v>
      </c>
      <c r="O879" s="2" t="s">
        <v>27</v>
      </c>
      <c r="P879" s="2" t="s">
        <v>26</v>
      </c>
    </row>
    <row r="880" spans="1:16" ht="20.100000000000001" customHeight="1" x14ac:dyDescent="0.25">
      <c r="A880" s="26" t="str">
        <f>CONCATENATE(LEFT(ConsumoConcreto[[#This Row],[RecebimentoID]],4),"CNSC",TEXT(ConsumoConcreto[[#This Row],[Ordem]],"0000"),UPPER(LEFT(ConsumoConcreto[[#This Row],[Destino]],3)))</f>
        <v>0184CNSC0515PAR</v>
      </c>
      <c r="B880" s="1">
        <v>515</v>
      </c>
      <c r="C880" s="2" t="s">
        <v>2930</v>
      </c>
      <c r="D880" s="2" t="s">
        <v>2005</v>
      </c>
      <c r="E880" s="18">
        <v>24</v>
      </c>
      <c r="F880" s="2" t="s">
        <v>25</v>
      </c>
      <c r="G880" s="36">
        <v>0.73402777777777783</v>
      </c>
      <c r="H880" s="2" t="s">
        <v>1965</v>
      </c>
      <c r="I8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80" s="22">
        <v>14.5</v>
      </c>
      <c r="K880" s="22">
        <v>14.5</v>
      </c>
      <c r="L880" s="37">
        <v>36892</v>
      </c>
      <c r="M880" s="2"/>
      <c r="N880" s="2" t="s">
        <v>1966</v>
      </c>
      <c r="O880" s="2" t="s">
        <v>27</v>
      </c>
      <c r="P880" s="2" t="s">
        <v>26</v>
      </c>
    </row>
    <row r="881" spans="1:16" ht="20.100000000000001" customHeight="1" x14ac:dyDescent="0.25">
      <c r="A881" s="26" t="str">
        <f>CONCATENATE(LEFT(ConsumoConcreto[[#This Row],[RecebimentoID]],4),"CNSC",TEXT(ConsumoConcreto[[#This Row],[Ordem]],"0000"),UPPER(LEFT(ConsumoConcreto[[#This Row],[Destino]],3)))</f>
        <v>0184CNSC0539RAD</v>
      </c>
      <c r="B881" s="1">
        <v>539</v>
      </c>
      <c r="C881" s="2" t="s">
        <v>2931</v>
      </c>
      <c r="D881" s="2" t="s">
        <v>2005</v>
      </c>
      <c r="E881" s="18">
        <v>24</v>
      </c>
      <c r="F881" s="2" t="s">
        <v>1801</v>
      </c>
      <c r="G881" s="36">
        <v>0.52430555555555558</v>
      </c>
      <c r="H881" s="2" t="s">
        <v>1968</v>
      </c>
      <c r="I8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81" s="22">
        <v>5.5</v>
      </c>
      <c r="K881" s="22">
        <v>5.5</v>
      </c>
      <c r="L881" s="37">
        <v>36892</v>
      </c>
      <c r="M881" s="2"/>
      <c r="N881" s="2" t="s">
        <v>1963</v>
      </c>
      <c r="O881" s="2" t="s">
        <v>27</v>
      </c>
      <c r="P881" s="2" t="s">
        <v>26</v>
      </c>
    </row>
    <row r="882" spans="1:16" ht="20.100000000000001" customHeight="1" x14ac:dyDescent="0.25">
      <c r="A882" s="26" t="str">
        <f>CONCATENATE(LEFT(ConsumoConcreto[[#This Row],[RecebimentoID]],4),"CNSC",TEXT(ConsumoConcreto[[#This Row],[Ordem]],"0000"),UPPER(LEFT(ConsumoConcreto[[#This Row],[Destino]],3)))</f>
        <v>0184CNSC0589PAR</v>
      </c>
      <c r="B882" s="1">
        <v>589</v>
      </c>
      <c r="C882" s="2" t="s">
        <v>2932</v>
      </c>
      <c r="D882" s="2" t="s">
        <v>2007</v>
      </c>
      <c r="E882" s="18">
        <v>24</v>
      </c>
      <c r="F882" s="2" t="s">
        <v>25</v>
      </c>
      <c r="G882" s="36">
        <v>0.68958333333333333</v>
      </c>
      <c r="H882" s="2" t="s">
        <v>1965</v>
      </c>
      <c r="I8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82" s="22">
        <v>15</v>
      </c>
      <c r="K882" s="22">
        <v>15</v>
      </c>
      <c r="L882" s="37">
        <v>36892</v>
      </c>
      <c r="M882" s="2"/>
      <c r="N882" s="2" t="s">
        <v>1966</v>
      </c>
      <c r="O882" s="2" t="s">
        <v>27</v>
      </c>
      <c r="P882" s="2" t="s">
        <v>26</v>
      </c>
    </row>
    <row r="883" spans="1:16" ht="20.100000000000001" customHeight="1" x14ac:dyDescent="0.25">
      <c r="A883" s="26" t="str">
        <f>CONCATENATE(LEFT(ConsumoConcreto[[#This Row],[RecebimentoID]],4),"CNSC",TEXT(ConsumoConcreto[[#This Row],[Ordem]],"0000"),UPPER(LEFT(ConsumoConcreto[[#This Row],[Destino]],3)))</f>
        <v>0184CNSC0555RAD</v>
      </c>
      <c r="B883" s="1">
        <v>555</v>
      </c>
      <c r="C883" s="2" t="s">
        <v>2933</v>
      </c>
      <c r="D883" s="2" t="s">
        <v>2007</v>
      </c>
      <c r="E883" s="18">
        <v>24</v>
      </c>
      <c r="F883" s="2" t="s">
        <v>1801</v>
      </c>
      <c r="G883" s="36"/>
      <c r="H883" s="2" t="s">
        <v>1968</v>
      </c>
      <c r="I8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83" s="22">
        <v>5.5</v>
      </c>
      <c r="K883" s="22">
        <v>5.5</v>
      </c>
      <c r="L883" s="37">
        <v>36892</v>
      </c>
      <c r="M883" s="2"/>
      <c r="N883" s="2" t="s">
        <v>1963</v>
      </c>
      <c r="O883" s="2" t="s">
        <v>27</v>
      </c>
      <c r="P883" s="2" t="s">
        <v>26</v>
      </c>
    </row>
    <row r="884" spans="1:16" ht="20.100000000000001" customHeight="1" x14ac:dyDescent="0.25">
      <c r="A884" s="26" t="str">
        <f>CONCATENATE(LEFT(ConsumoConcreto[[#This Row],[RecebimentoID]],4),"CNSC",TEXT(ConsumoConcreto[[#This Row],[Ordem]],"0000"),UPPER(LEFT(ConsumoConcreto[[#This Row],[Destino]],3)))</f>
        <v>0184CNSC0660PAR</v>
      </c>
      <c r="B884" s="1">
        <v>660</v>
      </c>
      <c r="C884" s="2" t="s">
        <v>2934</v>
      </c>
      <c r="D884" s="2" t="s">
        <v>2010</v>
      </c>
      <c r="E884" s="18">
        <v>24</v>
      </c>
      <c r="F884" s="2" t="s">
        <v>25</v>
      </c>
      <c r="G884" s="36">
        <v>0.75694444444444453</v>
      </c>
      <c r="H884" s="2" t="s">
        <v>1965</v>
      </c>
      <c r="I8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84" s="22">
        <v>14</v>
      </c>
      <c r="K884" s="22">
        <v>14</v>
      </c>
      <c r="L884" s="37">
        <v>36892</v>
      </c>
      <c r="M884" s="2"/>
      <c r="N884" s="2" t="s">
        <v>1966</v>
      </c>
      <c r="O884" s="2" t="s">
        <v>27</v>
      </c>
      <c r="P884" s="2" t="s">
        <v>26</v>
      </c>
    </row>
    <row r="885" spans="1:16" ht="20.100000000000001" customHeight="1" x14ac:dyDescent="0.25">
      <c r="A885" s="26" t="str">
        <f>CONCATENATE(LEFT(ConsumoConcreto[[#This Row],[RecebimentoID]],4),"CNSC",TEXT(ConsumoConcreto[[#This Row],[Ordem]],"0000"),UPPER(LEFT(ConsumoConcreto[[#This Row],[Destino]],3)))</f>
        <v>0184CNSC0629RAD</v>
      </c>
      <c r="B885" s="1">
        <v>629</v>
      </c>
      <c r="C885" s="2" t="s">
        <v>2935</v>
      </c>
      <c r="D885" s="2" t="s">
        <v>2010</v>
      </c>
      <c r="E885" s="18">
        <v>24</v>
      </c>
      <c r="F885" s="2" t="s">
        <v>1801</v>
      </c>
      <c r="G885" s="36">
        <v>0.45833333333333331</v>
      </c>
      <c r="H885" s="2" t="s">
        <v>1968</v>
      </c>
      <c r="I8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85" s="22">
        <v>5.5</v>
      </c>
      <c r="K885" s="22">
        <v>5.5</v>
      </c>
      <c r="L885" s="37">
        <v>36892</v>
      </c>
      <c r="M885" s="2"/>
      <c r="N885" s="2" t="s">
        <v>1963</v>
      </c>
      <c r="O885" s="2" t="s">
        <v>27</v>
      </c>
      <c r="P885" s="2" t="s">
        <v>26</v>
      </c>
    </row>
    <row r="886" spans="1:16" ht="20.100000000000001" customHeight="1" x14ac:dyDescent="0.25">
      <c r="A886" s="26" t="str">
        <f>CONCATENATE(LEFT(ConsumoConcreto[[#This Row],[RecebimentoID]],4),"CNSC",TEXT(ConsumoConcreto[[#This Row],[Ordem]],"0000"),UPPER(LEFT(ConsumoConcreto[[#This Row],[Destino]],3)))</f>
        <v>0184CNSC0731PAR</v>
      </c>
      <c r="B886" s="1">
        <v>731</v>
      </c>
      <c r="C886" s="2" t="s">
        <v>2936</v>
      </c>
      <c r="D886" s="2" t="s">
        <v>2013</v>
      </c>
      <c r="E886" s="18">
        <v>24</v>
      </c>
      <c r="F886" s="2" t="s">
        <v>25</v>
      </c>
      <c r="G886" s="36">
        <v>0.65069444444444446</v>
      </c>
      <c r="H886" s="2" t="s">
        <v>1965</v>
      </c>
      <c r="I8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86" s="22">
        <v>14</v>
      </c>
      <c r="K886" s="22">
        <v>14</v>
      </c>
      <c r="L886" s="37">
        <v>36892</v>
      </c>
      <c r="M886" s="2"/>
      <c r="N886" s="2" t="s">
        <v>1966</v>
      </c>
      <c r="O886" s="2" t="s">
        <v>27</v>
      </c>
      <c r="P886" s="2" t="s">
        <v>26</v>
      </c>
    </row>
    <row r="887" spans="1:16" ht="20.100000000000001" customHeight="1" x14ac:dyDescent="0.25">
      <c r="A887" s="26" t="str">
        <f>CONCATENATE(LEFT(ConsumoConcreto[[#This Row],[RecebimentoID]],4),"CNSC",TEXT(ConsumoConcreto[[#This Row],[Ordem]],"0000"),UPPER(LEFT(ConsumoConcreto[[#This Row],[Destino]],3)))</f>
        <v>0184CNSC0701RAD</v>
      </c>
      <c r="B887" s="1">
        <v>701</v>
      </c>
      <c r="C887" s="2" t="s">
        <v>2937</v>
      </c>
      <c r="D887" s="2" t="s">
        <v>2013</v>
      </c>
      <c r="E887" s="18">
        <v>24</v>
      </c>
      <c r="F887" s="2" t="s">
        <v>1801</v>
      </c>
      <c r="G887" s="36">
        <v>0.64236111111111105</v>
      </c>
      <c r="H887" s="2" t="s">
        <v>1968</v>
      </c>
      <c r="I8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87" s="22">
        <v>5.5</v>
      </c>
      <c r="K887" s="22">
        <v>5.5</v>
      </c>
      <c r="L887" s="37">
        <v>36892</v>
      </c>
      <c r="M887" s="2"/>
      <c r="N887" s="2" t="s">
        <v>1966</v>
      </c>
      <c r="O887" s="2" t="s">
        <v>27</v>
      </c>
      <c r="P887" s="2" t="s">
        <v>26</v>
      </c>
    </row>
    <row r="888" spans="1:16" ht="20.100000000000001" customHeight="1" x14ac:dyDescent="0.25">
      <c r="A888" s="26" t="str">
        <f>CONCATENATE(LEFT(ConsumoConcreto[[#This Row],[RecebimentoID]],4),"CNSC",TEXT(ConsumoConcreto[[#This Row],[Ordem]],"0000"),UPPER(LEFT(ConsumoConcreto[[#This Row],[Destino]],3)))</f>
        <v>0184CNSC0862PAR</v>
      </c>
      <c r="B888" s="1">
        <v>862</v>
      </c>
      <c r="C888" s="2" t="s">
        <v>2938</v>
      </c>
      <c r="D888" s="2" t="s">
        <v>2024</v>
      </c>
      <c r="E888" s="18">
        <v>24</v>
      </c>
      <c r="F888" s="2" t="s">
        <v>25</v>
      </c>
      <c r="G888" s="36">
        <v>0.72777777777777775</v>
      </c>
      <c r="H888" s="2" t="s">
        <v>1965</v>
      </c>
      <c r="I8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88" s="22">
        <v>14.5</v>
      </c>
      <c r="K888" s="22">
        <v>14.5</v>
      </c>
      <c r="L888" s="37">
        <v>36892</v>
      </c>
      <c r="M888" s="2"/>
      <c r="N888" s="2" t="s">
        <v>1966</v>
      </c>
      <c r="O888" s="2" t="s">
        <v>27</v>
      </c>
      <c r="P888" s="2" t="s">
        <v>26</v>
      </c>
    </row>
    <row r="889" spans="1:16" ht="20.100000000000001" customHeight="1" x14ac:dyDescent="0.25">
      <c r="A889" s="26" t="str">
        <f>CONCATENATE(LEFT(ConsumoConcreto[[#This Row],[RecebimentoID]],4),"CNSC",TEXT(ConsumoConcreto[[#This Row],[Ordem]],"0000"),UPPER(LEFT(ConsumoConcreto[[#This Row],[Destino]],3)))</f>
        <v>0184CNSC0830RAD</v>
      </c>
      <c r="B889" s="1">
        <v>830</v>
      </c>
      <c r="C889" s="2" t="s">
        <v>2939</v>
      </c>
      <c r="D889" s="2" t="s">
        <v>2024</v>
      </c>
      <c r="E889" s="18">
        <v>24</v>
      </c>
      <c r="F889" s="2" t="s">
        <v>1801</v>
      </c>
      <c r="G889" s="36">
        <v>0.45833333333333331</v>
      </c>
      <c r="H889" s="2" t="s">
        <v>1968</v>
      </c>
      <c r="I8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89" s="22">
        <v>5.5</v>
      </c>
      <c r="K889" s="22">
        <v>5.5</v>
      </c>
      <c r="L889" s="37">
        <v>36892</v>
      </c>
      <c r="M889" s="2"/>
      <c r="N889" s="2" t="s">
        <v>1963</v>
      </c>
      <c r="O889" s="2" t="s">
        <v>27</v>
      </c>
      <c r="P889" s="2" t="s">
        <v>26</v>
      </c>
    </row>
    <row r="890" spans="1:16" ht="20.100000000000001" customHeight="1" x14ac:dyDescent="0.25">
      <c r="A890" s="26" t="str">
        <f>CONCATENATE(LEFT(ConsumoConcreto[[#This Row],[RecebimentoID]],4),"CNSC",TEXT(ConsumoConcreto[[#This Row],[Ordem]],"0000"),UPPER(LEFT(ConsumoConcreto[[#This Row],[Destino]],3)))</f>
        <v>0184CNSC0981PAR</v>
      </c>
      <c r="B890" s="1">
        <v>981</v>
      </c>
      <c r="C890" s="2" t="s">
        <v>2940</v>
      </c>
      <c r="D890" s="2" t="s">
        <v>2033</v>
      </c>
      <c r="E890" s="18">
        <v>24</v>
      </c>
      <c r="F890" s="2" t="s">
        <v>25</v>
      </c>
      <c r="G890" s="36">
        <v>0.79861111111111116</v>
      </c>
      <c r="H890" s="2" t="s">
        <v>1965</v>
      </c>
      <c r="I8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90" s="22">
        <v>14.5</v>
      </c>
      <c r="K890" s="22">
        <v>14.5</v>
      </c>
      <c r="L890" s="37">
        <v>36892</v>
      </c>
      <c r="M890" s="2"/>
      <c r="N890" s="2" t="s">
        <v>1966</v>
      </c>
      <c r="O890" s="2" t="s">
        <v>27</v>
      </c>
      <c r="P890" s="2" t="s">
        <v>26</v>
      </c>
    </row>
    <row r="891" spans="1:16" ht="20.100000000000001" customHeight="1" x14ac:dyDescent="0.25">
      <c r="A891" s="26" t="str">
        <f>CONCATENATE(LEFT(ConsumoConcreto[[#This Row],[RecebimentoID]],4),"CNSC",TEXT(ConsumoConcreto[[#This Row],[Ordem]],"0000"),UPPER(LEFT(ConsumoConcreto[[#This Row],[Destino]],3)))</f>
        <v>0184CNSC0963RAD</v>
      </c>
      <c r="B891" s="1">
        <v>963</v>
      </c>
      <c r="C891" s="2" t="s">
        <v>2941</v>
      </c>
      <c r="D891" s="2" t="s">
        <v>2033</v>
      </c>
      <c r="E891" s="18">
        <v>24</v>
      </c>
      <c r="F891" s="2" t="s">
        <v>1801</v>
      </c>
      <c r="G891" s="36">
        <v>0.74652777777777779</v>
      </c>
      <c r="H891" s="2" t="s">
        <v>1968</v>
      </c>
      <c r="I8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91" s="22">
        <v>6.5</v>
      </c>
      <c r="K891" s="22">
        <v>6.5</v>
      </c>
      <c r="L891" s="37">
        <v>36892</v>
      </c>
      <c r="M891" s="2" t="s">
        <v>2289</v>
      </c>
      <c r="N891" s="2" t="s">
        <v>1966</v>
      </c>
      <c r="O891" s="2" t="s">
        <v>27</v>
      </c>
      <c r="P891" s="2" t="s">
        <v>26</v>
      </c>
    </row>
    <row r="892" spans="1:16" ht="20.100000000000001" customHeight="1" x14ac:dyDescent="0.25">
      <c r="A892" s="26" t="str">
        <f>CONCATENATE(LEFT(ConsumoConcreto[[#This Row],[RecebimentoID]],4),"CNSC",TEXT(ConsumoConcreto[[#This Row],[Ordem]],"0000"),UPPER(LEFT(ConsumoConcreto[[#This Row],[Destino]],3)))</f>
        <v>0184CNSC1080PAR</v>
      </c>
      <c r="B892" s="1">
        <v>1080</v>
      </c>
      <c r="C892" s="2" t="s">
        <v>2942</v>
      </c>
      <c r="D892" s="2" t="s">
        <v>2036</v>
      </c>
      <c r="E892" s="18">
        <v>24</v>
      </c>
      <c r="F892" s="2" t="s">
        <v>25</v>
      </c>
      <c r="G892" s="36">
        <v>0.83750000000000002</v>
      </c>
      <c r="H892" s="2" t="s">
        <v>1965</v>
      </c>
      <c r="I8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92" s="22">
        <v>14.5</v>
      </c>
      <c r="K892" s="22">
        <v>14.5</v>
      </c>
      <c r="L892" s="37">
        <v>36892</v>
      </c>
      <c r="M892" s="2"/>
      <c r="N892" s="2" t="s">
        <v>1966</v>
      </c>
      <c r="O892" s="2" t="s">
        <v>27</v>
      </c>
      <c r="P892" s="2" t="s">
        <v>26</v>
      </c>
    </row>
    <row r="893" spans="1:16" ht="20.100000000000001" customHeight="1" x14ac:dyDescent="0.25">
      <c r="A893" s="26" t="str">
        <f>CONCATENATE(LEFT(ConsumoConcreto[[#This Row],[RecebimentoID]],4),"CNSC",TEXT(ConsumoConcreto[[#This Row],[Ordem]],"0000"),UPPER(LEFT(ConsumoConcreto[[#This Row],[Destino]],3)))</f>
        <v>0184CNSC1021RAD</v>
      </c>
      <c r="B893" s="1">
        <v>1021</v>
      </c>
      <c r="C893" s="2" t="s">
        <v>2943</v>
      </c>
      <c r="D893" s="2" t="s">
        <v>2036</v>
      </c>
      <c r="E893" s="18">
        <v>24</v>
      </c>
      <c r="F893" s="2" t="s">
        <v>1801</v>
      </c>
      <c r="G893" s="36">
        <v>0.625</v>
      </c>
      <c r="H893" s="2" t="s">
        <v>1968</v>
      </c>
      <c r="I8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93" s="22">
        <v>5.5</v>
      </c>
      <c r="K893" s="22">
        <v>5.5</v>
      </c>
      <c r="L893" s="37">
        <v>36892</v>
      </c>
      <c r="M893" s="2"/>
      <c r="N893" s="2" t="s">
        <v>1963</v>
      </c>
      <c r="O893" s="2" t="s">
        <v>27</v>
      </c>
      <c r="P893" s="2" t="s">
        <v>26</v>
      </c>
    </row>
    <row r="894" spans="1:16" ht="20.100000000000001" customHeight="1" x14ac:dyDescent="0.25">
      <c r="A894" s="26" t="str">
        <f>CONCATENATE(LEFT(ConsumoConcreto[[#This Row],[RecebimentoID]],4),"CNSC",TEXT(ConsumoConcreto[[#This Row],[Ordem]],"0000"),UPPER(LEFT(ConsumoConcreto[[#This Row],[Destino]],3)))</f>
        <v>0184CNSC0144PAR</v>
      </c>
      <c r="B894" s="1">
        <v>144</v>
      </c>
      <c r="C894" s="2" t="s">
        <v>2944</v>
      </c>
      <c r="D894" s="2" t="s">
        <v>1975</v>
      </c>
      <c r="E894" s="18">
        <v>25</v>
      </c>
      <c r="F894" s="2" t="s">
        <v>25</v>
      </c>
      <c r="G894" s="36">
        <v>0.80208333333333337</v>
      </c>
      <c r="H894" s="2" t="s">
        <v>1965</v>
      </c>
      <c r="I8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94" s="22">
        <v>14.5</v>
      </c>
      <c r="K894" s="22">
        <v>14.5</v>
      </c>
      <c r="L894" s="37">
        <v>36892</v>
      </c>
      <c r="M894" s="2"/>
      <c r="N894" s="2" t="s">
        <v>1966</v>
      </c>
      <c r="O894" s="2" t="s">
        <v>27</v>
      </c>
      <c r="P894" s="2" t="s">
        <v>26</v>
      </c>
    </row>
    <row r="895" spans="1:16" ht="20.100000000000001" customHeight="1" x14ac:dyDescent="0.25">
      <c r="A895" s="26" t="str">
        <f>CONCATENATE(LEFT(ConsumoConcreto[[#This Row],[RecebimentoID]],4),"CNSC",TEXT(ConsumoConcreto[[#This Row],[Ordem]],"0000"),UPPER(LEFT(ConsumoConcreto[[#This Row],[Destino]],3)))</f>
        <v>0184CNSC0165PIL</v>
      </c>
      <c r="B895" s="1">
        <v>165</v>
      </c>
      <c r="C895" s="2" t="s">
        <v>2945</v>
      </c>
      <c r="D895" s="2" t="s">
        <v>1975</v>
      </c>
      <c r="E895" s="18">
        <v>25</v>
      </c>
      <c r="F895" s="2" t="s">
        <v>25</v>
      </c>
      <c r="G895" s="36"/>
      <c r="H895" s="2" t="s">
        <v>1962</v>
      </c>
      <c r="I8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895" s="22">
        <v>0.1</v>
      </c>
      <c r="K895" s="22">
        <v>0.1</v>
      </c>
      <c r="L895" s="37">
        <v>36892</v>
      </c>
      <c r="M895" s="2"/>
      <c r="N895" s="2" t="s">
        <v>1963</v>
      </c>
      <c r="O895" s="2" t="s">
        <v>27</v>
      </c>
      <c r="P895" s="2" t="s">
        <v>26</v>
      </c>
    </row>
    <row r="896" spans="1:16" ht="20.100000000000001" customHeight="1" x14ac:dyDescent="0.25">
      <c r="A896" s="26" t="str">
        <f>CONCATENATE(LEFT(ConsumoConcreto[[#This Row],[RecebimentoID]],4),"CNSC",TEXT(ConsumoConcreto[[#This Row],[Ordem]],"0000"),UPPER(LEFT(ConsumoConcreto[[#This Row],[Destino]],3)))</f>
        <v>0184CNSC0122RAD</v>
      </c>
      <c r="B896" s="1">
        <v>122</v>
      </c>
      <c r="C896" s="2" t="s">
        <v>2946</v>
      </c>
      <c r="D896" s="2" t="s">
        <v>1975</v>
      </c>
      <c r="E896" s="18">
        <v>25</v>
      </c>
      <c r="F896" s="2" t="s">
        <v>1801</v>
      </c>
      <c r="G896" s="36"/>
      <c r="H896" s="2" t="s">
        <v>1968</v>
      </c>
      <c r="I8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96" s="22">
        <v>7</v>
      </c>
      <c r="K896" s="22">
        <v>6.5</v>
      </c>
      <c r="L896" s="37">
        <v>36892</v>
      </c>
      <c r="M896" s="2" t="s">
        <v>1982</v>
      </c>
      <c r="N896" s="2" t="s">
        <v>1966</v>
      </c>
      <c r="O896" s="2" t="s">
        <v>27</v>
      </c>
      <c r="P896" s="2" t="s">
        <v>26</v>
      </c>
    </row>
    <row r="897" spans="1:16" ht="20.100000000000001" customHeight="1" x14ac:dyDescent="0.25">
      <c r="A897" s="26" t="str">
        <f>CONCATENATE(LEFT(ConsumoConcreto[[#This Row],[RecebimentoID]],4),"CNSC",TEXT(ConsumoConcreto[[#This Row],[Ordem]],"0000"),UPPER(LEFT(ConsumoConcreto[[#This Row],[Destino]],3)))</f>
        <v>0184CNSC0228PAR</v>
      </c>
      <c r="B897" s="1">
        <v>228</v>
      </c>
      <c r="C897" s="2" t="s">
        <v>2947</v>
      </c>
      <c r="D897" s="2" t="s">
        <v>1979</v>
      </c>
      <c r="E897" s="18">
        <v>25</v>
      </c>
      <c r="F897" s="2" t="s">
        <v>25</v>
      </c>
      <c r="G897" s="36">
        <v>0.87847222222222221</v>
      </c>
      <c r="H897" s="2" t="s">
        <v>1965</v>
      </c>
      <c r="I8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897" s="22">
        <v>14.5</v>
      </c>
      <c r="K897" s="22">
        <v>14.5</v>
      </c>
      <c r="L897" s="37">
        <v>36892</v>
      </c>
      <c r="M897" s="2"/>
      <c r="N897" s="2" t="s">
        <v>1966</v>
      </c>
      <c r="O897" s="2" t="s">
        <v>27</v>
      </c>
      <c r="P897" s="2" t="s">
        <v>26</v>
      </c>
    </row>
    <row r="898" spans="1:16" ht="20.100000000000001" customHeight="1" x14ac:dyDescent="0.25">
      <c r="A898" s="26" t="str">
        <f>CONCATENATE(LEFT(ConsumoConcreto[[#This Row],[RecebimentoID]],4),"CNSC",TEXT(ConsumoConcreto[[#This Row],[Ordem]],"0000"),UPPER(LEFT(ConsumoConcreto[[#This Row],[Destino]],3)))</f>
        <v>0184CNSC0201RAD</v>
      </c>
      <c r="B898" s="1">
        <v>201</v>
      </c>
      <c r="C898" s="2" t="s">
        <v>2948</v>
      </c>
      <c r="D898" s="2" t="s">
        <v>1979</v>
      </c>
      <c r="E898" s="18">
        <v>25</v>
      </c>
      <c r="F898" s="2" t="s">
        <v>1801</v>
      </c>
      <c r="G898" s="36"/>
      <c r="H898" s="2" t="s">
        <v>1968</v>
      </c>
      <c r="I8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898" s="22">
        <v>5.5</v>
      </c>
      <c r="K898" s="22">
        <v>5.4809999999999999</v>
      </c>
      <c r="L898" s="37">
        <v>36892</v>
      </c>
      <c r="M898" s="2"/>
      <c r="N898" s="2"/>
      <c r="O898" s="2" t="s">
        <v>27</v>
      </c>
      <c r="P898" s="2" t="s">
        <v>26</v>
      </c>
    </row>
    <row r="899" spans="1:16" ht="20.100000000000001" customHeight="1" x14ac:dyDescent="0.25">
      <c r="A899" s="26" t="str">
        <f>CONCATENATE(LEFT(ConsumoConcreto[[#This Row],[RecebimentoID]],4),"CNSC",TEXT(ConsumoConcreto[[#This Row],[Ordem]],"0000"),UPPER(LEFT(ConsumoConcreto[[#This Row],[Destino]],3)))</f>
        <v>0184CNSC0536PAR</v>
      </c>
      <c r="B899" s="1">
        <v>536</v>
      </c>
      <c r="C899" s="2" t="s">
        <v>2949</v>
      </c>
      <c r="D899" s="2" t="s">
        <v>2005</v>
      </c>
      <c r="E899" s="18">
        <v>25</v>
      </c>
      <c r="F899" s="2" t="s">
        <v>25</v>
      </c>
      <c r="G899" s="36">
        <v>0.81458333333333333</v>
      </c>
      <c r="H899" s="2" t="s">
        <v>1965</v>
      </c>
      <c r="I8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899" s="22">
        <v>18</v>
      </c>
      <c r="K899" s="22">
        <v>18</v>
      </c>
      <c r="L899" s="37">
        <v>36892</v>
      </c>
      <c r="M899" s="2"/>
      <c r="N899" s="2" t="s">
        <v>1966</v>
      </c>
      <c r="O899" s="2" t="s">
        <v>27</v>
      </c>
      <c r="P899" s="2" t="s">
        <v>26</v>
      </c>
    </row>
    <row r="900" spans="1:16" ht="20.100000000000001" customHeight="1" x14ac:dyDescent="0.25">
      <c r="A900" s="26" t="str">
        <f>CONCATENATE(LEFT(ConsumoConcreto[[#This Row],[RecebimentoID]],4),"CNSC",TEXT(ConsumoConcreto[[#This Row],[Ordem]],"0000"),UPPER(LEFT(ConsumoConcreto[[#This Row],[Destino]],3)))</f>
        <v>0184CNSC0490RAD</v>
      </c>
      <c r="B900" s="1">
        <v>490</v>
      </c>
      <c r="C900" s="2" t="s">
        <v>2950</v>
      </c>
      <c r="D900" s="2" t="s">
        <v>2005</v>
      </c>
      <c r="E900" s="18">
        <v>25</v>
      </c>
      <c r="F900" s="2" t="s">
        <v>1801</v>
      </c>
      <c r="G900" s="36">
        <v>0.4861111111111111</v>
      </c>
      <c r="H900" s="2" t="s">
        <v>1968</v>
      </c>
      <c r="I9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00" s="22">
        <v>7</v>
      </c>
      <c r="K900" s="22">
        <v>7</v>
      </c>
      <c r="L900" s="37">
        <v>36892</v>
      </c>
      <c r="M900" s="2"/>
      <c r="N900" s="2" t="s">
        <v>1963</v>
      </c>
      <c r="O900" s="2" t="s">
        <v>27</v>
      </c>
      <c r="P900" s="2" t="s">
        <v>26</v>
      </c>
    </row>
    <row r="901" spans="1:16" ht="20.100000000000001" customHeight="1" x14ac:dyDescent="0.25">
      <c r="A901" s="26" t="str">
        <f>CONCATENATE(LEFT(ConsumoConcreto[[#This Row],[RecebimentoID]],4),"CNSC",TEXT(ConsumoConcreto[[#This Row],[Ordem]],"0000"),UPPER(LEFT(ConsumoConcreto[[#This Row],[Destino]],3)))</f>
        <v>0184CNSC0592PAR</v>
      </c>
      <c r="B901" s="1">
        <v>592</v>
      </c>
      <c r="C901" s="2" t="s">
        <v>2951</v>
      </c>
      <c r="D901" s="2" t="s">
        <v>2007</v>
      </c>
      <c r="E901" s="18">
        <v>25</v>
      </c>
      <c r="F901" s="2" t="s">
        <v>25</v>
      </c>
      <c r="G901" s="36">
        <v>0.70833333333333337</v>
      </c>
      <c r="H901" s="2" t="s">
        <v>1965</v>
      </c>
      <c r="I9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01" s="22">
        <v>15</v>
      </c>
      <c r="K901" s="22">
        <v>15</v>
      </c>
      <c r="L901" s="37">
        <v>36892</v>
      </c>
      <c r="M901" s="2"/>
      <c r="N901" s="2" t="s">
        <v>1966</v>
      </c>
      <c r="O901" s="2" t="s">
        <v>27</v>
      </c>
      <c r="P901" s="2" t="s">
        <v>26</v>
      </c>
    </row>
    <row r="902" spans="1:16" ht="20.100000000000001" customHeight="1" x14ac:dyDescent="0.25">
      <c r="A902" s="26" t="str">
        <f>CONCATENATE(LEFT(ConsumoConcreto[[#This Row],[RecebimentoID]],4),"CNSC",TEXT(ConsumoConcreto[[#This Row],[Ordem]],"0000"),UPPER(LEFT(ConsumoConcreto[[#This Row],[Destino]],3)))</f>
        <v>0184CNSC0546RAD</v>
      </c>
      <c r="B902" s="1">
        <v>546</v>
      </c>
      <c r="C902" s="2" t="s">
        <v>2952</v>
      </c>
      <c r="D902" s="2" t="s">
        <v>2007</v>
      </c>
      <c r="E902" s="18">
        <v>25</v>
      </c>
      <c r="F902" s="2" t="s">
        <v>1801</v>
      </c>
      <c r="G902" s="36"/>
      <c r="H902" s="2" t="s">
        <v>1968</v>
      </c>
      <c r="I9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02" s="22">
        <v>5.5</v>
      </c>
      <c r="K902" s="22">
        <v>5.5</v>
      </c>
      <c r="L902" s="37">
        <v>36892</v>
      </c>
      <c r="M902" s="2"/>
      <c r="N902" s="2" t="s">
        <v>1963</v>
      </c>
      <c r="O902" s="2" t="s">
        <v>27</v>
      </c>
      <c r="P902" s="2" t="s">
        <v>26</v>
      </c>
    </row>
    <row r="903" spans="1:16" ht="20.100000000000001" customHeight="1" x14ac:dyDescent="0.25">
      <c r="A903" s="26" t="str">
        <f>CONCATENATE(LEFT(ConsumoConcreto[[#This Row],[RecebimentoID]],4),"CNSC",TEXT(ConsumoConcreto[[#This Row],[Ordem]],"0000"),UPPER(LEFT(ConsumoConcreto[[#This Row],[Destino]],3)))</f>
        <v>0184CNSC0650PAR</v>
      </c>
      <c r="B903" s="1">
        <v>650</v>
      </c>
      <c r="C903" s="2" t="s">
        <v>2953</v>
      </c>
      <c r="D903" s="2" t="s">
        <v>2010</v>
      </c>
      <c r="E903" s="18">
        <v>25</v>
      </c>
      <c r="F903" s="2" t="s">
        <v>25</v>
      </c>
      <c r="G903" s="36">
        <v>0.58750000000000002</v>
      </c>
      <c r="H903" s="2" t="s">
        <v>1965</v>
      </c>
      <c r="I9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03" s="22">
        <v>14</v>
      </c>
      <c r="K903" s="22">
        <v>14</v>
      </c>
      <c r="L903" s="37">
        <v>36892</v>
      </c>
      <c r="M903" s="2" t="s">
        <v>2954</v>
      </c>
      <c r="N903" s="2" t="s">
        <v>1966</v>
      </c>
      <c r="O903" s="2" t="s">
        <v>27</v>
      </c>
      <c r="P903" s="2" t="s">
        <v>26</v>
      </c>
    </row>
    <row r="904" spans="1:16" ht="20.100000000000001" customHeight="1" x14ac:dyDescent="0.25">
      <c r="A904" s="26" t="str">
        <f>CONCATENATE(LEFT(ConsumoConcreto[[#This Row],[RecebimentoID]],4),"CNSC",TEXT(ConsumoConcreto[[#This Row],[Ordem]],"0000"),UPPER(LEFT(ConsumoConcreto[[#This Row],[Destino]],3)))</f>
        <v>0184CNSC0620RAD</v>
      </c>
      <c r="B904" s="1">
        <v>620</v>
      </c>
      <c r="C904" s="2" t="s">
        <v>2955</v>
      </c>
      <c r="D904" s="2" t="s">
        <v>2010</v>
      </c>
      <c r="E904" s="18">
        <v>25</v>
      </c>
      <c r="F904" s="2" t="s">
        <v>1801</v>
      </c>
      <c r="G904" s="36">
        <v>0.54861111111111105</v>
      </c>
      <c r="H904" s="2" t="s">
        <v>1968</v>
      </c>
      <c r="I9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04" s="22">
        <v>5.5</v>
      </c>
      <c r="K904" s="22">
        <v>5.5</v>
      </c>
      <c r="L904" s="37">
        <v>36892</v>
      </c>
      <c r="M904" s="2"/>
      <c r="N904" s="2" t="s">
        <v>1966</v>
      </c>
      <c r="O904" s="2" t="s">
        <v>27</v>
      </c>
      <c r="P904" s="2" t="s">
        <v>26</v>
      </c>
    </row>
    <row r="905" spans="1:16" ht="20.100000000000001" customHeight="1" x14ac:dyDescent="0.25">
      <c r="A905" s="26" t="str">
        <f>CONCATENATE(LEFT(ConsumoConcreto[[#This Row],[RecebimentoID]],4),"CNSC",TEXT(ConsumoConcreto[[#This Row],[Ordem]],"0000"),UPPER(LEFT(ConsumoConcreto[[#This Row],[Destino]],3)))</f>
        <v>0184CNSC0687PAR</v>
      </c>
      <c r="B905" s="1">
        <v>687</v>
      </c>
      <c r="C905" s="2" t="s">
        <v>2956</v>
      </c>
      <c r="D905" s="2" t="s">
        <v>2013</v>
      </c>
      <c r="E905" s="18">
        <v>25</v>
      </c>
      <c r="F905" s="2" t="s">
        <v>25</v>
      </c>
      <c r="G905" s="36">
        <v>0.73611111111111116</v>
      </c>
      <c r="H905" s="2" t="s">
        <v>1965</v>
      </c>
      <c r="I9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05" s="22">
        <v>30</v>
      </c>
      <c r="K905" s="22">
        <v>30</v>
      </c>
      <c r="L905" s="37">
        <v>36892</v>
      </c>
      <c r="M905" s="2" t="s">
        <v>2957</v>
      </c>
      <c r="N905" s="2" t="s">
        <v>1966</v>
      </c>
      <c r="O905" s="2" t="s">
        <v>27</v>
      </c>
      <c r="P905" s="2" t="s">
        <v>26</v>
      </c>
    </row>
    <row r="906" spans="1:16" ht="20.100000000000001" customHeight="1" x14ac:dyDescent="0.25">
      <c r="A906" s="26" t="str">
        <f>CONCATENATE(LEFT(ConsumoConcreto[[#This Row],[RecebimentoID]],4),"CNSC",TEXT(ConsumoConcreto[[#This Row],[Ordem]],"0000"),UPPER(LEFT(ConsumoConcreto[[#This Row],[Destino]],3)))</f>
        <v>0184CNSC0681RAD</v>
      </c>
      <c r="B906" s="1">
        <v>681</v>
      </c>
      <c r="C906" s="2" t="s">
        <v>2958</v>
      </c>
      <c r="D906" s="2" t="s">
        <v>2013</v>
      </c>
      <c r="E906" s="18">
        <v>25</v>
      </c>
      <c r="F906" s="2" t="s">
        <v>1801</v>
      </c>
      <c r="G906" s="36"/>
      <c r="H906" s="2" t="s">
        <v>1968</v>
      </c>
      <c r="I9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06" s="22">
        <v>7.33</v>
      </c>
      <c r="K906" s="22">
        <v>5.4809999999999999</v>
      </c>
      <c r="L906" s="37">
        <v>36892</v>
      </c>
      <c r="M906" s="2" t="s">
        <v>1971</v>
      </c>
      <c r="N906" s="2"/>
      <c r="O906" s="2" t="s">
        <v>27</v>
      </c>
      <c r="P906" s="2" t="s">
        <v>26</v>
      </c>
    </row>
    <row r="907" spans="1:16" ht="20.100000000000001" customHeight="1" x14ac:dyDescent="0.25">
      <c r="A907" s="26" t="str">
        <f>CONCATENATE(LEFT(ConsumoConcreto[[#This Row],[RecebimentoID]],4),"CNSC",TEXT(ConsumoConcreto[[#This Row],[Ordem]],"0000"),UPPER(LEFT(ConsumoConcreto[[#This Row],[Destino]],3)))</f>
        <v>0184CNSC0738PIL</v>
      </c>
      <c r="B907" s="1">
        <v>738</v>
      </c>
      <c r="C907" s="2" t="s">
        <v>2959</v>
      </c>
      <c r="D907" s="2" t="s">
        <v>2013</v>
      </c>
      <c r="E907" s="18">
        <v>25</v>
      </c>
      <c r="F907" s="2" t="s">
        <v>1801</v>
      </c>
      <c r="G907" s="36">
        <v>0.54166666666666663</v>
      </c>
      <c r="H907" s="2" t="s">
        <v>1962</v>
      </c>
      <c r="I9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07" s="22">
        <v>0.1</v>
      </c>
      <c r="K907" s="22">
        <v>0.1</v>
      </c>
      <c r="L907" s="37">
        <v>36892</v>
      </c>
      <c r="M907" s="2"/>
      <c r="N907" s="2" t="s">
        <v>1963</v>
      </c>
      <c r="O907" s="2" t="s">
        <v>27</v>
      </c>
      <c r="P907" s="2" t="s">
        <v>26</v>
      </c>
    </row>
    <row r="908" spans="1:16" ht="20.100000000000001" customHeight="1" x14ac:dyDescent="0.25">
      <c r="A908" s="26" t="str">
        <f>CONCATENATE(LEFT(ConsumoConcreto[[#This Row],[RecebimentoID]],4),"CNSC",TEXT(ConsumoConcreto[[#This Row],[Ordem]],"0000"),UPPER(LEFT(ConsumoConcreto[[#This Row],[Destino]],3)))</f>
        <v>0184CNSC0842PAR</v>
      </c>
      <c r="B908" s="1">
        <v>842</v>
      </c>
      <c r="C908" s="2" t="s">
        <v>2960</v>
      </c>
      <c r="D908" s="2" t="s">
        <v>2024</v>
      </c>
      <c r="E908" s="18">
        <v>25</v>
      </c>
      <c r="F908" s="2" t="s">
        <v>25</v>
      </c>
      <c r="G908" s="36">
        <v>0.6777777777777777</v>
      </c>
      <c r="H908" s="2" t="s">
        <v>1965</v>
      </c>
      <c r="I9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08" s="22">
        <v>14.5</v>
      </c>
      <c r="K908" s="22">
        <v>14.5</v>
      </c>
      <c r="L908" s="37">
        <v>36892</v>
      </c>
      <c r="M908" s="2"/>
      <c r="N908" s="2" t="s">
        <v>1966</v>
      </c>
      <c r="O908" s="2" t="s">
        <v>27</v>
      </c>
      <c r="P908" s="2" t="s">
        <v>26</v>
      </c>
    </row>
    <row r="909" spans="1:16" ht="20.100000000000001" customHeight="1" x14ac:dyDescent="0.25">
      <c r="A909" s="26" t="str">
        <f>CONCATENATE(LEFT(ConsumoConcreto[[#This Row],[RecebimentoID]],4),"CNSC",TEXT(ConsumoConcreto[[#This Row],[Ordem]],"0000"),UPPER(LEFT(ConsumoConcreto[[#This Row],[Destino]],3)))</f>
        <v>0184CNSC0823RAD</v>
      </c>
      <c r="B909" s="1">
        <v>823</v>
      </c>
      <c r="C909" s="2" t="s">
        <v>2961</v>
      </c>
      <c r="D909" s="2" t="s">
        <v>2024</v>
      </c>
      <c r="E909" s="18">
        <v>25</v>
      </c>
      <c r="F909" s="2" t="s">
        <v>1801</v>
      </c>
      <c r="G909" s="36">
        <v>0.60416666666666663</v>
      </c>
      <c r="H909" s="2" t="s">
        <v>1968</v>
      </c>
      <c r="I9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09" s="22">
        <v>5.5</v>
      </c>
      <c r="K909" s="22">
        <v>5.5</v>
      </c>
      <c r="L909" s="37">
        <v>36892</v>
      </c>
      <c r="M909" s="2"/>
      <c r="N909" s="2" t="s">
        <v>1963</v>
      </c>
      <c r="O909" s="2" t="s">
        <v>27</v>
      </c>
      <c r="P909" s="2" t="s">
        <v>26</v>
      </c>
    </row>
    <row r="910" spans="1:16" ht="20.100000000000001" customHeight="1" x14ac:dyDescent="0.25">
      <c r="A910" s="26" t="str">
        <f>CONCATENATE(LEFT(ConsumoConcreto[[#This Row],[RecebimentoID]],4),"CNSC",TEXT(ConsumoConcreto[[#This Row],[Ordem]],"0000"),UPPER(LEFT(ConsumoConcreto[[#This Row],[Destino]],3)))</f>
        <v>0184CNSC0982PAR</v>
      </c>
      <c r="B910" s="1">
        <v>982</v>
      </c>
      <c r="C910" s="2" t="s">
        <v>2962</v>
      </c>
      <c r="D910" s="2" t="s">
        <v>2033</v>
      </c>
      <c r="E910" s="18">
        <v>25</v>
      </c>
      <c r="F910" s="2" t="s">
        <v>25</v>
      </c>
      <c r="G910" s="36">
        <v>0.85833333333333339</v>
      </c>
      <c r="H910" s="2" t="s">
        <v>1965</v>
      </c>
      <c r="I9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10" s="22">
        <v>18</v>
      </c>
      <c r="K910" s="22">
        <v>18</v>
      </c>
      <c r="L910" s="37">
        <v>36892</v>
      </c>
      <c r="M910" s="2"/>
      <c r="N910" s="2" t="s">
        <v>1966</v>
      </c>
      <c r="O910" s="2" t="s">
        <v>27</v>
      </c>
      <c r="P910" s="2" t="s">
        <v>26</v>
      </c>
    </row>
    <row r="911" spans="1:16" ht="20.100000000000001" customHeight="1" x14ac:dyDescent="0.25">
      <c r="A911" s="26" t="str">
        <f>CONCATENATE(LEFT(ConsumoConcreto[[#This Row],[RecebimentoID]],4),"CNSC",TEXT(ConsumoConcreto[[#This Row],[Ordem]],"0000"),UPPER(LEFT(ConsumoConcreto[[#This Row],[Destino]],3)))</f>
        <v>0184CNSC0944RAD</v>
      </c>
      <c r="B911" s="1">
        <v>944</v>
      </c>
      <c r="C911" s="2" t="s">
        <v>2963</v>
      </c>
      <c r="D911" s="2" t="s">
        <v>2033</v>
      </c>
      <c r="E911" s="18">
        <v>25</v>
      </c>
      <c r="F911" s="2" t="s">
        <v>1801</v>
      </c>
      <c r="G911" s="36">
        <v>0.43888888888888888</v>
      </c>
      <c r="H911" s="2" t="s">
        <v>1968</v>
      </c>
      <c r="I9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11" s="22">
        <v>7.5</v>
      </c>
      <c r="K911" s="22">
        <v>7.5</v>
      </c>
      <c r="L911" s="37">
        <v>36892</v>
      </c>
      <c r="M911" s="2" t="s">
        <v>2964</v>
      </c>
      <c r="N911" s="2" t="s">
        <v>1963</v>
      </c>
      <c r="O911" s="2" t="s">
        <v>27</v>
      </c>
      <c r="P911" s="2" t="s">
        <v>26</v>
      </c>
    </row>
    <row r="912" spans="1:16" ht="20.100000000000001" customHeight="1" x14ac:dyDescent="0.25">
      <c r="A912" s="26" t="str">
        <f>CONCATENATE(LEFT(ConsumoConcreto[[#This Row],[RecebimentoID]],4),"CNSC",TEXT(ConsumoConcreto[[#This Row],[Ordem]],"0000"),UPPER(LEFT(ConsumoConcreto[[#This Row],[Destino]],3)))</f>
        <v>0184CNSC1081PAR</v>
      </c>
      <c r="B912" s="1">
        <v>1081</v>
      </c>
      <c r="C912" s="2" t="s">
        <v>2965</v>
      </c>
      <c r="D912" s="2" t="s">
        <v>2036</v>
      </c>
      <c r="E912" s="18">
        <v>25</v>
      </c>
      <c r="F912" s="2" t="s">
        <v>25</v>
      </c>
      <c r="G912" s="36">
        <v>0.78333333333333333</v>
      </c>
      <c r="H912" s="2" t="s">
        <v>1965</v>
      </c>
      <c r="I9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12" s="22">
        <v>14.5</v>
      </c>
      <c r="K912" s="22">
        <v>14.5</v>
      </c>
      <c r="L912" s="37">
        <v>36892</v>
      </c>
      <c r="M912" s="2"/>
      <c r="N912" s="2" t="s">
        <v>1966</v>
      </c>
      <c r="O912" s="2" t="s">
        <v>27</v>
      </c>
      <c r="P912" s="2" t="s">
        <v>26</v>
      </c>
    </row>
    <row r="913" spans="1:16" ht="20.100000000000001" customHeight="1" x14ac:dyDescent="0.25">
      <c r="A913" s="26" t="str">
        <f>CONCATENATE(LEFT(ConsumoConcreto[[#This Row],[RecebimentoID]],4),"CNSC",TEXT(ConsumoConcreto[[#This Row],[Ordem]],"0000"),UPPER(LEFT(ConsumoConcreto[[#This Row],[Destino]],3)))</f>
        <v>0184CNSC1046RAD</v>
      </c>
      <c r="B913" s="1">
        <v>1046</v>
      </c>
      <c r="C913" s="2" t="s">
        <v>2966</v>
      </c>
      <c r="D913" s="2" t="s">
        <v>2036</v>
      </c>
      <c r="E913" s="18">
        <v>25</v>
      </c>
      <c r="F913" s="2" t="s">
        <v>1801</v>
      </c>
      <c r="G913" s="36">
        <v>0.4861111111111111</v>
      </c>
      <c r="H913" s="2" t="s">
        <v>1968</v>
      </c>
      <c r="I9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13" s="22">
        <v>5.5</v>
      </c>
      <c r="K913" s="22">
        <v>5.5</v>
      </c>
      <c r="L913" s="37">
        <v>36892</v>
      </c>
      <c r="M913" s="2"/>
      <c r="N913" s="2" t="s">
        <v>1963</v>
      </c>
      <c r="O913" s="2" t="s">
        <v>27</v>
      </c>
      <c r="P913" s="2" t="s">
        <v>26</v>
      </c>
    </row>
    <row r="914" spans="1:16" ht="20.100000000000001" customHeight="1" x14ac:dyDescent="0.25">
      <c r="A914" s="26" t="str">
        <f>CONCATENATE(LEFT(ConsumoConcreto[[#This Row],[RecebimentoID]],4),"CNSC",TEXT(ConsumoConcreto[[#This Row],[Ordem]],"0000"),UPPER(LEFT(ConsumoConcreto[[#This Row],[Destino]],3)))</f>
        <v>0184CNSC0143PAR</v>
      </c>
      <c r="B914" s="1">
        <v>143</v>
      </c>
      <c r="C914" s="2" t="s">
        <v>2967</v>
      </c>
      <c r="D914" s="2" t="s">
        <v>1975</v>
      </c>
      <c r="E914" s="18">
        <v>26</v>
      </c>
      <c r="F914" s="2" t="s">
        <v>25</v>
      </c>
      <c r="G914" s="36"/>
      <c r="H914" s="2" t="s">
        <v>1965</v>
      </c>
      <c r="I9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14" s="22">
        <v>15.5</v>
      </c>
      <c r="K914" s="22">
        <v>14</v>
      </c>
      <c r="L914" s="37">
        <v>36892</v>
      </c>
      <c r="M914" s="2" t="s">
        <v>1971</v>
      </c>
      <c r="N914" s="2" t="s">
        <v>1966</v>
      </c>
      <c r="O914" s="2" t="s">
        <v>27</v>
      </c>
      <c r="P914" s="2" t="s">
        <v>26</v>
      </c>
    </row>
    <row r="915" spans="1:16" ht="20.100000000000001" customHeight="1" x14ac:dyDescent="0.25">
      <c r="A915" s="26" t="str">
        <f>CONCATENATE(LEFT(ConsumoConcreto[[#This Row],[RecebimentoID]],4),"CNSC",TEXT(ConsumoConcreto[[#This Row],[Ordem]],"0000"),UPPER(LEFT(ConsumoConcreto[[#This Row],[Destino]],3)))</f>
        <v>0184CNSC0106RAD</v>
      </c>
      <c r="B915" s="1">
        <v>106</v>
      </c>
      <c r="C915" s="2" t="s">
        <v>2968</v>
      </c>
      <c r="D915" s="2" t="s">
        <v>1975</v>
      </c>
      <c r="E915" s="18">
        <v>26</v>
      </c>
      <c r="F915" s="2" t="s">
        <v>1801</v>
      </c>
      <c r="G915" s="36"/>
      <c r="H915" s="2" t="s">
        <v>1968</v>
      </c>
      <c r="I9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15" s="22">
        <v>5.5</v>
      </c>
      <c r="K915" s="22">
        <v>5.5</v>
      </c>
      <c r="L915" s="37">
        <v>36892</v>
      </c>
      <c r="M915" s="2"/>
      <c r="N915" s="2" t="s">
        <v>1966</v>
      </c>
      <c r="O915" s="2" t="s">
        <v>27</v>
      </c>
      <c r="P915" s="2" t="s">
        <v>26</v>
      </c>
    </row>
    <row r="916" spans="1:16" ht="20.100000000000001" customHeight="1" x14ac:dyDescent="0.25">
      <c r="A916" s="26" t="str">
        <f>CONCATENATE(LEFT(ConsumoConcreto[[#This Row],[RecebimentoID]],4),"CNSC",TEXT(ConsumoConcreto[[#This Row],[Ordem]],"0000"),UPPER(LEFT(ConsumoConcreto[[#This Row],[Destino]],3)))</f>
        <v>0184CNSC0164PIL</v>
      </c>
      <c r="B916" s="1">
        <v>164</v>
      </c>
      <c r="C916" s="2" t="s">
        <v>2969</v>
      </c>
      <c r="D916" s="2" t="s">
        <v>1975</v>
      </c>
      <c r="E916" s="18">
        <v>26</v>
      </c>
      <c r="F916" s="2" t="s">
        <v>1801</v>
      </c>
      <c r="G916" s="36"/>
      <c r="H916" s="2" t="s">
        <v>1962</v>
      </c>
      <c r="I9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16" s="22">
        <v>0.2</v>
      </c>
      <c r="K916" s="22">
        <v>0.1</v>
      </c>
      <c r="L916" s="37">
        <v>36892</v>
      </c>
      <c r="M916" s="2"/>
      <c r="N916" s="2" t="s">
        <v>1963</v>
      </c>
      <c r="O916" s="2" t="s">
        <v>27</v>
      </c>
      <c r="P916" s="2" t="s">
        <v>26</v>
      </c>
    </row>
    <row r="917" spans="1:16" ht="20.100000000000001" customHeight="1" x14ac:dyDescent="0.25">
      <c r="A917" s="26" t="str">
        <f>CONCATENATE(LEFT(ConsumoConcreto[[#This Row],[RecebimentoID]],4),"CNSC",TEXT(ConsumoConcreto[[#This Row],[Ordem]],"0000"),UPPER(LEFT(ConsumoConcreto[[#This Row],[Destino]],3)))</f>
        <v>0184CNSC0225PAR</v>
      </c>
      <c r="B917" s="1">
        <v>225</v>
      </c>
      <c r="C917" s="2" t="s">
        <v>2970</v>
      </c>
      <c r="D917" s="2" t="s">
        <v>1979</v>
      </c>
      <c r="E917" s="18">
        <v>26</v>
      </c>
      <c r="F917" s="2" t="s">
        <v>25</v>
      </c>
      <c r="G917" s="36">
        <v>0.83680555555555547</v>
      </c>
      <c r="H917" s="2" t="s">
        <v>1965</v>
      </c>
      <c r="I9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17" s="22">
        <v>14.5</v>
      </c>
      <c r="K917" s="22">
        <v>14.5</v>
      </c>
      <c r="L917" s="37">
        <v>36892</v>
      </c>
      <c r="M917" s="2"/>
      <c r="N917" s="2" t="s">
        <v>1966</v>
      </c>
      <c r="O917" s="2" t="s">
        <v>27</v>
      </c>
      <c r="P917" s="2" t="s">
        <v>26</v>
      </c>
    </row>
    <row r="918" spans="1:16" ht="20.100000000000001" customHeight="1" x14ac:dyDescent="0.25">
      <c r="A918" s="26" t="str">
        <f>CONCATENATE(LEFT(ConsumoConcreto[[#This Row],[RecebimentoID]],4),"CNSC",TEXT(ConsumoConcreto[[#This Row],[Ordem]],"0000"),UPPER(LEFT(ConsumoConcreto[[#This Row],[Destino]],3)))</f>
        <v>0184CNSC0204RAD</v>
      </c>
      <c r="B918" s="1">
        <v>204</v>
      </c>
      <c r="C918" s="2" t="s">
        <v>2971</v>
      </c>
      <c r="D918" s="2" t="s">
        <v>1979</v>
      </c>
      <c r="E918" s="18">
        <v>26</v>
      </c>
      <c r="F918" s="2" t="s">
        <v>1801</v>
      </c>
      <c r="G918" s="36"/>
      <c r="H918" s="2" t="s">
        <v>1968</v>
      </c>
      <c r="I9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18" s="22">
        <v>5.5</v>
      </c>
      <c r="K918" s="22">
        <v>5.4809999999999999</v>
      </c>
      <c r="L918" s="37">
        <v>36892</v>
      </c>
      <c r="M918" s="2"/>
      <c r="N918" s="2"/>
      <c r="O918" s="2" t="s">
        <v>27</v>
      </c>
      <c r="P918" s="2" t="s">
        <v>26</v>
      </c>
    </row>
    <row r="919" spans="1:16" ht="20.100000000000001" customHeight="1" x14ac:dyDescent="0.25">
      <c r="A919" s="26" t="str">
        <f>CONCATENATE(LEFT(ConsumoConcreto[[#This Row],[RecebimentoID]],4),"CNSC",TEXT(ConsumoConcreto[[#This Row],[Ordem]],"0000"),UPPER(LEFT(ConsumoConcreto[[#This Row],[Destino]],3)))</f>
        <v>0184CNSC0251PIL</v>
      </c>
      <c r="B919" s="1">
        <v>251</v>
      </c>
      <c r="C919" s="2" t="s">
        <v>2972</v>
      </c>
      <c r="D919" s="2" t="s">
        <v>1979</v>
      </c>
      <c r="E919" s="18">
        <v>26</v>
      </c>
      <c r="F919" s="2" t="s">
        <v>1801</v>
      </c>
      <c r="G919" s="36">
        <v>0.4375</v>
      </c>
      <c r="H919" s="2" t="s">
        <v>1962</v>
      </c>
      <c r="I9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19" s="22">
        <v>0.1</v>
      </c>
      <c r="K919" s="22">
        <v>0.1</v>
      </c>
      <c r="L919" s="37">
        <v>36892</v>
      </c>
      <c r="M919" s="2"/>
      <c r="N919" s="2" t="s">
        <v>1963</v>
      </c>
      <c r="O919" s="2" t="s">
        <v>27</v>
      </c>
      <c r="P919" s="2" t="s">
        <v>26</v>
      </c>
    </row>
    <row r="920" spans="1:16" ht="20.100000000000001" customHeight="1" x14ac:dyDescent="0.25">
      <c r="A920" s="26" t="str">
        <f>CONCATENATE(LEFT(ConsumoConcreto[[#This Row],[RecebimentoID]],4),"CNSC",TEXT(ConsumoConcreto[[#This Row],[Ordem]],"0000"),UPPER(LEFT(ConsumoConcreto[[#This Row],[Destino]],3)))</f>
        <v>0184CNSC0540PAR</v>
      </c>
      <c r="B920" s="1">
        <v>540</v>
      </c>
      <c r="C920" s="2" t="s">
        <v>2973</v>
      </c>
      <c r="D920" s="2" t="s">
        <v>2005</v>
      </c>
      <c r="E920" s="18">
        <v>26</v>
      </c>
      <c r="F920" s="2" t="s">
        <v>25</v>
      </c>
      <c r="G920" s="36"/>
      <c r="H920" s="2" t="s">
        <v>1965</v>
      </c>
      <c r="I9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920" s="37">
        <v>36892</v>
      </c>
      <c r="M920" s="2"/>
      <c r="N920" s="2" t="s">
        <v>1966</v>
      </c>
      <c r="O920" s="2" t="s">
        <v>27</v>
      </c>
      <c r="P920" s="2" t="s">
        <v>26</v>
      </c>
    </row>
    <row r="921" spans="1:16" ht="20.100000000000001" customHeight="1" x14ac:dyDescent="0.25">
      <c r="A921" s="26" t="str">
        <f>CONCATENATE(LEFT(ConsumoConcreto[[#This Row],[RecebimentoID]],4),"CNSC",TEXT(ConsumoConcreto[[#This Row],[Ordem]],"0000"),UPPER(LEFT(ConsumoConcreto[[#This Row],[Destino]],3)))</f>
        <v>0184CNSC0535RAD</v>
      </c>
      <c r="B921" s="1">
        <v>535</v>
      </c>
      <c r="C921" s="2" t="s">
        <v>2974</v>
      </c>
      <c r="D921" s="2" t="s">
        <v>2005</v>
      </c>
      <c r="E921" s="18">
        <v>26</v>
      </c>
      <c r="F921" s="2" t="s">
        <v>1801</v>
      </c>
      <c r="G921" s="36">
        <v>0.74513888888888891</v>
      </c>
      <c r="H921" s="2" t="s">
        <v>1968</v>
      </c>
      <c r="I9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21" s="22">
        <v>9.5</v>
      </c>
      <c r="K921" s="22">
        <v>9.5</v>
      </c>
      <c r="L921" s="37">
        <v>36892</v>
      </c>
      <c r="M921" s="2"/>
      <c r="N921" s="2" t="s">
        <v>1963</v>
      </c>
      <c r="O921" s="2" t="s">
        <v>27</v>
      </c>
      <c r="P921" s="2" t="s">
        <v>26</v>
      </c>
    </row>
    <row r="922" spans="1:16" ht="20.100000000000001" customHeight="1" x14ac:dyDescent="0.25">
      <c r="A922" s="26" t="str">
        <f>CONCATENATE(LEFT(ConsumoConcreto[[#This Row],[RecebimentoID]],4),"CNSC",TEXT(ConsumoConcreto[[#This Row],[Ordem]],"0000"),UPPER(LEFT(ConsumoConcreto[[#This Row],[Destino]],3)))</f>
        <v>0184CNSC0590PAR</v>
      </c>
      <c r="B922" s="1">
        <v>590</v>
      </c>
      <c r="C922" s="2" t="s">
        <v>2975</v>
      </c>
      <c r="D922" s="2" t="s">
        <v>2007</v>
      </c>
      <c r="E922" s="18">
        <v>26</v>
      </c>
      <c r="F922" s="2" t="s">
        <v>25</v>
      </c>
      <c r="G922" s="36">
        <v>0.80069444444444438</v>
      </c>
      <c r="H922" s="2" t="s">
        <v>1965</v>
      </c>
      <c r="I9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22" s="22">
        <v>15</v>
      </c>
      <c r="K922" s="22">
        <v>15</v>
      </c>
      <c r="L922" s="37">
        <v>36892</v>
      </c>
      <c r="M922" s="2"/>
      <c r="N922" s="2" t="s">
        <v>1966</v>
      </c>
      <c r="O922" s="2" t="s">
        <v>27</v>
      </c>
      <c r="P922" s="2" t="s">
        <v>26</v>
      </c>
    </row>
    <row r="923" spans="1:16" ht="20.100000000000001" customHeight="1" x14ac:dyDescent="0.25">
      <c r="A923" s="26" t="str">
        <f>CONCATENATE(LEFT(ConsumoConcreto[[#This Row],[RecebimentoID]],4),"CNSC",TEXT(ConsumoConcreto[[#This Row],[Ordem]],"0000"),UPPER(LEFT(ConsumoConcreto[[#This Row],[Destino]],3)))</f>
        <v>0184CNSC0556RAD</v>
      </c>
      <c r="B923" s="1">
        <v>556</v>
      </c>
      <c r="C923" s="2" t="s">
        <v>2976</v>
      </c>
      <c r="D923" s="2" t="s">
        <v>2007</v>
      </c>
      <c r="E923" s="18">
        <v>26</v>
      </c>
      <c r="F923" s="2" t="s">
        <v>1801</v>
      </c>
      <c r="G923" s="36"/>
      <c r="H923" s="2" t="s">
        <v>1968</v>
      </c>
      <c r="I9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23" s="22">
        <v>5.5</v>
      </c>
      <c r="K923" s="22">
        <v>5.5</v>
      </c>
      <c r="L923" s="37">
        <v>36892</v>
      </c>
      <c r="M923" s="2"/>
      <c r="N923" s="2" t="s">
        <v>1963</v>
      </c>
      <c r="O923" s="2" t="s">
        <v>27</v>
      </c>
      <c r="P923" s="2" t="s">
        <v>26</v>
      </c>
    </row>
    <row r="924" spans="1:16" ht="20.100000000000001" customHeight="1" x14ac:dyDescent="0.25">
      <c r="A924" s="26" t="str">
        <f>CONCATENATE(LEFT(ConsumoConcreto[[#This Row],[RecebimentoID]],4),"CNSC",TEXT(ConsumoConcreto[[#This Row],[Ordem]],"0000"),UPPER(LEFT(ConsumoConcreto[[#This Row],[Destino]],3)))</f>
        <v>0184CNSC0662PAR</v>
      </c>
      <c r="B924" s="1">
        <v>662</v>
      </c>
      <c r="C924" s="2" t="s">
        <v>2977</v>
      </c>
      <c r="D924" s="2" t="s">
        <v>2010</v>
      </c>
      <c r="E924" s="18">
        <v>26</v>
      </c>
      <c r="F924" s="2" t="s">
        <v>25</v>
      </c>
      <c r="G924" s="36">
        <v>0.79652777777777783</v>
      </c>
      <c r="H924" s="2" t="s">
        <v>1965</v>
      </c>
      <c r="I9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24" s="22">
        <v>14</v>
      </c>
      <c r="K924" s="22">
        <v>14</v>
      </c>
      <c r="L924" s="37">
        <v>36892</v>
      </c>
      <c r="M924" s="2"/>
      <c r="N924" s="2" t="s">
        <v>1966</v>
      </c>
      <c r="O924" s="2" t="s">
        <v>27</v>
      </c>
      <c r="P924" s="2" t="s">
        <v>26</v>
      </c>
    </row>
    <row r="925" spans="1:16" ht="20.100000000000001" customHeight="1" x14ac:dyDescent="0.25">
      <c r="A925" s="26" t="str">
        <f>CONCATENATE(LEFT(ConsumoConcreto[[#This Row],[RecebimentoID]],4),"CNSC",TEXT(ConsumoConcreto[[#This Row],[Ordem]],"0000"),UPPER(LEFT(ConsumoConcreto[[#This Row],[Destino]],3)))</f>
        <v>0184CNSC0644RAD</v>
      </c>
      <c r="B925" s="1">
        <v>644</v>
      </c>
      <c r="C925" s="2" t="s">
        <v>2978</v>
      </c>
      <c r="D925" s="2" t="s">
        <v>2010</v>
      </c>
      <c r="E925" s="18">
        <v>26</v>
      </c>
      <c r="F925" s="2" t="s">
        <v>1801</v>
      </c>
      <c r="G925" s="36">
        <v>0.6694444444444444</v>
      </c>
      <c r="H925" s="2" t="s">
        <v>1968</v>
      </c>
      <c r="I9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25" s="22">
        <v>5.5</v>
      </c>
      <c r="K925" s="22">
        <v>5.5</v>
      </c>
      <c r="L925" s="37">
        <v>36892</v>
      </c>
      <c r="M925" s="2"/>
      <c r="N925" s="2" t="s">
        <v>1963</v>
      </c>
      <c r="O925" s="2" t="s">
        <v>27</v>
      </c>
      <c r="P925" s="2" t="s">
        <v>26</v>
      </c>
    </row>
    <row r="926" spans="1:16" ht="20.100000000000001" customHeight="1" x14ac:dyDescent="0.25">
      <c r="A926" s="26" t="str">
        <f>CONCATENATE(LEFT(ConsumoConcreto[[#This Row],[RecebimentoID]],4),"CNSC",TEXT(ConsumoConcreto[[#This Row],[Ordem]],"0000"),UPPER(LEFT(ConsumoConcreto[[#This Row],[Destino]],3)))</f>
        <v>0184CNSC0729PAR</v>
      </c>
      <c r="B926" s="1">
        <v>729</v>
      </c>
      <c r="C926" s="2" t="s">
        <v>2979</v>
      </c>
      <c r="D926" s="2" t="s">
        <v>2013</v>
      </c>
      <c r="E926" s="18">
        <v>26</v>
      </c>
      <c r="F926" s="2" t="s">
        <v>25</v>
      </c>
      <c r="G926" s="36">
        <v>0.62361111111111112</v>
      </c>
      <c r="H926" s="2" t="s">
        <v>1965</v>
      </c>
      <c r="I9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26" s="22">
        <v>14</v>
      </c>
      <c r="K926" s="22">
        <v>14</v>
      </c>
      <c r="L926" s="37">
        <v>36892</v>
      </c>
      <c r="M926" s="2" t="s">
        <v>2082</v>
      </c>
      <c r="N926" s="2" t="s">
        <v>1966</v>
      </c>
      <c r="O926" s="2" t="s">
        <v>27</v>
      </c>
      <c r="P926" s="2" t="s">
        <v>26</v>
      </c>
    </row>
    <row r="927" spans="1:16" ht="20.100000000000001" customHeight="1" x14ac:dyDescent="0.25">
      <c r="A927" s="26" t="str">
        <f>CONCATENATE(LEFT(ConsumoConcreto[[#This Row],[RecebimentoID]],4),"CNSC",TEXT(ConsumoConcreto[[#This Row],[Ordem]],"0000"),UPPER(LEFT(ConsumoConcreto[[#This Row],[Destino]],3)))</f>
        <v>0184CNSC0702RAD</v>
      </c>
      <c r="B927" s="1">
        <v>702</v>
      </c>
      <c r="C927" s="2" t="s">
        <v>2980</v>
      </c>
      <c r="D927" s="2" t="s">
        <v>2013</v>
      </c>
      <c r="E927" s="18">
        <v>26</v>
      </c>
      <c r="F927" s="2" t="s">
        <v>1801</v>
      </c>
      <c r="G927" s="36">
        <v>0.5229166666666667</v>
      </c>
      <c r="H927" s="2" t="s">
        <v>1968</v>
      </c>
      <c r="I9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27" s="22">
        <v>5.5</v>
      </c>
      <c r="K927" s="22">
        <v>5.5</v>
      </c>
      <c r="L927" s="37">
        <v>36892</v>
      </c>
      <c r="M927" s="2"/>
      <c r="N927" s="2" t="s">
        <v>1966</v>
      </c>
      <c r="O927" s="2" t="s">
        <v>27</v>
      </c>
      <c r="P927" s="2" t="s">
        <v>26</v>
      </c>
    </row>
    <row r="928" spans="1:16" ht="20.100000000000001" customHeight="1" x14ac:dyDescent="0.25">
      <c r="A928" s="26" t="str">
        <f>CONCATENATE(LEFT(ConsumoConcreto[[#This Row],[RecebimentoID]],4),"CNSC",TEXT(ConsumoConcreto[[#This Row],[Ordem]],"0000"),UPPER(LEFT(ConsumoConcreto[[#This Row],[Destino]],3)))</f>
        <v>0184CNSC0863PAR</v>
      </c>
      <c r="B928" s="1">
        <v>863</v>
      </c>
      <c r="C928" s="2" t="s">
        <v>2981</v>
      </c>
      <c r="D928" s="2" t="s">
        <v>2024</v>
      </c>
      <c r="E928" s="18">
        <v>26</v>
      </c>
      <c r="F928" s="2" t="s">
        <v>25</v>
      </c>
      <c r="G928" s="36">
        <v>0.7284722222222223</v>
      </c>
      <c r="H928" s="2" t="s">
        <v>1965</v>
      </c>
      <c r="I9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28" s="22">
        <v>14.5</v>
      </c>
      <c r="K928" s="22">
        <v>14.5</v>
      </c>
      <c r="L928" s="37">
        <v>36892</v>
      </c>
      <c r="M928" s="2"/>
      <c r="N928" s="2" t="s">
        <v>1966</v>
      </c>
      <c r="O928" s="2" t="s">
        <v>27</v>
      </c>
      <c r="P928" s="2" t="s">
        <v>26</v>
      </c>
    </row>
    <row r="929" spans="1:16" ht="20.100000000000001" customHeight="1" x14ac:dyDescent="0.25">
      <c r="A929" s="26" t="str">
        <f>CONCATENATE(LEFT(ConsumoConcreto[[#This Row],[RecebimentoID]],4),"CNSC",TEXT(ConsumoConcreto[[#This Row],[Ordem]],"0000"),UPPER(LEFT(ConsumoConcreto[[#This Row],[Destino]],3)))</f>
        <v>0184CNSC0831RAD</v>
      </c>
      <c r="B929" s="1">
        <v>831</v>
      </c>
      <c r="C929" s="2" t="s">
        <v>2982</v>
      </c>
      <c r="D929" s="2" t="s">
        <v>2024</v>
      </c>
      <c r="E929" s="18">
        <v>26</v>
      </c>
      <c r="F929" s="2" t="s">
        <v>1801</v>
      </c>
      <c r="G929" s="36">
        <v>0.40625</v>
      </c>
      <c r="H929" s="2" t="s">
        <v>1968</v>
      </c>
      <c r="I9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29" s="22">
        <v>5.5</v>
      </c>
      <c r="K929" s="22">
        <v>5.5</v>
      </c>
      <c r="L929" s="37">
        <v>36892</v>
      </c>
      <c r="M929" s="2"/>
      <c r="N929" s="2" t="s">
        <v>1963</v>
      </c>
      <c r="O929" s="2" t="s">
        <v>27</v>
      </c>
      <c r="P929" s="2" t="s">
        <v>26</v>
      </c>
    </row>
    <row r="930" spans="1:16" ht="20.100000000000001" customHeight="1" x14ac:dyDescent="0.25">
      <c r="A930" s="26" t="str">
        <f>CONCATENATE(LEFT(ConsumoConcreto[[#This Row],[RecebimentoID]],4),"CNSC",TEXT(ConsumoConcreto[[#This Row],[Ordem]],"0000"),UPPER(LEFT(ConsumoConcreto[[#This Row],[Destino]],3)))</f>
        <v>0184CNSC0986PAR</v>
      </c>
      <c r="B930" s="1">
        <v>986</v>
      </c>
      <c r="C930" s="2" t="s">
        <v>2983</v>
      </c>
      <c r="D930" s="2" t="s">
        <v>2033</v>
      </c>
      <c r="E930" s="18">
        <v>26</v>
      </c>
      <c r="F930" s="2" t="s">
        <v>25</v>
      </c>
      <c r="G930" s="36">
        <v>0.72152777777777777</v>
      </c>
      <c r="H930" s="2" t="s">
        <v>1965</v>
      </c>
      <c r="I9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30" s="22">
        <v>14.5</v>
      </c>
      <c r="K930" s="22">
        <v>14.5</v>
      </c>
      <c r="L930" s="37">
        <v>36892</v>
      </c>
      <c r="M930" s="2"/>
      <c r="N930" s="2" t="s">
        <v>1966</v>
      </c>
      <c r="O930" s="2" t="s">
        <v>27</v>
      </c>
      <c r="P930" s="2" t="s">
        <v>26</v>
      </c>
    </row>
    <row r="931" spans="1:16" ht="20.100000000000001" customHeight="1" x14ac:dyDescent="0.25">
      <c r="A931" s="26" t="str">
        <f>CONCATENATE(LEFT(ConsumoConcreto[[#This Row],[RecebimentoID]],4),"CNSC",TEXT(ConsumoConcreto[[#This Row],[Ordem]],"0000"),UPPER(LEFT(ConsumoConcreto[[#This Row],[Destino]],3)))</f>
        <v>0184CNSC0965RAD</v>
      </c>
      <c r="B931" s="1">
        <v>965</v>
      </c>
      <c r="C931" s="2" t="s">
        <v>2984</v>
      </c>
      <c r="D931" s="2" t="s">
        <v>2033</v>
      </c>
      <c r="E931" s="18">
        <v>26</v>
      </c>
      <c r="F931" s="2" t="s">
        <v>1801</v>
      </c>
      <c r="G931" s="36">
        <v>0.58680555555555558</v>
      </c>
      <c r="H931" s="2" t="s">
        <v>1968</v>
      </c>
      <c r="I9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31" s="22">
        <v>5.5</v>
      </c>
      <c r="K931" s="22">
        <v>5.5</v>
      </c>
      <c r="L931" s="37">
        <v>36892</v>
      </c>
      <c r="M931" s="2"/>
      <c r="N931" s="2" t="s">
        <v>1966</v>
      </c>
      <c r="O931" s="2" t="s">
        <v>27</v>
      </c>
      <c r="P931" s="2" t="s">
        <v>26</v>
      </c>
    </row>
    <row r="932" spans="1:16" ht="20.100000000000001" customHeight="1" x14ac:dyDescent="0.25">
      <c r="A932" s="26" t="str">
        <f>CONCATENATE(LEFT(ConsumoConcreto[[#This Row],[RecebimentoID]],4),"CNSC",TEXT(ConsumoConcreto[[#This Row],[Ordem]],"0000"),UPPER(LEFT(ConsumoConcreto[[#This Row],[Destino]],3)))</f>
        <v>0184CNSC1082PAR</v>
      </c>
      <c r="B932" s="1">
        <v>1082</v>
      </c>
      <c r="C932" s="2" t="s">
        <v>2985</v>
      </c>
      <c r="D932" s="2" t="s">
        <v>2036</v>
      </c>
      <c r="E932" s="18">
        <v>26</v>
      </c>
      <c r="F932" s="2" t="s">
        <v>25</v>
      </c>
      <c r="G932" s="36">
        <v>0.51874999999999993</v>
      </c>
      <c r="H932" s="2" t="s">
        <v>1965</v>
      </c>
      <c r="I9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32" s="22">
        <v>15</v>
      </c>
      <c r="K932" s="22">
        <v>15</v>
      </c>
      <c r="L932" s="37">
        <v>36892</v>
      </c>
      <c r="M932" s="2"/>
      <c r="N932" s="2" t="s">
        <v>1966</v>
      </c>
      <c r="O932" s="2" t="s">
        <v>27</v>
      </c>
      <c r="P932" s="2" t="s">
        <v>26</v>
      </c>
    </row>
    <row r="933" spans="1:16" ht="20.100000000000001" customHeight="1" x14ac:dyDescent="0.25">
      <c r="A933" s="26" t="str">
        <f>CONCATENATE(LEFT(ConsumoConcreto[[#This Row],[RecebimentoID]],4),"CNSC",TEXT(ConsumoConcreto[[#This Row],[Ordem]],"0000"),UPPER(LEFT(ConsumoConcreto[[#This Row],[Destino]],3)))</f>
        <v>0184CNSC1022RAD</v>
      </c>
      <c r="B933" s="1">
        <v>1022</v>
      </c>
      <c r="C933" s="2" t="s">
        <v>2986</v>
      </c>
      <c r="D933" s="2" t="s">
        <v>2036</v>
      </c>
      <c r="E933" s="18">
        <v>26</v>
      </c>
      <c r="F933" s="2" t="s">
        <v>1801</v>
      </c>
      <c r="G933" s="36">
        <v>0.63888888888888895</v>
      </c>
      <c r="H933" s="2" t="s">
        <v>1968</v>
      </c>
      <c r="I9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33" s="22">
        <v>5.5</v>
      </c>
      <c r="K933" s="22">
        <v>5.5</v>
      </c>
      <c r="L933" s="37">
        <v>36892</v>
      </c>
      <c r="M933" s="2"/>
      <c r="N933" s="2" t="s">
        <v>1963</v>
      </c>
      <c r="O933" s="2" t="s">
        <v>27</v>
      </c>
      <c r="P933" s="2" t="s">
        <v>26</v>
      </c>
    </row>
    <row r="934" spans="1:16" ht="20.100000000000001" customHeight="1" x14ac:dyDescent="0.25">
      <c r="A934" s="26" t="str">
        <f>CONCATENATE(LEFT(ConsumoConcreto[[#This Row],[RecebimentoID]],4),"CNSC",TEXT(ConsumoConcreto[[#This Row],[Ordem]],"0000"),UPPER(LEFT(ConsumoConcreto[[#This Row],[Destino]],3)))</f>
        <v>0184CNSC0134PAR</v>
      </c>
      <c r="B934" s="1">
        <v>134</v>
      </c>
      <c r="C934" s="2" t="s">
        <v>2987</v>
      </c>
      <c r="D934" s="2" t="s">
        <v>1975</v>
      </c>
      <c r="E934" s="18">
        <v>27</v>
      </c>
      <c r="F934" s="2" t="s">
        <v>25</v>
      </c>
      <c r="G934" s="36"/>
      <c r="H934" s="2" t="s">
        <v>1965</v>
      </c>
      <c r="I9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34" s="22">
        <v>18</v>
      </c>
      <c r="K934" s="22">
        <v>18</v>
      </c>
      <c r="L934" s="37">
        <v>36892</v>
      </c>
      <c r="M934" s="2"/>
      <c r="N934" s="2" t="s">
        <v>1966</v>
      </c>
      <c r="O934" s="2" t="s">
        <v>27</v>
      </c>
      <c r="P934" s="2" t="s">
        <v>26</v>
      </c>
    </row>
    <row r="935" spans="1:16" ht="20.100000000000001" customHeight="1" x14ac:dyDescent="0.25">
      <c r="A935" s="26" t="str">
        <f>CONCATENATE(LEFT(ConsumoConcreto[[#This Row],[RecebimentoID]],4),"CNSC",TEXT(ConsumoConcreto[[#This Row],[Ordem]],"0000"),UPPER(LEFT(ConsumoConcreto[[#This Row],[Destino]],3)))</f>
        <v>0184CNSC0166PIL</v>
      </c>
      <c r="B935" s="1">
        <v>166</v>
      </c>
      <c r="C935" s="2" t="s">
        <v>2988</v>
      </c>
      <c r="D935" s="2" t="s">
        <v>1975</v>
      </c>
      <c r="E935" s="18">
        <v>27</v>
      </c>
      <c r="F935" s="2" t="s">
        <v>25</v>
      </c>
      <c r="G935" s="36"/>
      <c r="H935" s="2" t="s">
        <v>1962</v>
      </c>
      <c r="I9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35" s="22">
        <v>0.1</v>
      </c>
      <c r="K935" s="22">
        <v>0.1</v>
      </c>
      <c r="L935" s="37">
        <v>36892</v>
      </c>
      <c r="M935" s="2"/>
      <c r="N935" s="2" t="s">
        <v>1963</v>
      </c>
      <c r="O935" s="2" t="s">
        <v>27</v>
      </c>
      <c r="P935" s="2" t="s">
        <v>26</v>
      </c>
    </row>
    <row r="936" spans="1:16" ht="20.100000000000001" customHeight="1" x14ac:dyDescent="0.25">
      <c r="A936" s="26" t="str">
        <f>CONCATENATE(LEFT(ConsumoConcreto[[#This Row],[RecebimentoID]],4),"CNSC",TEXT(ConsumoConcreto[[#This Row],[Ordem]],"0000"),UPPER(LEFT(ConsumoConcreto[[#This Row],[Destino]],3)))</f>
        <v>0184CNSC0123RAD</v>
      </c>
      <c r="B936" s="1">
        <v>123</v>
      </c>
      <c r="C936" s="2" t="s">
        <v>2989</v>
      </c>
      <c r="D936" s="2" t="s">
        <v>1975</v>
      </c>
      <c r="E936" s="18">
        <v>27</v>
      </c>
      <c r="F936" s="2" t="s">
        <v>1801</v>
      </c>
      <c r="G936" s="36"/>
      <c r="H936" s="2" t="s">
        <v>1968</v>
      </c>
      <c r="I9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36" s="22">
        <v>8</v>
      </c>
      <c r="K936" s="22">
        <v>7</v>
      </c>
      <c r="L936" s="37">
        <v>36892</v>
      </c>
      <c r="M936" s="2" t="s">
        <v>1982</v>
      </c>
      <c r="N936" s="2" t="s">
        <v>1966</v>
      </c>
      <c r="O936" s="2" t="s">
        <v>27</v>
      </c>
      <c r="P936" s="2" t="s">
        <v>26</v>
      </c>
    </row>
    <row r="937" spans="1:16" ht="20.100000000000001" customHeight="1" x14ac:dyDescent="0.25">
      <c r="A937" s="26" t="str">
        <f>CONCATENATE(LEFT(ConsumoConcreto[[#This Row],[RecebimentoID]],4),"CNSC",TEXT(ConsumoConcreto[[#This Row],[Ordem]],"0000"),UPPER(LEFT(ConsumoConcreto[[#This Row],[Destino]],3)))</f>
        <v>0184CNSC0227PAR</v>
      </c>
      <c r="B937" s="1">
        <v>227</v>
      </c>
      <c r="C937" s="2" t="s">
        <v>2990</v>
      </c>
      <c r="D937" s="2" t="s">
        <v>1979</v>
      </c>
      <c r="E937" s="18">
        <v>27</v>
      </c>
      <c r="F937" s="2" t="s">
        <v>25</v>
      </c>
      <c r="G937" s="36">
        <v>0.90625</v>
      </c>
      <c r="H937" s="2" t="s">
        <v>1965</v>
      </c>
      <c r="I9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37" s="22">
        <v>14.5</v>
      </c>
      <c r="K937" s="22">
        <v>14.5</v>
      </c>
      <c r="L937" s="37">
        <v>36892</v>
      </c>
      <c r="M937" s="2"/>
      <c r="N937" s="2" t="s">
        <v>1966</v>
      </c>
      <c r="O937" s="2" t="s">
        <v>27</v>
      </c>
      <c r="P937" s="2" t="s">
        <v>26</v>
      </c>
    </row>
    <row r="938" spans="1:16" ht="20.100000000000001" customHeight="1" x14ac:dyDescent="0.25">
      <c r="A938" s="26" t="str">
        <f>CONCATENATE(LEFT(ConsumoConcreto[[#This Row],[RecebimentoID]],4),"CNSC",TEXT(ConsumoConcreto[[#This Row],[Ordem]],"0000"),UPPER(LEFT(ConsumoConcreto[[#This Row],[Destino]],3)))</f>
        <v>0184CNSC0205RAD</v>
      </c>
      <c r="B938" s="1">
        <v>205</v>
      </c>
      <c r="C938" s="2" t="s">
        <v>2991</v>
      </c>
      <c r="D938" s="2" t="s">
        <v>1979</v>
      </c>
      <c r="E938" s="18">
        <v>27</v>
      </c>
      <c r="F938" s="2" t="s">
        <v>1801</v>
      </c>
      <c r="G938" s="36"/>
      <c r="H938" s="2" t="s">
        <v>1968</v>
      </c>
      <c r="I9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38" s="22">
        <v>5.5</v>
      </c>
      <c r="K938" s="22">
        <v>5.4809999999999999</v>
      </c>
      <c r="L938" s="37">
        <v>36892</v>
      </c>
      <c r="M938" s="2"/>
      <c r="N938" s="2"/>
      <c r="O938" s="2" t="s">
        <v>27</v>
      </c>
      <c r="P938" s="2" t="s">
        <v>26</v>
      </c>
    </row>
    <row r="939" spans="1:16" ht="20.100000000000001" customHeight="1" x14ac:dyDescent="0.25">
      <c r="A939" s="26" t="str">
        <f>CONCATENATE(LEFT(ConsumoConcreto[[#This Row],[RecebimentoID]],4),"CNSC",TEXT(ConsumoConcreto[[#This Row],[Ordem]],"0000"),UPPER(LEFT(ConsumoConcreto[[#This Row],[Destino]],3)))</f>
        <v>0184CNSC0534PAR</v>
      </c>
      <c r="B939" s="1">
        <v>534</v>
      </c>
      <c r="C939" s="2" t="s">
        <v>2992</v>
      </c>
      <c r="D939" s="2" t="s">
        <v>2005</v>
      </c>
      <c r="E939" s="18">
        <v>27</v>
      </c>
      <c r="F939" s="2" t="s">
        <v>25</v>
      </c>
      <c r="G939" s="36">
        <v>0.73958333333333337</v>
      </c>
      <c r="H939" s="2" t="s">
        <v>1965</v>
      </c>
      <c r="I9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39" s="22">
        <v>18.5</v>
      </c>
      <c r="K939" s="22">
        <v>18.5</v>
      </c>
      <c r="L939" s="37">
        <v>36892</v>
      </c>
      <c r="M939" s="2"/>
      <c r="N939" s="2" t="s">
        <v>1966</v>
      </c>
      <c r="O939" s="2" t="s">
        <v>27</v>
      </c>
      <c r="P939" s="2" t="s">
        <v>26</v>
      </c>
    </row>
    <row r="940" spans="1:16" ht="20.100000000000001" customHeight="1" x14ac:dyDescent="0.25">
      <c r="A940" s="26" t="str">
        <f>CONCATENATE(LEFT(ConsumoConcreto[[#This Row],[RecebimentoID]],4),"CNSC",TEXT(ConsumoConcreto[[#This Row],[Ordem]],"0000"),UPPER(LEFT(ConsumoConcreto[[#This Row],[Destino]],3)))</f>
        <v>0184CNSC0491RAD</v>
      </c>
      <c r="B940" s="1">
        <v>491</v>
      </c>
      <c r="C940" s="2" t="s">
        <v>2993</v>
      </c>
      <c r="D940" s="2" t="s">
        <v>2005</v>
      </c>
      <c r="E940" s="18">
        <v>27</v>
      </c>
      <c r="F940" s="2" t="s">
        <v>1801</v>
      </c>
      <c r="G940" s="36">
        <v>0.66666666666666663</v>
      </c>
      <c r="H940" s="2" t="s">
        <v>1968</v>
      </c>
      <c r="I9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40" s="22">
        <v>7</v>
      </c>
      <c r="K940" s="22">
        <v>7</v>
      </c>
      <c r="L940" s="37">
        <v>36892</v>
      </c>
      <c r="M940" s="2"/>
      <c r="N940" s="2" t="s">
        <v>1963</v>
      </c>
      <c r="O940" s="2" t="s">
        <v>27</v>
      </c>
      <c r="P940" s="2" t="s">
        <v>26</v>
      </c>
    </row>
    <row r="941" spans="1:16" ht="20.100000000000001" customHeight="1" x14ac:dyDescent="0.25">
      <c r="A941" s="26" t="str">
        <f>CONCATENATE(LEFT(ConsumoConcreto[[#This Row],[RecebimentoID]],4),"CNSC",TEXT(ConsumoConcreto[[#This Row],[Ordem]],"0000"),UPPER(LEFT(ConsumoConcreto[[#This Row],[Destino]],3)))</f>
        <v>0184CNSC0591PAR</v>
      </c>
      <c r="B941" s="1">
        <v>591</v>
      </c>
      <c r="C941" s="2" t="s">
        <v>2994</v>
      </c>
      <c r="D941" s="2" t="s">
        <v>2007</v>
      </c>
      <c r="E941" s="18">
        <v>27</v>
      </c>
      <c r="F941" s="2" t="s">
        <v>25</v>
      </c>
      <c r="G941" s="36">
        <v>0.8125</v>
      </c>
      <c r="H941" s="2" t="s">
        <v>1965</v>
      </c>
      <c r="I9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41" s="22">
        <v>15</v>
      </c>
      <c r="K941" s="22">
        <v>15</v>
      </c>
      <c r="L941" s="37">
        <v>36892</v>
      </c>
      <c r="M941" s="2"/>
      <c r="N941" s="2" t="s">
        <v>1966</v>
      </c>
      <c r="O941" s="2" t="s">
        <v>27</v>
      </c>
      <c r="P941" s="2" t="s">
        <v>26</v>
      </c>
    </row>
    <row r="942" spans="1:16" ht="20.100000000000001" customHeight="1" x14ac:dyDescent="0.25">
      <c r="A942" s="26" t="str">
        <f>CONCATENATE(LEFT(ConsumoConcreto[[#This Row],[RecebimentoID]],4),"CNSC",TEXT(ConsumoConcreto[[#This Row],[Ordem]],"0000"),UPPER(LEFT(ConsumoConcreto[[#This Row],[Destino]],3)))</f>
        <v>0184CNSC0547RAD</v>
      </c>
      <c r="B942" s="1">
        <v>547</v>
      </c>
      <c r="C942" s="2" t="s">
        <v>2995</v>
      </c>
      <c r="D942" s="2" t="s">
        <v>2007</v>
      </c>
      <c r="E942" s="18">
        <v>27</v>
      </c>
      <c r="F942" s="2" t="s">
        <v>1801</v>
      </c>
      <c r="G942" s="36"/>
      <c r="H942" s="2" t="s">
        <v>1968</v>
      </c>
      <c r="I9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42" s="22">
        <v>5.5</v>
      </c>
      <c r="K942" s="22">
        <v>5.5</v>
      </c>
      <c r="L942" s="37">
        <v>36892</v>
      </c>
      <c r="M942" s="2"/>
      <c r="N942" s="2" t="s">
        <v>1963</v>
      </c>
      <c r="O942" s="2" t="s">
        <v>27</v>
      </c>
      <c r="P942" s="2" t="s">
        <v>26</v>
      </c>
    </row>
    <row r="943" spans="1:16" ht="20.100000000000001" customHeight="1" x14ac:dyDescent="0.25">
      <c r="A943" s="26" t="str">
        <f>CONCATENATE(LEFT(ConsumoConcreto[[#This Row],[RecebimentoID]],4),"CNSC",TEXT(ConsumoConcreto[[#This Row],[Ordem]],"0000"),UPPER(LEFT(ConsumoConcreto[[#This Row],[Destino]],3)))</f>
        <v>0184CNSC0652PAR</v>
      </c>
      <c r="B943" s="1">
        <v>652</v>
      </c>
      <c r="C943" s="2" t="s">
        <v>2996</v>
      </c>
      <c r="D943" s="2" t="s">
        <v>2010</v>
      </c>
      <c r="E943" s="18">
        <v>27</v>
      </c>
      <c r="F943" s="2" t="s">
        <v>25</v>
      </c>
      <c r="G943" s="36">
        <v>0.84444444444444444</v>
      </c>
      <c r="H943" s="2" t="s">
        <v>1965</v>
      </c>
      <c r="I9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43" s="22">
        <v>14</v>
      </c>
      <c r="K943" s="22">
        <v>14</v>
      </c>
      <c r="L943" s="37">
        <v>36892</v>
      </c>
      <c r="M943" s="2"/>
      <c r="N943" s="2" t="s">
        <v>1966</v>
      </c>
      <c r="O943" s="2" t="s">
        <v>27</v>
      </c>
      <c r="P943" s="2" t="s">
        <v>26</v>
      </c>
    </row>
    <row r="944" spans="1:16" ht="20.100000000000001" customHeight="1" x14ac:dyDescent="0.25">
      <c r="A944" s="26" t="str">
        <f>CONCATENATE(LEFT(ConsumoConcreto[[#This Row],[RecebimentoID]],4),"CNSC",TEXT(ConsumoConcreto[[#This Row],[Ordem]],"0000"),UPPER(LEFT(ConsumoConcreto[[#This Row],[Destino]],3)))</f>
        <v>0184CNSC0621RAD</v>
      </c>
      <c r="B944" s="1">
        <v>621</v>
      </c>
      <c r="C944" s="2" t="s">
        <v>2997</v>
      </c>
      <c r="D944" s="2" t="s">
        <v>2010</v>
      </c>
      <c r="E944" s="18">
        <v>27</v>
      </c>
      <c r="F944" s="2" t="s">
        <v>1801</v>
      </c>
      <c r="G944" s="36">
        <v>0.58680555555555558</v>
      </c>
      <c r="H944" s="2" t="s">
        <v>1968</v>
      </c>
      <c r="I9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44" s="22">
        <v>5.5</v>
      </c>
      <c r="K944" s="22">
        <v>5.5</v>
      </c>
      <c r="L944" s="37">
        <v>36892</v>
      </c>
      <c r="M944" s="2"/>
      <c r="N944" s="2" t="s">
        <v>1966</v>
      </c>
      <c r="O944" s="2" t="s">
        <v>27</v>
      </c>
      <c r="P944" s="2" t="s">
        <v>26</v>
      </c>
    </row>
    <row r="945" spans="1:16" ht="20.100000000000001" customHeight="1" x14ac:dyDescent="0.25">
      <c r="A945" s="26" t="str">
        <f>CONCATENATE(LEFT(ConsumoConcreto[[#This Row],[RecebimentoID]],4),"CNSC",TEXT(ConsumoConcreto[[#This Row],[Ordem]],"0000"),UPPER(LEFT(ConsumoConcreto[[#This Row],[Destino]],3)))</f>
        <v>0184CNSC0686PAR</v>
      </c>
      <c r="B945" s="1">
        <v>686</v>
      </c>
      <c r="C945" s="2" t="s">
        <v>2998</v>
      </c>
      <c r="D945" s="2" t="s">
        <v>2013</v>
      </c>
      <c r="E945" s="18">
        <v>27</v>
      </c>
      <c r="F945" s="2" t="s">
        <v>25</v>
      </c>
      <c r="G945" s="36">
        <v>0.82638888888888884</v>
      </c>
      <c r="H945" s="2" t="s">
        <v>1965</v>
      </c>
      <c r="I9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45" s="22">
        <v>15</v>
      </c>
      <c r="K945" s="22">
        <v>15</v>
      </c>
      <c r="L945" s="37">
        <v>36892</v>
      </c>
      <c r="M945" s="2" t="s">
        <v>1971</v>
      </c>
      <c r="N945" s="2" t="s">
        <v>1966</v>
      </c>
      <c r="O945" s="2" t="s">
        <v>27</v>
      </c>
      <c r="P945" s="2" t="s">
        <v>26</v>
      </c>
    </row>
    <row r="946" spans="1:16" ht="20.100000000000001" customHeight="1" x14ac:dyDescent="0.25">
      <c r="A946" s="26" t="str">
        <f>CONCATENATE(LEFT(ConsumoConcreto[[#This Row],[RecebimentoID]],4),"CNSC",TEXT(ConsumoConcreto[[#This Row],[Ordem]],"0000"),UPPER(LEFT(ConsumoConcreto[[#This Row],[Destino]],3)))</f>
        <v>0184CNSC0682RAD</v>
      </c>
      <c r="B946" s="1">
        <v>682</v>
      </c>
      <c r="C946" s="2" t="s">
        <v>2999</v>
      </c>
      <c r="D946" s="2" t="s">
        <v>2013</v>
      </c>
      <c r="E946" s="18">
        <v>27</v>
      </c>
      <c r="F946" s="2" t="s">
        <v>1801</v>
      </c>
      <c r="G946" s="36"/>
      <c r="H946" s="2" t="s">
        <v>1968</v>
      </c>
      <c r="I9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46" s="22">
        <v>7.33</v>
      </c>
      <c r="K946" s="22">
        <v>5.4809999999999999</v>
      </c>
      <c r="L946" s="37">
        <v>36892</v>
      </c>
      <c r="M946" s="2" t="s">
        <v>1971</v>
      </c>
      <c r="N946" s="2"/>
      <c r="O946" s="2" t="s">
        <v>27</v>
      </c>
      <c r="P946" s="2" t="s">
        <v>26</v>
      </c>
    </row>
    <row r="947" spans="1:16" ht="20.100000000000001" customHeight="1" x14ac:dyDescent="0.25">
      <c r="A947" s="26" t="str">
        <f>CONCATENATE(LEFT(ConsumoConcreto[[#This Row],[RecebimentoID]],4),"CNSC",TEXT(ConsumoConcreto[[#This Row],[Ordem]],"0000"),UPPER(LEFT(ConsumoConcreto[[#This Row],[Destino]],3)))</f>
        <v>0184CNSC0739PIL</v>
      </c>
      <c r="B947" s="1">
        <v>739</v>
      </c>
      <c r="C947" s="2" t="s">
        <v>3000</v>
      </c>
      <c r="D947" s="2" t="s">
        <v>2013</v>
      </c>
      <c r="E947" s="18">
        <v>27</v>
      </c>
      <c r="F947" s="2" t="s">
        <v>1801</v>
      </c>
      <c r="G947" s="36">
        <v>0.54166666666666663</v>
      </c>
      <c r="H947" s="2" t="s">
        <v>1962</v>
      </c>
      <c r="I9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47" s="22">
        <v>0.1</v>
      </c>
      <c r="K947" s="22">
        <v>0.1</v>
      </c>
      <c r="L947" s="37">
        <v>36892</v>
      </c>
      <c r="M947" s="2"/>
      <c r="N947" s="2" t="s">
        <v>1963</v>
      </c>
      <c r="O947" s="2" t="s">
        <v>27</v>
      </c>
      <c r="P947" s="2" t="s">
        <v>26</v>
      </c>
    </row>
    <row r="948" spans="1:16" ht="20.100000000000001" customHeight="1" x14ac:dyDescent="0.25">
      <c r="A948" s="26" t="str">
        <f>CONCATENATE(LEFT(ConsumoConcreto[[#This Row],[RecebimentoID]],4),"CNSC",TEXT(ConsumoConcreto[[#This Row],[Ordem]],"0000"),UPPER(LEFT(ConsumoConcreto[[#This Row],[Destino]],3)))</f>
        <v>0184CNSC0840PAR</v>
      </c>
      <c r="B948" s="1">
        <v>840</v>
      </c>
      <c r="C948" s="2" t="s">
        <v>3001</v>
      </c>
      <c r="D948" s="2" t="s">
        <v>2024</v>
      </c>
      <c r="E948" s="18">
        <v>27</v>
      </c>
      <c r="F948" s="2" t="s">
        <v>25</v>
      </c>
      <c r="G948" s="36">
        <v>0.71458333333333324</v>
      </c>
      <c r="H948" s="2" t="s">
        <v>1965</v>
      </c>
      <c r="I9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48" s="22">
        <v>14.5</v>
      </c>
      <c r="K948" s="22">
        <v>14.5</v>
      </c>
      <c r="L948" s="37">
        <v>36892</v>
      </c>
      <c r="M948" s="2"/>
      <c r="N948" s="2" t="s">
        <v>1966</v>
      </c>
      <c r="O948" s="2" t="s">
        <v>27</v>
      </c>
      <c r="P948" s="2" t="s">
        <v>26</v>
      </c>
    </row>
    <row r="949" spans="1:16" ht="20.100000000000001" customHeight="1" x14ac:dyDescent="0.25">
      <c r="A949" s="26" t="str">
        <f>CONCATENATE(LEFT(ConsumoConcreto[[#This Row],[RecebimentoID]],4),"CNSC",TEXT(ConsumoConcreto[[#This Row],[Ordem]],"0000"),UPPER(LEFT(ConsumoConcreto[[#This Row],[Destino]],3)))</f>
        <v>0184CNSC0824RAD</v>
      </c>
      <c r="B949" s="1">
        <v>824</v>
      </c>
      <c r="C949" s="2" t="s">
        <v>3002</v>
      </c>
      <c r="D949" s="2" t="s">
        <v>2024</v>
      </c>
      <c r="E949" s="18">
        <v>27</v>
      </c>
      <c r="F949" s="2" t="s">
        <v>1801</v>
      </c>
      <c r="G949" s="36">
        <v>0.67013888888888884</v>
      </c>
      <c r="H949" s="2" t="s">
        <v>1968</v>
      </c>
      <c r="I9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49" s="22">
        <v>5.5</v>
      </c>
      <c r="K949" s="22">
        <v>5.5</v>
      </c>
      <c r="L949" s="37">
        <v>36892</v>
      </c>
      <c r="M949" s="2"/>
      <c r="N949" s="2" t="s">
        <v>1963</v>
      </c>
      <c r="O949" s="2" t="s">
        <v>27</v>
      </c>
      <c r="P949" s="2" t="s">
        <v>26</v>
      </c>
    </row>
    <row r="950" spans="1:16" ht="20.100000000000001" customHeight="1" x14ac:dyDescent="0.25">
      <c r="A950" s="26" t="str">
        <f>CONCATENATE(LEFT(ConsumoConcreto[[#This Row],[RecebimentoID]],4),"CNSC",TEXT(ConsumoConcreto[[#This Row],[Ordem]],"0000"),UPPER(LEFT(ConsumoConcreto[[#This Row],[Destino]],3)))</f>
        <v>0184CNSC0884PAR</v>
      </c>
      <c r="B950" s="1">
        <v>884</v>
      </c>
      <c r="C950" s="2" t="s">
        <v>3003</v>
      </c>
      <c r="D950" s="2" t="s">
        <v>2027</v>
      </c>
      <c r="E950" s="18">
        <v>27</v>
      </c>
      <c r="F950" s="2" t="s">
        <v>25</v>
      </c>
      <c r="G950" s="36">
        <v>0.7715277777777777</v>
      </c>
      <c r="H950" s="2" t="s">
        <v>1965</v>
      </c>
      <c r="I9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50" s="22">
        <v>14.5</v>
      </c>
      <c r="K950" s="22">
        <v>14.5</v>
      </c>
      <c r="L950" s="37">
        <v>36892</v>
      </c>
      <c r="M950" s="2"/>
      <c r="N950" s="2" t="s">
        <v>1966</v>
      </c>
      <c r="O950" s="2" t="s">
        <v>27</v>
      </c>
      <c r="P950" s="2" t="s">
        <v>26</v>
      </c>
    </row>
    <row r="951" spans="1:16" ht="20.100000000000001" customHeight="1" x14ac:dyDescent="0.25">
      <c r="A951" s="26" t="str">
        <f>CONCATENATE(LEFT(ConsumoConcreto[[#This Row],[RecebimentoID]],4),"CNSC",TEXT(ConsumoConcreto[[#This Row],[Ordem]],"0000"),UPPER(LEFT(ConsumoConcreto[[#This Row],[Destino]],3)))</f>
        <v>0184CNSC0882RAD</v>
      </c>
      <c r="B951" s="1">
        <v>882</v>
      </c>
      <c r="C951" s="2" t="s">
        <v>3004</v>
      </c>
      <c r="D951" s="2" t="s">
        <v>2027</v>
      </c>
      <c r="E951" s="18">
        <v>27</v>
      </c>
      <c r="F951" s="2" t="s">
        <v>1801</v>
      </c>
      <c r="G951" s="36">
        <v>0.63194444444444442</v>
      </c>
      <c r="H951" s="2" t="s">
        <v>1968</v>
      </c>
      <c r="I9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51" s="22">
        <v>5.5</v>
      </c>
      <c r="K951" s="22">
        <v>5.5</v>
      </c>
      <c r="L951" s="37">
        <v>36892</v>
      </c>
      <c r="M951" s="2"/>
      <c r="N951" s="2" t="s">
        <v>1963</v>
      </c>
      <c r="O951" s="2" t="s">
        <v>27</v>
      </c>
      <c r="P951" s="2" t="s">
        <v>26</v>
      </c>
    </row>
    <row r="952" spans="1:16" ht="20.100000000000001" customHeight="1" x14ac:dyDescent="0.25">
      <c r="A952" s="26" t="str">
        <f>CONCATENATE(LEFT(ConsumoConcreto[[#This Row],[RecebimentoID]],4),"CNSC",TEXT(ConsumoConcreto[[#This Row],[Ordem]],"0000"),UPPER(LEFT(ConsumoConcreto[[#This Row],[Destino]],3)))</f>
        <v>0184CNSC0987PAR</v>
      </c>
      <c r="B952" s="1">
        <v>987</v>
      </c>
      <c r="C952" s="2" t="s">
        <v>3005</v>
      </c>
      <c r="D952" s="2" t="s">
        <v>2033</v>
      </c>
      <c r="E952" s="18">
        <v>27</v>
      </c>
      <c r="F952" s="2" t="s">
        <v>25</v>
      </c>
      <c r="G952" s="36">
        <v>0.77708333333333324</v>
      </c>
      <c r="H952" s="2" t="s">
        <v>1965</v>
      </c>
      <c r="I9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52" s="22">
        <v>18.5</v>
      </c>
      <c r="K952" s="22">
        <v>18.5</v>
      </c>
      <c r="L952" s="37">
        <v>36892</v>
      </c>
      <c r="M952" s="2"/>
      <c r="N952" s="2" t="s">
        <v>1966</v>
      </c>
      <c r="O952" s="2" t="s">
        <v>27</v>
      </c>
      <c r="P952" s="2" t="s">
        <v>26</v>
      </c>
    </row>
    <row r="953" spans="1:16" ht="20.100000000000001" customHeight="1" x14ac:dyDescent="0.25">
      <c r="A953" s="26" t="str">
        <f>CONCATENATE(LEFT(ConsumoConcreto[[#This Row],[RecebimentoID]],4),"CNSC",TEXT(ConsumoConcreto[[#This Row],[Ordem]],"0000"),UPPER(LEFT(ConsumoConcreto[[#This Row],[Destino]],3)))</f>
        <v>0184CNSC0945RAD</v>
      </c>
      <c r="B953" s="1">
        <v>945</v>
      </c>
      <c r="C953" s="2" t="s">
        <v>3006</v>
      </c>
      <c r="D953" s="2" t="s">
        <v>2033</v>
      </c>
      <c r="E953" s="18">
        <v>27</v>
      </c>
      <c r="F953" s="2" t="s">
        <v>1801</v>
      </c>
      <c r="G953" s="36">
        <v>0.46527777777777773</v>
      </c>
      <c r="H953" s="2" t="s">
        <v>1968</v>
      </c>
      <c r="I9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53" s="22">
        <v>7.5</v>
      </c>
      <c r="K953" s="22">
        <v>7.5</v>
      </c>
      <c r="L953" s="37">
        <v>36892</v>
      </c>
      <c r="M953" s="2" t="s">
        <v>2964</v>
      </c>
      <c r="N953" s="2" t="s">
        <v>1963</v>
      </c>
      <c r="O953" s="2" t="s">
        <v>27</v>
      </c>
      <c r="P953" s="2" t="s">
        <v>26</v>
      </c>
    </row>
    <row r="954" spans="1:16" ht="20.100000000000001" customHeight="1" x14ac:dyDescent="0.25">
      <c r="A954" s="26" t="str">
        <f>CONCATENATE(LEFT(ConsumoConcreto[[#This Row],[RecebimentoID]],4),"CNSC",TEXT(ConsumoConcreto[[#This Row],[Ordem]],"0000"),UPPER(LEFT(ConsumoConcreto[[#This Row],[Destino]],3)))</f>
        <v>0184CNSC1083PAR</v>
      </c>
      <c r="B954" s="1">
        <v>1083</v>
      </c>
      <c r="C954" s="2" t="s">
        <v>3007</v>
      </c>
      <c r="D954" s="2" t="s">
        <v>2036</v>
      </c>
      <c r="E954" s="18">
        <v>27</v>
      </c>
      <c r="F954" s="2" t="s">
        <v>25</v>
      </c>
      <c r="G954" s="36">
        <v>0.87986111111111109</v>
      </c>
      <c r="H954" s="2" t="s">
        <v>1965</v>
      </c>
      <c r="I9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54" s="22">
        <v>14.5</v>
      </c>
      <c r="K954" s="22">
        <v>14.5</v>
      </c>
      <c r="L954" s="37">
        <v>36892</v>
      </c>
      <c r="M954" s="2"/>
      <c r="N954" s="2" t="s">
        <v>1966</v>
      </c>
      <c r="O954" s="2" t="s">
        <v>27</v>
      </c>
      <c r="P954" s="2" t="s">
        <v>26</v>
      </c>
    </row>
    <row r="955" spans="1:16" ht="20.100000000000001" customHeight="1" x14ac:dyDescent="0.25">
      <c r="A955" s="26" t="str">
        <f>CONCATENATE(LEFT(ConsumoConcreto[[#This Row],[RecebimentoID]],4),"CNSC",TEXT(ConsumoConcreto[[#This Row],[Ordem]],"0000"),UPPER(LEFT(ConsumoConcreto[[#This Row],[Destino]],3)))</f>
        <v>0184CNSC1047RAD</v>
      </c>
      <c r="B955" s="1">
        <v>1047</v>
      </c>
      <c r="C955" s="2" t="s">
        <v>3008</v>
      </c>
      <c r="D955" s="2" t="s">
        <v>2036</v>
      </c>
      <c r="E955" s="18">
        <v>27</v>
      </c>
      <c r="F955" s="2" t="s">
        <v>1801</v>
      </c>
      <c r="G955" s="36">
        <v>0.63194444444444442</v>
      </c>
      <c r="H955" s="2" t="s">
        <v>1968</v>
      </c>
      <c r="I9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55" s="22">
        <v>5.5</v>
      </c>
      <c r="K955" s="22">
        <v>5.5</v>
      </c>
      <c r="L955" s="37">
        <v>36892</v>
      </c>
      <c r="M955" s="2"/>
      <c r="N955" s="2" t="s">
        <v>1963</v>
      </c>
      <c r="O955" s="2" t="s">
        <v>27</v>
      </c>
      <c r="P955" s="2" t="s">
        <v>26</v>
      </c>
    </row>
    <row r="956" spans="1:16" ht="20.100000000000001" customHeight="1" x14ac:dyDescent="0.25">
      <c r="A956" s="26" t="str">
        <f>CONCATENATE(LEFT(ConsumoConcreto[[#This Row],[RecebimentoID]],4),"CNSC",TEXT(ConsumoConcreto[[#This Row],[Ordem]],"0000"),UPPER(LEFT(ConsumoConcreto[[#This Row],[Destino]],3)))</f>
        <v>0184CNSC0132PAR</v>
      </c>
      <c r="B956" s="1">
        <v>132</v>
      </c>
      <c r="C956" s="2" t="s">
        <v>3009</v>
      </c>
      <c r="D956" s="2" t="s">
        <v>1975</v>
      </c>
      <c r="E956" s="18">
        <v>28</v>
      </c>
      <c r="F956" s="2" t="s">
        <v>25</v>
      </c>
      <c r="G956" s="36"/>
      <c r="H956" s="2" t="s">
        <v>1965</v>
      </c>
      <c r="I9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56" s="22">
        <v>18</v>
      </c>
      <c r="K956" s="22">
        <v>18</v>
      </c>
      <c r="L956" s="37">
        <v>36892</v>
      </c>
      <c r="M956" s="2"/>
      <c r="N956" s="2" t="s">
        <v>1966</v>
      </c>
      <c r="O956" s="2" t="s">
        <v>27</v>
      </c>
      <c r="P956" s="2" t="s">
        <v>26</v>
      </c>
    </row>
    <row r="957" spans="1:16" ht="20.100000000000001" customHeight="1" x14ac:dyDescent="0.25">
      <c r="A957" s="26" t="str">
        <f>CONCATENATE(LEFT(ConsumoConcreto[[#This Row],[RecebimentoID]],4),"CNSC",TEXT(ConsumoConcreto[[#This Row],[Ordem]],"0000"),UPPER(LEFT(ConsumoConcreto[[#This Row],[Destino]],3)))</f>
        <v>0184CNSC0167PIL</v>
      </c>
      <c r="B957" s="1">
        <v>167</v>
      </c>
      <c r="C957" s="2" t="s">
        <v>3010</v>
      </c>
      <c r="D957" s="2" t="s">
        <v>1975</v>
      </c>
      <c r="E957" s="18">
        <v>28</v>
      </c>
      <c r="F957" s="2" t="s">
        <v>25</v>
      </c>
      <c r="G957" s="36"/>
      <c r="H957" s="2" t="s">
        <v>1962</v>
      </c>
      <c r="I9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57" s="22">
        <v>0.1</v>
      </c>
      <c r="K957" s="22">
        <v>0.1</v>
      </c>
      <c r="L957" s="37">
        <v>36892</v>
      </c>
      <c r="M957" s="2"/>
      <c r="N957" s="2" t="s">
        <v>1963</v>
      </c>
      <c r="O957" s="2" t="s">
        <v>27</v>
      </c>
      <c r="P957" s="2" t="s">
        <v>26</v>
      </c>
    </row>
    <row r="958" spans="1:16" ht="20.100000000000001" customHeight="1" x14ac:dyDescent="0.25">
      <c r="A958" s="26" t="str">
        <f>CONCATENATE(LEFT(ConsumoConcreto[[#This Row],[RecebimentoID]],4),"CNSC",TEXT(ConsumoConcreto[[#This Row],[Ordem]],"0000"),UPPER(LEFT(ConsumoConcreto[[#This Row],[Destino]],3)))</f>
        <v>0184CNSC0124RAD</v>
      </c>
      <c r="B958" s="1">
        <v>124</v>
      </c>
      <c r="C958" s="2" t="s">
        <v>3011</v>
      </c>
      <c r="D958" s="2" t="s">
        <v>1975</v>
      </c>
      <c r="E958" s="18">
        <v>28</v>
      </c>
      <c r="F958" s="2" t="s">
        <v>1801</v>
      </c>
      <c r="G958" s="36"/>
      <c r="H958" s="2" t="s">
        <v>1968</v>
      </c>
      <c r="I9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58" s="22">
        <v>8</v>
      </c>
      <c r="K958" s="22">
        <v>7</v>
      </c>
      <c r="L958" s="37">
        <v>36892</v>
      </c>
      <c r="M958" s="2" t="s">
        <v>1982</v>
      </c>
      <c r="N958" s="2" t="s">
        <v>1966</v>
      </c>
      <c r="O958" s="2" t="s">
        <v>27</v>
      </c>
      <c r="P958" s="2" t="s">
        <v>26</v>
      </c>
    </row>
    <row r="959" spans="1:16" ht="20.100000000000001" customHeight="1" x14ac:dyDescent="0.25">
      <c r="A959" s="26" t="str">
        <f>CONCATENATE(LEFT(ConsumoConcreto[[#This Row],[RecebimentoID]],4),"CNSC",TEXT(ConsumoConcreto[[#This Row],[Ordem]],"0000"),UPPER(LEFT(ConsumoConcreto[[#This Row],[Destino]],3)))</f>
        <v>0184CNSC0226PAR</v>
      </c>
      <c r="B959" s="1">
        <v>226</v>
      </c>
      <c r="C959" s="2" t="s">
        <v>3012</v>
      </c>
      <c r="D959" s="2" t="s">
        <v>1979</v>
      </c>
      <c r="E959" s="18">
        <v>28</v>
      </c>
      <c r="F959" s="2" t="s">
        <v>25</v>
      </c>
      <c r="G959" s="36">
        <v>0.75</v>
      </c>
      <c r="H959" s="2" t="s">
        <v>1965</v>
      </c>
      <c r="I9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59" s="22">
        <v>14.5</v>
      </c>
      <c r="K959" s="22">
        <v>14.5</v>
      </c>
      <c r="L959" s="37">
        <v>36892</v>
      </c>
      <c r="M959" s="2"/>
      <c r="N959" s="2" t="s">
        <v>1966</v>
      </c>
      <c r="O959" s="2" t="s">
        <v>27</v>
      </c>
      <c r="P959" s="2" t="s">
        <v>26</v>
      </c>
    </row>
    <row r="960" spans="1:16" ht="20.100000000000001" customHeight="1" x14ac:dyDescent="0.25">
      <c r="A960" s="26" t="str">
        <f>CONCATENATE(LEFT(ConsumoConcreto[[#This Row],[RecebimentoID]],4),"CNSC",TEXT(ConsumoConcreto[[#This Row],[Ordem]],"0000"),UPPER(LEFT(ConsumoConcreto[[#This Row],[Destino]],3)))</f>
        <v>0184CNSC0206RAD</v>
      </c>
      <c r="B960" s="1">
        <v>206</v>
      </c>
      <c r="C960" s="2" t="s">
        <v>3013</v>
      </c>
      <c r="D960" s="2" t="s">
        <v>1979</v>
      </c>
      <c r="E960" s="18">
        <v>28</v>
      </c>
      <c r="F960" s="2" t="s">
        <v>1801</v>
      </c>
      <c r="G960" s="36"/>
      <c r="H960" s="2" t="s">
        <v>1968</v>
      </c>
      <c r="I9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60" s="22">
        <v>5.5</v>
      </c>
      <c r="K960" s="22">
        <v>5.4809999999999999</v>
      </c>
      <c r="L960" s="37">
        <v>36892</v>
      </c>
      <c r="M960" s="2"/>
      <c r="N960" s="2"/>
      <c r="O960" s="2" t="s">
        <v>27</v>
      </c>
      <c r="P960" s="2" t="s">
        <v>26</v>
      </c>
    </row>
    <row r="961" spans="1:16" ht="20.100000000000001" customHeight="1" x14ac:dyDescent="0.25">
      <c r="A961" s="26" t="str">
        <f>CONCATENATE(LEFT(ConsumoConcreto[[#This Row],[RecebimentoID]],4),"CNSC",TEXT(ConsumoConcreto[[#This Row],[Ordem]],"0000"),UPPER(LEFT(ConsumoConcreto[[#This Row],[Destino]],3)))</f>
        <v>0184CNSC0252PIL</v>
      </c>
      <c r="B961" s="1">
        <v>252</v>
      </c>
      <c r="C961" s="2" t="s">
        <v>3014</v>
      </c>
      <c r="D961" s="2" t="s">
        <v>1979</v>
      </c>
      <c r="E961" s="18">
        <v>28</v>
      </c>
      <c r="F961" s="2" t="s">
        <v>1801</v>
      </c>
      <c r="G961" s="36">
        <v>0.4375</v>
      </c>
      <c r="H961" s="2" t="s">
        <v>1962</v>
      </c>
      <c r="I9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61" s="22">
        <v>0.1</v>
      </c>
      <c r="K961" s="22">
        <v>0.1</v>
      </c>
      <c r="L961" s="37">
        <v>36892</v>
      </c>
      <c r="M961" s="2"/>
      <c r="N961" s="2" t="s">
        <v>1963</v>
      </c>
      <c r="O961" s="2" t="s">
        <v>27</v>
      </c>
      <c r="P961" s="2" t="s">
        <v>26</v>
      </c>
    </row>
    <row r="962" spans="1:16" ht="20.100000000000001" customHeight="1" x14ac:dyDescent="0.25">
      <c r="A962" s="26" t="str">
        <f>CONCATENATE(LEFT(ConsumoConcreto[[#This Row],[RecebimentoID]],4),"CNSC",TEXT(ConsumoConcreto[[#This Row],[Ordem]],"0000"),UPPER(LEFT(ConsumoConcreto[[#This Row],[Destino]],3)))</f>
        <v>0184CNSC0517PAR</v>
      </c>
      <c r="B962" s="1">
        <v>517</v>
      </c>
      <c r="C962" s="2" t="s">
        <v>3015</v>
      </c>
      <c r="D962" s="2" t="s">
        <v>2005</v>
      </c>
      <c r="E962" s="18">
        <v>28</v>
      </c>
      <c r="F962" s="2" t="s">
        <v>25</v>
      </c>
      <c r="G962" s="36">
        <v>0.54236111111111118</v>
      </c>
      <c r="H962" s="2" t="s">
        <v>1965</v>
      </c>
      <c r="I9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62" s="22">
        <v>14.5</v>
      </c>
      <c r="K962" s="22">
        <v>14.5</v>
      </c>
      <c r="L962" s="37">
        <v>36892</v>
      </c>
      <c r="M962" s="2"/>
      <c r="N962" s="2" t="s">
        <v>1966</v>
      </c>
      <c r="O962" s="2" t="s">
        <v>27</v>
      </c>
      <c r="P962" s="2" t="s">
        <v>26</v>
      </c>
    </row>
    <row r="963" spans="1:16" ht="20.100000000000001" customHeight="1" x14ac:dyDescent="0.25">
      <c r="A963" s="26" t="str">
        <f>CONCATENATE(LEFT(ConsumoConcreto[[#This Row],[RecebimentoID]],4),"CNSC",TEXT(ConsumoConcreto[[#This Row],[Ordem]],"0000"),UPPER(LEFT(ConsumoConcreto[[#This Row],[Destino]],3)))</f>
        <v>0184CNSC0499RAD</v>
      </c>
      <c r="B963" s="1">
        <v>499</v>
      </c>
      <c r="C963" s="2" t="s">
        <v>3016</v>
      </c>
      <c r="D963" s="2" t="s">
        <v>2005</v>
      </c>
      <c r="E963" s="18">
        <v>28</v>
      </c>
      <c r="F963" s="2" t="s">
        <v>1801</v>
      </c>
      <c r="G963" s="36">
        <v>0.64236111111111105</v>
      </c>
      <c r="H963" s="2" t="s">
        <v>1968</v>
      </c>
      <c r="I9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63" s="22">
        <v>6</v>
      </c>
      <c r="K963" s="22">
        <v>6</v>
      </c>
      <c r="L963" s="37">
        <v>36892</v>
      </c>
      <c r="M963" s="2"/>
      <c r="N963" s="2" t="s">
        <v>1963</v>
      </c>
      <c r="O963" s="2" t="s">
        <v>27</v>
      </c>
      <c r="P963" s="2" t="s">
        <v>26</v>
      </c>
    </row>
    <row r="964" spans="1:16" ht="20.100000000000001" customHeight="1" x14ac:dyDescent="0.25">
      <c r="A964" s="26" t="str">
        <f>CONCATENATE(LEFT(ConsumoConcreto[[#This Row],[RecebimentoID]],4),"CNSC",TEXT(ConsumoConcreto[[#This Row],[Ordem]],"0000"),UPPER(LEFT(ConsumoConcreto[[#This Row],[Destino]],3)))</f>
        <v>0184CNSC0664PAR</v>
      </c>
      <c r="B964" s="1">
        <v>664</v>
      </c>
      <c r="C964" s="2" t="s">
        <v>3017</v>
      </c>
      <c r="D964" s="2" t="s">
        <v>2010</v>
      </c>
      <c r="E964" s="18">
        <v>28</v>
      </c>
      <c r="F964" s="2" t="s">
        <v>25</v>
      </c>
      <c r="G964" s="36">
        <v>0.8354166666666667</v>
      </c>
      <c r="H964" s="2" t="s">
        <v>1965</v>
      </c>
      <c r="I9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64" s="22">
        <v>14.5</v>
      </c>
      <c r="K964" s="22">
        <v>14.5</v>
      </c>
      <c r="L964" s="37">
        <v>36892</v>
      </c>
      <c r="M964" s="2"/>
      <c r="N964" s="2" t="s">
        <v>1966</v>
      </c>
      <c r="O964" s="2" t="s">
        <v>27</v>
      </c>
      <c r="P964" s="2" t="s">
        <v>26</v>
      </c>
    </row>
    <row r="965" spans="1:16" ht="20.100000000000001" customHeight="1" x14ac:dyDescent="0.25">
      <c r="A965" s="26" t="str">
        <f>CONCATENATE(LEFT(ConsumoConcreto[[#This Row],[RecebimentoID]],4),"CNSC",TEXT(ConsumoConcreto[[#This Row],[Ordem]],"0000"),UPPER(LEFT(ConsumoConcreto[[#This Row],[Destino]],3)))</f>
        <v>0184CNSC0639RAD</v>
      </c>
      <c r="B965" s="1">
        <v>639</v>
      </c>
      <c r="C965" s="2" t="s">
        <v>3018</v>
      </c>
      <c r="D965" s="2" t="s">
        <v>2010</v>
      </c>
      <c r="E965" s="18">
        <v>28</v>
      </c>
      <c r="F965" s="2" t="s">
        <v>1801</v>
      </c>
      <c r="G965" s="36">
        <v>0.40347222222222223</v>
      </c>
      <c r="H965" s="2" t="s">
        <v>1968</v>
      </c>
      <c r="I9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65" s="22">
        <v>5.5</v>
      </c>
      <c r="K965" s="22">
        <v>5.5</v>
      </c>
      <c r="L965" s="37">
        <v>36892</v>
      </c>
      <c r="M965" s="2"/>
      <c r="N965" s="2" t="s">
        <v>1963</v>
      </c>
      <c r="O965" s="2" t="s">
        <v>27</v>
      </c>
      <c r="P965" s="2" t="s">
        <v>26</v>
      </c>
    </row>
    <row r="966" spans="1:16" ht="20.100000000000001" customHeight="1" x14ac:dyDescent="0.25">
      <c r="A966" s="26" t="str">
        <f>CONCATENATE(LEFT(ConsumoConcreto[[#This Row],[RecebimentoID]],4),"CNSC",TEXT(ConsumoConcreto[[#This Row],[Ordem]],"0000"),UPPER(LEFT(ConsumoConcreto[[#This Row],[Destino]],3)))</f>
        <v>0184CNSC0727PAR</v>
      </c>
      <c r="B966" s="1">
        <v>727</v>
      </c>
      <c r="C966" s="2" t="s">
        <v>3019</v>
      </c>
      <c r="D966" s="2" t="s">
        <v>2013</v>
      </c>
      <c r="E966" s="18">
        <v>28</v>
      </c>
      <c r="F966" s="2" t="s">
        <v>25</v>
      </c>
      <c r="G966" s="36">
        <v>0.70833333333333337</v>
      </c>
      <c r="H966" s="2" t="s">
        <v>1965</v>
      </c>
      <c r="I9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66" s="22">
        <v>14</v>
      </c>
      <c r="K966" s="22">
        <v>14</v>
      </c>
      <c r="L966" s="37">
        <v>36892</v>
      </c>
      <c r="M966" s="2"/>
      <c r="N966" s="2" t="s">
        <v>1966</v>
      </c>
      <c r="O966" s="2" t="s">
        <v>27</v>
      </c>
      <c r="P966" s="2" t="s">
        <v>26</v>
      </c>
    </row>
    <row r="967" spans="1:16" ht="20.100000000000001" customHeight="1" x14ac:dyDescent="0.25">
      <c r="A967" s="26" t="str">
        <f>CONCATENATE(LEFT(ConsumoConcreto[[#This Row],[RecebimentoID]],4),"CNSC",TEXT(ConsumoConcreto[[#This Row],[Ordem]],"0000"),UPPER(LEFT(ConsumoConcreto[[#This Row],[Destino]],3)))</f>
        <v>0184CNSC0703RAD</v>
      </c>
      <c r="B967" s="1">
        <v>703</v>
      </c>
      <c r="C967" s="2" t="s">
        <v>3020</v>
      </c>
      <c r="D967" s="2" t="s">
        <v>2013</v>
      </c>
      <c r="E967" s="18">
        <v>28</v>
      </c>
      <c r="F967" s="2" t="s">
        <v>1801</v>
      </c>
      <c r="G967" s="36">
        <v>0.49791666666666662</v>
      </c>
      <c r="H967" s="2" t="s">
        <v>1968</v>
      </c>
      <c r="I9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67" s="22">
        <v>5.5</v>
      </c>
      <c r="K967" s="22">
        <v>5.5</v>
      </c>
      <c r="L967" s="37">
        <v>36892</v>
      </c>
      <c r="M967" s="2"/>
      <c r="N967" s="2" t="s">
        <v>1966</v>
      </c>
      <c r="O967" s="2" t="s">
        <v>27</v>
      </c>
      <c r="P967" s="2" t="s">
        <v>26</v>
      </c>
    </row>
    <row r="968" spans="1:16" ht="20.100000000000001" customHeight="1" x14ac:dyDescent="0.25">
      <c r="A968" s="26" t="str">
        <f>CONCATENATE(LEFT(ConsumoConcreto[[#This Row],[RecebimentoID]],4),"CNSC",TEXT(ConsumoConcreto[[#This Row],[Ordem]],"0000"),UPPER(LEFT(ConsumoConcreto[[#This Row],[Destino]],3)))</f>
        <v>0184CNSC0864PAR</v>
      </c>
      <c r="B968" s="1">
        <v>864</v>
      </c>
      <c r="C968" s="2" t="s">
        <v>3021</v>
      </c>
      <c r="D968" s="2" t="s">
        <v>2024</v>
      </c>
      <c r="E968" s="18">
        <v>28</v>
      </c>
      <c r="F968" s="2" t="s">
        <v>25</v>
      </c>
      <c r="G968" s="36">
        <v>0.74097222222222225</v>
      </c>
      <c r="H968" s="2" t="s">
        <v>1965</v>
      </c>
      <c r="I9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68" s="22">
        <v>14.5</v>
      </c>
      <c r="K968" s="22">
        <v>14.5</v>
      </c>
      <c r="L968" s="37">
        <v>36892</v>
      </c>
      <c r="M968" s="2"/>
      <c r="N968" s="2" t="s">
        <v>1966</v>
      </c>
      <c r="O968" s="2" t="s">
        <v>27</v>
      </c>
      <c r="P968" s="2" t="s">
        <v>26</v>
      </c>
    </row>
    <row r="969" spans="1:16" ht="20.100000000000001" customHeight="1" x14ac:dyDescent="0.25">
      <c r="A969" s="26" t="str">
        <f>CONCATENATE(LEFT(ConsumoConcreto[[#This Row],[RecebimentoID]],4),"CNSC",TEXT(ConsumoConcreto[[#This Row],[Ordem]],"0000"),UPPER(LEFT(ConsumoConcreto[[#This Row],[Destino]],3)))</f>
        <v>0184CNSC0827RAD</v>
      </c>
      <c r="B969" s="1">
        <v>827</v>
      </c>
      <c r="C969" s="2" t="s">
        <v>3022</v>
      </c>
      <c r="D969" s="2" t="s">
        <v>2024</v>
      </c>
      <c r="E969" s="18">
        <v>28</v>
      </c>
      <c r="F969" s="2" t="s">
        <v>1801</v>
      </c>
      <c r="G969" s="36">
        <v>0.63888888888888895</v>
      </c>
      <c r="H969" s="2" t="s">
        <v>1968</v>
      </c>
      <c r="I9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69" s="22">
        <v>5.5</v>
      </c>
      <c r="K969" s="22">
        <v>5.5</v>
      </c>
      <c r="L969" s="37">
        <v>36892</v>
      </c>
      <c r="M969" s="2"/>
      <c r="N969" s="2" t="s">
        <v>1963</v>
      </c>
      <c r="O969" s="2" t="s">
        <v>27</v>
      </c>
      <c r="P969" s="2" t="s">
        <v>26</v>
      </c>
    </row>
    <row r="970" spans="1:16" ht="20.100000000000001" customHeight="1" x14ac:dyDescent="0.25">
      <c r="A970" s="26" t="str">
        <f>CONCATENATE(LEFT(ConsumoConcreto[[#This Row],[RecebimentoID]],4),"CNSC",TEXT(ConsumoConcreto[[#This Row],[Ordem]],"0000"),UPPER(LEFT(ConsumoConcreto[[#This Row],[Destino]],3)))</f>
        <v>0184CNSC0991PAR</v>
      </c>
      <c r="B970" s="1">
        <v>991</v>
      </c>
      <c r="C970" s="2" t="s">
        <v>3023</v>
      </c>
      <c r="D970" s="2" t="s">
        <v>2033</v>
      </c>
      <c r="E970" s="18">
        <v>28</v>
      </c>
      <c r="F970" s="2" t="s">
        <v>25</v>
      </c>
      <c r="G970" s="36">
        <v>0.80486111111111114</v>
      </c>
      <c r="H970" s="2" t="s">
        <v>1965</v>
      </c>
      <c r="I9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70" s="22">
        <v>14.5</v>
      </c>
      <c r="K970" s="22">
        <v>14.5</v>
      </c>
      <c r="L970" s="37">
        <v>36892</v>
      </c>
      <c r="M970" s="2"/>
      <c r="N970" s="2" t="s">
        <v>1966</v>
      </c>
      <c r="O970" s="2" t="s">
        <v>27</v>
      </c>
      <c r="P970" s="2" t="s">
        <v>26</v>
      </c>
    </row>
    <row r="971" spans="1:16" ht="20.100000000000001" customHeight="1" x14ac:dyDescent="0.25">
      <c r="A971" s="26" t="str">
        <f>CONCATENATE(LEFT(ConsumoConcreto[[#This Row],[RecebimentoID]],4),"CNSC",TEXT(ConsumoConcreto[[#This Row],[Ordem]],"0000"),UPPER(LEFT(ConsumoConcreto[[#This Row],[Destino]],3)))</f>
        <v>0184CNSC0966RAD</v>
      </c>
      <c r="B971" s="1">
        <v>966</v>
      </c>
      <c r="C971" s="2" t="s">
        <v>3024</v>
      </c>
      <c r="D971" s="2" t="s">
        <v>2033</v>
      </c>
      <c r="E971" s="18">
        <v>28</v>
      </c>
      <c r="F971" s="2" t="s">
        <v>1801</v>
      </c>
      <c r="G971" s="36">
        <v>0.67222222222222217</v>
      </c>
      <c r="H971" s="2" t="s">
        <v>1968</v>
      </c>
      <c r="I9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71" s="22">
        <v>6</v>
      </c>
      <c r="K971" s="22">
        <v>6</v>
      </c>
      <c r="L971" s="37">
        <v>36892</v>
      </c>
      <c r="M971" s="2"/>
      <c r="N971" s="2" t="s">
        <v>1966</v>
      </c>
      <c r="O971" s="2" t="s">
        <v>27</v>
      </c>
      <c r="P971" s="2" t="s">
        <v>26</v>
      </c>
    </row>
    <row r="972" spans="1:16" ht="20.100000000000001" customHeight="1" x14ac:dyDescent="0.25">
      <c r="A972" s="26" t="str">
        <f>CONCATENATE(LEFT(ConsumoConcreto[[#This Row],[RecebimentoID]],4),"CNSC",TEXT(ConsumoConcreto[[#This Row],[Ordem]],"0000"),UPPER(LEFT(ConsumoConcreto[[#This Row],[Destino]],3)))</f>
        <v>0184CNSC1084PAR</v>
      </c>
      <c r="B972" s="1">
        <v>1084</v>
      </c>
      <c r="C972" s="2" t="s">
        <v>3025</v>
      </c>
      <c r="D972" s="2" t="s">
        <v>2036</v>
      </c>
      <c r="E972" s="18">
        <v>28</v>
      </c>
      <c r="F972" s="2" t="s">
        <v>25</v>
      </c>
      <c r="G972" s="36">
        <v>0.73472222222222217</v>
      </c>
      <c r="H972" s="2" t="s">
        <v>1965</v>
      </c>
      <c r="I9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72" s="22">
        <v>14.5</v>
      </c>
      <c r="K972" s="22">
        <v>14.5</v>
      </c>
      <c r="L972" s="37">
        <v>36892</v>
      </c>
      <c r="M972" s="2"/>
      <c r="N972" s="2" t="s">
        <v>1966</v>
      </c>
      <c r="O972" s="2" t="s">
        <v>27</v>
      </c>
      <c r="P972" s="2" t="s">
        <v>26</v>
      </c>
    </row>
    <row r="973" spans="1:16" ht="20.100000000000001" customHeight="1" x14ac:dyDescent="0.25">
      <c r="A973" s="26" t="str">
        <f>CONCATENATE(LEFT(ConsumoConcreto[[#This Row],[RecebimentoID]],4),"CNSC",TEXT(ConsumoConcreto[[#This Row],[Ordem]],"0000"),UPPER(LEFT(ConsumoConcreto[[#This Row],[Destino]],3)))</f>
        <v>0184CNSC1023RAD</v>
      </c>
      <c r="B973" s="1">
        <v>1023</v>
      </c>
      <c r="C973" s="2" t="s">
        <v>3026</v>
      </c>
      <c r="D973" s="2" t="s">
        <v>2036</v>
      </c>
      <c r="E973" s="18">
        <v>28</v>
      </c>
      <c r="F973" s="2" t="s">
        <v>1801</v>
      </c>
      <c r="G973" s="36">
        <v>0.67708333333333337</v>
      </c>
      <c r="H973" s="2" t="s">
        <v>1968</v>
      </c>
      <c r="I9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73" s="22">
        <v>5.5</v>
      </c>
      <c r="K973" s="22">
        <v>5.5</v>
      </c>
      <c r="L973" s="37">
        <v>36892</v>
      </c>
      <c r="M973" s="2"/>
      <c r="N973" s="2" t="s">
        <v>1963</v>
      </c>
      <c r="O973" s="2" t="s">
        <v>27</v>
      </c>
      <c r="P973" s="2" t="s">
        <v>26</v>
      </c>
    </row>
    <row r="974" spans="1:16" ht="20.100000000000001" customHeight="1" x14ac:dyDescent="0.25">
      <c r="A974" s="26" t="str">
        <f>CONCATENATE(LEFT(ConsumoConcreto[[#This Row],[RecebimentoID]],4),"CNSC",TEXT(ConsumoConcreto[[#This Row],[Ordem]],"0000"),UPPER(LEFT(ConsumoConcreto[[#This Row],[Destino]],3)))</f>
        <v>0184CNSC0129PAR</v>
      </c>
      <c r="B974" s="1">
        <v>129</v>
      </c>
      <c r="C974" s="2" t="s">
        <v>3027</v>
      </c>
      <c r="D974" s="2" t="s">
        <v>1975</v>
      </c>
      <c r="E974" s="18">
        <v>29</v>
      </c>
      <c r="F974" s="2" t="s">
        <v>25</v>
      </c>
      <c r="G974" s="36"/>
      <c r="H974" s="2" t="s">
        <v>1965</v>
      </c>
      <c r="I9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74" s="22">
        <v>18</v>
      </c>
      <c r="K974" s="22">
        <v>18</v>
      </c>
      <c r="L974" s="37">
        <v>36892</v>
      </c>
      <c r="M974" s="2"/>
      <c r="N974" s="2" t="s">
        <v>1966</v>
      </c>
      <c r="O974" s="2" t="s">
        <v>27</v>
      </c>
      <c r="P974" s="2" t="s">
        <v>26</v>
      </c>
    </row>
    <row r="975" spans="1:16" ht="20.100000000000001" customHeight="1" x14ac:dyDescent="0.25">
      <c r="A975" s="26" t="str">
        <f>CONCATENATE(LEFT(ConsumoConcreto[[#This Row],[RecebimentoID]],4),"CNSC",TEXT(ConsumoConcreto[[#This Row],[Ordem]],"0000"),UPPER(LEFT(ConsumoConcreto[[#This Row],[Destino]],3)))</f>
        <v>0184CNSC0168PIL</v>
      </c>
      <c r="B975" s="1">
        <v>168</v>
      </c>
      <c r="C975" s="2" t="s">
        <v>3028</v>
      </c>
      <c r="D975" s="2" t="s">
        <v>1975</v>
      </c>
      <c r="E975" s="18">
        <v>29</v>
      </c>
      <c r="F975" s="2" t="s">
        <v>25</v>
      </c>
      <c r="G975" s="36"/>
      <c r="H975" s="2" t="s">
        <v>1962</v>
      </c>
      <c r="I9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75" s="22">
        <v>0.1</v>
      </c>
      <c r="K975" s="22">
        <v>0.1</v>
      </c>
      <c r="L975" s="37">
        <v>36892</v>
      </c>
      <c r="M975" s="2"/>
      <c r="N975" s="2" t="s">
        <v>1963</v>
      </c>
      <c r="O975" s="2" t="s">
        <v>27</v>
      </c>
      <c r="P975" s="2" t="s">
        <v>26</v>
      </c>
    </row>
    <row r="976" spans="1:16" ht="20.100000000000001" customHeight="1" x14ac:dyDescent="0.25">
      <c r="A976" s="26" t="str">
        <f>CONCATENATE(LEFT(ConsumoConcreto[[#This Row],[RecebimentoID]],4),"CNSC",TEXT(ConsumoConcreto[[#This Row],[Ordem]],"0000"),UPPER(LEFT(ConsumoConcreto[[#This Row],[Destino]],3)))</f>
        <v>0184CNSC0125RAD</v>
      </c>
      <c r="B976" s="1">
        <v>125</v>
      </c>
      <c r="C976" s="2" t="s">
        <v>3029</v>
      </c>
      <c r="D976" s="2" t="s">
        <v>1975</v>
      </c>
      <c r="E976" s="18">
        <v>29</v>
      </c>
      <c r="F976" s="2" t="s">
        <v>1801</v>
      </c>
      <c r="G976" s="36"/>
      <c r="H976" s="2" t="s">
        <v>1968</v>
      </c>
      <c r="I9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76" s="22">
        <v>8</v>
      </c>
      <c r="K976" s="22">
        <v>7</v>
      </c>
      <c r="L976" s="37">
        <v>36892</v>
      </c>
      <c r="M976" s="2" t="s">
        <v>1982</v>
      </c>
      <c r="N976" s="2" t="s">
        <v>1966</v>
      </c>
      <c r="O976" s="2" t="s">
        <v>27</v>
      </c>
      <c r="P976" s="2" t="s">
        <v>26</v>
      </c>
    </row>
    <row r="977" spans="1:16" ht="20.100000000000001" customHeight="1" x14ac:dyDescent="0.25">
      <c r="A977" s="26" t="str">
        <f>CONCATENATE(LEFT(ConsumoConcreto[[#This Row],[RecebimentoID]],4),"CNSC",TEXT(ConsumoConcreto[[#This Row],[Ordem]],"0000"),UPPER(LEFT(ConsumoConcreto[[#This Row],[Destino]],3)))</f>
        <v>0184CNSC0214PAR</v>
      </c>
      <c r="B977" s="1">
        <v>214</v>
      </c>
      <c r="C977" s="2" t="s">
        <v>3030</v>
      </c>
      <c r="D977" s="2" t="s">
        <v>1979</v>
      </c>
      <c r="E977" s="18">
        <v>29</v>
      </c>
      <c r="F977" s="2" t="s">
        <v>25</v>
      </c>
      <c r="G977" s="36"/>
      <c r="H977" s="2" t="s">
        <v>1965</v>
      </c>
      <c r="I9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77" s="22">
        <v>18</v>
      </c>
      <c r="K977" s="22">
        <v>18</v>
      </c>
      <c r="L977" s="37">
        <v>36892</v>
      </c>
      <c r="M977" s="2"/>
      <c r="N977" s="2" t="s">
        <v>1966</v>
      </c>
      <c r="O977" s="2" t="s">
        <v>27</v>
      </c>
      <c r="P977" s="2" t="s">
        <v>26</v>
      </c>
    </row>
    <row r="978" spans="1:16" ht="20.100000000000001" customHeight="1" x14ac:dyDescent="0.25">
      <c r="A978" s="26" t="str">
        <f>CONCATENATE(LEFT(ConsumoConcreto[[#This Row],[RecebimentoID]],4),"CNSC",TEXT(ConsumoConcreto[[#This Row],[Ordem]],"0000"),UPPER(LEFT(ConsumoConcreto[[#This Row],[Destino]],3)))</f>
        <v>0184CNSC0207RAD</v>
      </c>
      <c r="B978" s="1">
        <v>207</v>
      </c>
      <c r="C978" s="2" t="s">
        <v>3031</v>
      </c>
      <c r="D978" s="2" t="s">
        <v>1979</v>
      </c>
      <c r="E978" s="18">
        <v>29</v>
      </c>
      <c r="F978" s="2" t="s">
        <v>1801</v>
      </c>
      <c r="G978" s="36"/>
      <c r="H978" s="2" t="s">
        <v>1968</v>
      </c>
      <c r="I9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78" s="22">
        <v>7</v>
      </c>
      <c r="K978" s="22">
        <v>6.6989999999999998</v>
      </c>
      <c r="L978" s="37">
        <v>36892</v>
      </c>
      <c r="M978" s="2"/>
      <c r="N978" s="2"/>
      <c r="O978" s="2" t="s">
        <v>27</v>
      </c>
      <c r="P978" s="2" t="s">
        <v>26</v>
      </c>
    </row>
    <row r="979" spans="1:16" ht="20.100000000000001" customHeight="1" x14ac:dyDescent="0.25">
      <c r="A979" s="26" t="str">
        <f>CONCATENATE(LEFT(ConsumoConcreto[[#This Row],[RecebimentoID]],4),"CNSC",TEXT(ConsumoConcreto[[#This Row],[Ordem]],"0000"),UPPER(LEFT(ConsumoConcreto[[#This Row],[Destino]],3)))</f>
        <v>0184CNSC0533PAR</v>
      </c>
      <c r="B979" s="1">
        <v>533</v>
      </c>
      <c r="C979" s="2" t="s">
        <v>3032</v>
      </c>
      <c r="D979" s="2" t="s">
        <v>2005</v>
      </c>
      <c r="E979" s="18">
        <v>29</v>
      </c>
      <c r="F979" s="2" t="s">
        <v>25</v>
      </c>
      <c r="G979" s="36">
        <v>0.73263888888888884</v>
      </c>
      <c r="H979" s="2" t="s">
        <v>1965</v>
      </c>
      <c r="I9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79" s="22">
        <v>14.5</v>
      </c>
      <c r="K979" s="22">
        <v>14.5</v>
      </c>
      <c r="L979" s="37">
        <v>36892</v>
      </c>
      <c r="M979" s="2"/>
      <c r="N979" s="2" t="s">
        <v>1966</v>
      </c>
      <c r="O979" s="2" t="s">
        <v>27</v>
      </c>
      <c r="P979" s="2" t="s">
        <v>26</v>
      </c>
    </row>
    <row r="980" spans="1:16" ht="20.100000000000001" customHeight="1" x14ac:dyDescent="0.25">
      <c r="A980" s="26" t="str">
        <f>CONCATENATE(LEFT(ConsumoConcreto[[#This Row],[RecebimentoID]],4),"CNSC",TEXT(ConsumoConcreto[[#This Row],[Ordem]],"0000"),UPPER(LEFT(ConsumoConcreto[[#This Row],[Destino]],3)))</f>
        <v>0184CNSC0492RAD</v>
      </c>
      <c r="B980" s="1">
        <v>492</v>
      </c>
      <c r="C980" s="2" t="s">
        <v>3033</v>
      </c>
      <c r="D980" s="2" t="s">
        <v>2005</v>
      </c>
      <c r="E980" s="18">
        <v>29</v>
      </c>
      <c r="F980" s="2" t="s">
        <v>1801</v>
      </c>
      <c r="G980" s="36">
        <v>0.66666666666666663</v>
      </c>
      <c r="H980" s="2" t="s">
        <v>1968</v>
      </c>
      <c r="I9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80" s="22">
        <v>5.5</v>
      </c>
      <c r="K980" s="22">
        <v>5.5</v>
      </c>
      <c r="L980" s="37">
        <v>36892</v>
      </c>
      <c r="M980" s="2"/>
      <c r="N980" s="2" t="s">
        <v>1963</v>
      </c>
      <c r="O980" s="2" t="s">
        <v>27</v>
      </c>
      <c r="P980" s="2" t="s">
        <v>26</v>
      </c>
    </row>
    <row r="981" spans="1:16" ht="20.100000000000001" customHeight="1" x14ac:dyDescent="0.25">
      <c r="A981" s="26" t="str">
        <f>CONCATENATE(LEFT(ConsumoConcreto[[#This Row],[RecebimentoID]],4),"CNSC",TEXT(ConsumoConcreto[[#This Row],[Ordem]],"0000"),UPPER(LEFT(ConsumoConcreto[[#This Row],[Destino]],3)))</f>
        <v>0184CNSC0654PAR</v>
      </c>
      <c r="B981" s="1">
        <v>654</v>
      </c>
      <c r="C981" s="2" t="s">
        <v>3034</v>
      </c>
      <c r="D981" s="2" t="s">
        <v>2010</v>
      </c>
      <c r="E981" s="18">
        <v>29</v>
      </c>
      <c r="F981" s="2" t="s">
        <v>25</v>
      </c>
      <c r="G981" s="36">
        <v>0.88263888888888886</v>
      </c>
      <c r="H981" s="2" t="s">
        <v>1965</v>
      </c>
      <c r="I9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81" s="22">
        <v>14</v>
      </c>
      <c r="K981" s="22">
        <v>14</v>
      </c>
      <c r="L981" s="37">
        <v>36892</v>
      </c>
      <c r="M981" s="2"/>
      <c r="N981" s="2" t="s">
        <v>1966</v>
      </c>
      <c r="O981" s="2" t="s">
        <v>27</v>
      </c>
      <c r="P981" s="2" t="s">
        <v>26</v>
      </c>
    </row>
    <row r="982" spans="1:16" ht="20.100000000000001" customHeight="1" x14ac:dyDescent="0.25">
      <c r="A982" s="26" t="str">
        <f>CONCATENATE(LEFT(ConsumoConcreto[[#This Row],[RecebimentoID]],4),"CNSC",TEXT(ConsumoConcreto[[#This Row],[Ordem]],"0000"),UPPER(LEFT(ConsumoConcreto[[#This Row],[Destino]],3)))</f>
        <v>0184CNSC0622RAD</v>
      </c>
      <c r="B982" s="1">
        <v>622</v>
      </c>
      <c r="C982" s="2" t="s">
        <v>3035</v>
      </c>
      <c r="D982" s="2" t="s">
        <v>2010</v>
      </c>
      <c r="E982" s="18">
        <v>29</v>
      </c>
      <c r="F982" s="2" t="s">
        <v>1801</v>
      </c>
      <c r="G982" s="36">
        <v>0.66527777777777775</v>
      </c>
      <c r="H982" s="2" t="s">
        <v>1968</v>
      </c>
      <c r="I9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82" s="22">
        <v>5.5</v>
      </c>
      <c r="K982" s="22">
        <v>5.5</v>
      </c>
      <c r="L982" s="37">
        <v>36892</v>
      </c>
      <c r="M982" s="2"/>
      <c r="N982" s="2" t="s">
        <v>1966</v>
      </c>
      <c r="O982" s="2" t="s">
        <v>27</v>
      </c>
      <c r="P982" s="2" t="s">
        <v>26</v>
      </c>
    </row>
    <row r="983" spans="1:16" ht="20.100000000000001" customHeight="1" x14ac:dyDescent="0.25">
      <c r="A983" s="26" t="str">
        <f>CONCATENATE(LEFT(ConsumoConcreto[[#This Row],[RecebimentoID]],4),"CNSC",TEXT(ConsumoConcreto[[#This Row],[Ordem]],"0000"),UPPER(LEFT(ConsumoConcreto[[#This Row],[Destino]],3)))</f>
        <v>0184CNSC0717PAR</v>
      </c>
      <c r="B983" s="1">
        <v>717</v>
      </c>
      <c r="C983" s="2" t="s">
        <v>3036</v>
      </c>
      <c r="D983" s="2" t="s">
        <v>2013</v>
      </c>
      <c r="E983" s="18">
        <v>29</v>
      </c>
      <c r="F983" s="2" t="s">
        <v>25</v>
      </c>
      <c r="G983" s="36">
        <v>0.59027777777777779</v>
      </c>
      <c r="H983" s="2" t="s">
        <v>1965</v>
      </c>
      <c r="I9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83" s="22">
        <v>18</v>
      </c>
      <c r="K983" s="22">
        <v>18</v>
      </c>
      <c r="L983" s="37">
        <v>36892</v>
      </c>
      <c r="M983" s="2"/>
      <c r="N983" s="2" t="s">
        <v>1966</v>
      </c>
      <c r="O983" s="2" t="s">
        <v>27</v>
      </c>
      <c r="P983" s="2" t="s">
        <v>26</v>
      </c>
    </row>
    <row r="984" spans="1:16" ht="20.100000000000001" customHeight="1" x14ac:dyDescent="0.25">
      <c r="A984" s="26" t="str">
        <f>CONCATENATE(LEFT(ConsumoConcreto[[#This Row],[RecebimentoID]],4),"CNSC",TEXT(ConsumoConcreto[[#This Row],[Ordem]],"0000"),UPPER(LEFT(ConsumoConcreto[[#This Row],[Destino]],3)))</f>
        <v>0184CNSC0683RAD</v>
      </c>
      <c r="B984" s="1">
        <v>683</v>
      </c>
      <c r="C984" s="2" t="s">
        <v>3037</v>
      </c>
      <c r="D984" s="2" t="s">
        <v>2013</v>
      </c>
      <c r="E984" s="18">
        <v>29</v>
      </c>
      <c r="F984" s="2" t="s">
        <v>1801</v>
      </c>
      <c r="G984" s="36"/>
      <c r="H984" s="2" t="s">
        <v>1968</v>
      </c>
      <c r="I9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84" s="22">
        <v>7</v>
      </c>
      <c r="K984" s="22">
        <v>6.6989999999999998</v>
      </c>
      <c r="L984" s="37">
        <v>36892</v>
      </c>
      <c r="M984" s="2"/>
      <c r="N984" s="2"/>
      <c r="O984" s="2" t="s">
        <v>27</v>
      </c>
      <c r="P984" s="2" t="s">
        <v>26</v>
      </c>
    </row>
    <row r="985" spans="1:16" ht="20.100000000000001" customHeight="1" x14ac:dyDescent="0.25">
      <c r="A985" s="26" t="str">
        <f>CONCATENATE(LEFT(ConsumoConcreto[[#This Row],[RecebimentoID]],4),"CNSC",TEXT(ConsumoConcreto[[#This Row],[Ordem]],"0000"),UPPER(LEFT(ConsumoConcreto[[#This Row],[Destino]],3)))</f>
        <v>0184CNSC0740PIL</v>
      </c>
      <c r="B985" s="1">
        <v>740</v>
      </c>
      <c r="C985" s="2" t="s">
        <v>3038</v>
      </c>
      <c r="D985" s="2" t="s">
        <v>2013</v>
      </c>
      <c r="E985" s="18">
        <v>29</v>
      </c>
      <c r="F985" s="2" t="s">
        <v>1801</v>
      </c>
      <c r="G985" s="36">
        <v>0.54166666666666663</v>
      </c>
      <c r="H985" s="2" t="s">
        <v>1962</v>
      </c>
      <c r="I9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85" s="22">
        <v>0.1</v>
      </c>
      <c r="K985" s="22">
        <v>0.1</v>
      </c>
      <c r="L985" s="37">
        <v>36892</v>
      </c>
      <c r="M985" s="2"/>
      <c r="N985" s="2" t="s">
        <v>1963</v>
      </c>
      <c r="O985" s="2" t="s">
        <v>27</v>
      </c>
      <c r="P985" s="2" t="s">
        <v>26</v>
      </c>
    </row>
    <row r="986" spans="1:16" ht="20.100000000000001" customHeight="1" x14ac:dyDescent="0.25">
      <c r="A986" s="26" t="str">
        <f>CONCATENATE(LEFT(ConsumoConcreto[[#This Row],[RecebimentoID]],4),"CNSC",TEXT(ConsumoConcreto[[#This Row],[Ordem]],"0000"),UPPER(LEFT(ConsumoConcreto[[#This Row],[Destino]],3)))</f>
        <v>0184CNSC0867PAR</v>
      </c>
      <c r="B986" s="1">
        <v>867</v>
      </c>
      <c r="C986" s="2" t="s">
        <v>3039</v>
      </c>
      <c r="D986" s="2" t="s">
        <v>2024</v>
      </c>
      <c r="E986" s="18">
        <v>29</v>
      </c>
      <c r="F986" s="2" t="s">
        <v>25</v>
      </c>
      <c r="G986" s="36"/>
      <c r="H986" s="2" t="s">
        <v>1965</v>
      </c>
      <c r="I9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L986" s="37">
        <v>36892</v>
      </c>
      <c r="M986" s="2"/>
      <c r="N986" s="2" t="s">
        <v>1966</v>
      </c>
      <c r="O986" s="2" t="s">
        <v>27</v>
      </c>
      <c r="P986" s="2" t="s">
        <v>26</v>
      </c>
    </row>
    <row r="987" spans="1:16" ht="20.100000000000001" customHeight="1" x14ac:dyDescent="0.25">
      <c r="A987" s="26" t="str">
        <f>CONCATENATE(LEFT(ConsumoConcreto[[#This Row],[RecebimentoID]],4),"CNSC",TEXT(ConsumoConcreto[[#This Row],[Ordem]],"0000"),UPPER(LEFT(ConsumoConcreto[[#This Row],[Destino]],3)))</f>
        <v>0184CNSC0825RAD</v>
      </c>
      <c r="B987" s="1">
        <v>825</v>
      </c>
      <c r="C987" s="2" t="s">
        <v>3040</v>
      </c>
      <c r="D987" s="2" t="s">
        <v>2024</v>
      </c>
      <c r="E987" s="18">
        <v>29</v>
      </c>
      <c r="F987" s="2" t="s">
        <v>1801</v>
      </c>
      <c r="G987" s="36">
        <v>0.71875</v>
      </c>
      <c r="H987" s="2" t="s">
        <v>1968</v>
      </c>
      <c r="I9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87" s="22">
        <v>5.5</v>
      </c>
      <c r="K987" s="22">
        <v>5.5</v>
      </c>
      <c r="L987" s="37">
        <v>36892</v>
      </c>
      <c r="M987" s="2"/>
      <c r="N987" s="2" t="s">
        <v>1963</v>
      </c>
      <c r="O987" s="2" t="s">
        <v>27</v>
      </c>
      <c r="P987" s="2" t="s">
        <v>26</v>
      </c>
    </row>
    <row r="988" spans="1:16" ht="20.100000000000001" customHeight="1" x14ac:dyDescent="0.25">
      <c r="A988" s="26" t="str">
        <f>CONCATENATE(LEFT(ConsumoConcreto[[#This Row],[RecebimentoID]],4),"CNSC",TEXT(ConsumoConcreto[[#This Row],[Ordem]],"0000"),UPPER(LEFT(ConsumoConcreto[[#This Row],[Destino]],3)))</f>
        <v>0184CNSC0992PAR</v>
      </c>
      <c r="B988" s="1">
        <v>992</v>
      </c>
      <c r="C988" s="2" t="s">
        <v>3041</v>
      </c>
      <c r="D988" s="2" t="s">
        <v>2033</v>
      </c>
      <c r="E988" s="18">
        <v>29</v>
      </c>
      <c r="F988" s="2" t="s">
        <v>25</v>
      </c>
      <c r="G988" s="36">
        <v>0.86805555555555547</v>
      </c>
      <c r="H988" s="2" t="s">
        <v>1965</v>
      </c>
      <c r="I9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88" s="22">
        <v>18</v>
      </c>
      <c r="K988" s="22">
        <v>18</v>
      </c>
      <c r="L988" s="37">
        <v>36892</v>
      </c>
      <c r="M988" s="2"/>
      <c r="N988" s="2" t="s">
        <v>1966</v>
      </c>
      <c r="O988" s="2" t="s">
        <v>27</v>
      </c>
      <c r="P988" s="2" t="s">
        <v>26</v>
      </c>
    </row>
    <row r="989" spans="1:16" ht="20.100000000000001" customHeight="1" x14ac:dyDescent="0.25">
      <c r="A989" s="26" t="str">
        <f>CONCATENATE(LEFT(ConsumoConcreto[[#This Row],[RecebimentoID]],4),"CNSC",TEXT(ConsumoConcreto[[#This Row],[Ordem]],"0000"),UPPER(LEFT(ConsumoConcreto[[#This Row],[Destino]],3)))</f>
        <v>0184CNSC0956RAD</v>
      </c>
      <c r="B989" s="1">
        <v>956</v>
      </c>
      <c r="C989" s="2" t="s">
        <v>3042</v>
      </c>
      <c r="D989" s="2" t="s">
        <v>2033</v>
      </c>
      <c r="E989" s="18">
        <v>29</v>
      </c>
      <c r="F989" s="2" t="s">
        <v>1801</v>
      </c>
      <c r="G989" s="36">
        <v>0.65208333333333335</v>
      </c>
      <c r="H989" s="2" t="s">
        <v>1968</v>
      </c>
      <c r="I9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89" s="22">
        <v>7.5</v>
      </c>
      <c r="K989" s="22">
        <v>7.5</v>
      </c>
      <c r="L989" s="37">
        <v>36892</v>
      </c>
      <c r="M989" s="2"/>
      <c r="N989" s="2" t="s">
        <v>1963</v>
      </c>
      <c r="O989" s="2" t="s">
        <v>27</v>
      </c>
      <c r="P989" s="2" t="s">
        <v>26</v>
      </c>
    </row>
    <row r="990" spans="1:16" ht="20.100000000000001" customHeight="1" x14ac:dyDescent="0.25">
      <c r="A990" s="26" t="str">
        <f>CONCATENATE(LEFT(ConsumoConcreto[[#This Row],[RecebimentoID]],4),"CNSC",TEXT(ConsumoConcreto[[#This Row],[Ordem]],"0000"),UPPER(LEFT(ConsumoConcreto[[#This Row],[Destino]],3)))</f>
        <v>0184CNSC1085PAR</v>
      </c>
      <c r="B990" s="1">
        <v>1085</v>
      </c>
      <c r="C990" s="2" t="s">
        <v>3043</v>
      </c>
      <c r="D990" s="2" t="s">
        <v>2036</v>
      </c>
      <c r="E990" s="18">
        <v>29</v>
      </c>
      <c r="F990" s="2" t="s">
        <v>25</v>
      </c>
      <c r="G990" s="36">
        <v>0.76736111111111116</v>
      </c>
      <c r="H990" s="2" t="s">
        <v>1965</v>
      </c>
      <c r="I9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90" s="22">
        <v>14.5</v>
      </c>
      <c r="K990" s="22">
        <v>14.5</v>
      </c>
      <c r="L990" s="37">
        <v>36892</v>
      </c>
      <c r="M990" s="2"/>
      <c r="N990" s="2" t="s">
        <v>1966</v>
      </c>
      <c r="O990" s="2" t="s">
        <v>27</v>
      </c>
      <c r="P990" s="2" t="s">
        <v>26</v>
      </c>
    </row>
    <row r="991" spans="1:16" ht="20.100000000000001" customHeight="1" x14ac:dyDescent="0.25">
      <c r="A991" s="26" t="str">
        <f>CONCATENATE(LEFT(ConsumoConcreto[[#This Row],[RecebimentoID]],4),"CNSC",TEXT(ConsumoConcreto[[#This Row],[Ordem]],"0000"),UPPER(LEFT(ConsumoConcreto[[#This Row],[Destino]],3)))</f>
        <v>0184CNSC1048RAD</v>
      </c>
      <c r="B991" s="1">
        <v>1048</v>
      </c>
      <c r="C991" s="2" t="s">
        <v>3044</v>
      </c>
      <c r="D991" s="2" t="s">
        <v>2036</v>
      </c>
      <c r="E991" s="18">
        <v>29</v>
      </c>
      <c r="F991" s="2" t="s">
        <v>1801</v>
      </c>
      <c r="G991" s="36">
        <v>0.69097222222222221</v>
      </c>
      <c r="H991" s="2" t="s">
        <v>1968</v>
      </c>
      <c r="I9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91" s="22">
        <v>5.5</v>
      </c>
      <c r="K991" s="22">
        <v>5.5</v>
      </c>
      <c r="L991" s="37">
        <v>36892</v>
      </c>
      <c r="M991" s="2"/>
      <c r="N991" s="2" t="s">
        <v>1963</v>
      </c>
      <c r="O991" s="2" t="s">
        <v>27</v>
      </c>
      <c r="P991" s="2" t="s">
        <v>26</v>
      </c>
    </row>
    <row r="992" spans="1:16" ht="20.100000000000001" customHeight="1" x14ac:dyDescent="0.25">
      <c r="A992" s="26" t="str">
        <f>CONCATENATE(LEFT(ConsumoConcreto[[#This Row],[RecebimentoID]],4),"CNSC",TEXT(ConsumoConcreto[[#This Row],[Ordem]],"0000"),UPPER(LEFT(ConsumoConcreto[[#This Row],[Destino]],3)))</f>
        <v>0184CNSC0127PAR</v>
      </c>
      <c r="B992" s="1">
        <v>127</v>
      </c>
      <c r="C992" s="2" t="s">
        <v>3045</v>
      </c>
      <c r="D992" s="2" t="s">
        <v>1975</v>
      </c>
      <c r="E992" s="18">
        <v>30</v>
      </c>
      <c r="F992" s="2" t="s">
        <v>25</v>
      </c>
      <c r="G992" s="36"/>
      <c r="H992" s="2" t="s">
        <v>1965</v>
      </c>
      <c r="I9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92" s="22">
        <v>18</v>
      </c>
      <c r="K992" s="22">
        <v>18</v>
      </c>
      <c r="L992" s="37">
        <v>36892</v>
      </c>
      <c r="M992" s="2" t="s">
        <v>1976</v>
      </c>
      <c r="N992" s="2" t="s">
        <v>1966</v>
      </c>
      <c r="O992" s="2" t="s">
        <v>27</v>
      </c>
      <c r="P992" s="2" t="s">
        <v>26</v>
      </c>
    </row>
    <row r="993" spans="1:16" ht="20.100000000000001" customHeight="1" x14ac:dyDescent="0.25">
      <c r="A993" s="26" t="str">
        <f>CONCATENATE(LEFT(ConsumoConcreto[[#This Row],[RecebimentoID]],4),"CNSC",TEXT(ConsumoConcreto[[#This Row],[Ordem]],"0000"),UPPER(LEFT(ConsumoConcreto[[#This Row],[Destino]],3)))</f>
        <v>0184CNSC0169PIL</v>
      </c>
      <c r="B993" s="1">
        <v>169</v>
      </c>
      <c r="C993" s="2" t="s">
        <v>3046</v>
      </c>
      <c r="D993" s="2" t="s">
        <v>1975</v>
      </c>
      <c r="E993" s="18">
        <v>30</v>
      </c>
      <c r="F993" s="2" t="s">
        <v>25</v>
      </c>
      <c r="G993" s="36"/>
      <c r="H993" s="2" t="s">
        <v>1962</v>
      </c>
      <c r="I9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0.1</v>
      </c>
      <c r="J993" s="22">
        <v>0.1</v>
      </c>
      <c r="K993" s="22">
        <v>0.1</v>
      </c>
      <c r="L993" s="37">
        <v>36892</v>
      </c>
      <c r="M993" s="2"/>
      <c r="N993" s="2" t="s">
        <v>1963</v>
      </c>
      <c r="O993" s="2" t="s">
        <v>27</v>
      </c>
      <c r="P993" s="2" t="s">
        <v>26</v>
      </c>
    </row>
    <row r="994" spans="1:16" ht="20.100000000000001" customHeight="1" x14ac:dyDescent="0.25">
      <c r="A994" s="26" t="str">
        <f>CONCATENATE(LEFT(ConsumoConcreto[[#This Row],[RecebimentoID]],4),"CNSC",TEXT(ConsumoConcreto[[#This Row],[Ordem]],"0000"),UPPER(LEFT(ConsumoConcreto[[#This Row],[Destino]],3)))</f>
        <v>0184CNSC0097RAD</v>
      </c>
      <c r="B994" s="1">
        <v>97</v>
      </c>
      <c r="C994" s="2" t="s">
        <v>3047</v>
      </c>
      <c r="D994" s="2" t="s">
        <v>1975</v>
      </c>
      <c r="E994" s="18">
        <v>30</v>
      </c>
      <c r="F994" s="2" t="s">
        <v>1801</v>
      </c>
      <c r="G994" s="36"/>
      <c r="H994" s="2" t="s">
        <v>1968</v>
      </c>
      <c r="I9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94" s="22">
        <v>7</v>
      </c>
      <c r="K994" s="22">
        <v>6.6989999999999998</v>
      </c>
      <c r="L994" s="37">
        <v>36892</v>
      </c>
      <c r="M994" s="2"/>
      <c r="N994" s="2"/>
      <c r="O994" s="2" t="s">
        <v>27</v>
      </c>
      <c r="P994" s="2" t="s">
        <v>26</v>
      </c>
    </row>
    <row r="995" spans="1:16" ht="20.100000000000001" customHeight="1" x14ac:dyDescent="0.25">
      <c r="A995" s="26" t="str">
        <f>CONCATENATE(LEFT(ConsumoConcreto[[#This Row],[RecebimentoID]],4),"CNSC",TEXT(ConsumoConcreto[[#This Row],[Ordem]],"0000"),UPPER(LEFT(ConsumoConcreto[[#This Row],[Destino]],3)))</f>
        <v>0184CNSC0213PAR</v>
      </c>
      <c r="B995" s="1">
        <v>213</v>
      </c>
      <c r="C995" s="2" t="s">
        <v>3048</v>
      </c>
      <c r="D995" s="2" t="s">
        <v>1979</v>
      </c>
      <c r="E995" s="18">
        <v>30</v>
      </c>
      <c r="F995" s="2" t="s">
        <v>25</v>
      </c>
      <c r="G995" s="36"/>
      <c r="H995" s="2" t="s">
        <v>1965</v>
      </c>
      <c r="I9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95" s="22">
        <v>18</v>
      </c>
      <c r="K995" s="22">
        <v>18</v>
      </c>
      <c r="L995" s="37">
        <v>36892</v>
      </c>
      <c r="M995" s="2"/>
      <c r="N995" s="2" t="s">
        <v>1966</v>
      </c>
      <c r="O995" s="2" t="s">
        <v>27</v>
      </c>
      <c r="P995" s="2" t="s">
        <v>26</v>
      </c>
    </row>
    <row r="996" spans="1:16" ht="20.100000000000001" customHeight="1" x14ac:dyDescent="0.25">
      <c r="A996" s="26" t="str">
        <f>CONCATENATE(LEFT(ConsumoConcreto[[#This Row],[RecebimentoID]],4),"CNSC",TEXT(ConsumoConcreto[[#This Row],[Ordem]],"0000"),UPPER(LEFT(ConsumoConcreto[[#This Row],[Destino]],3)))</f>
        <v>0184CNSC0208RAD</v>
      </c>
      <c r="B996" s="1">
        <v>208</v>
      </c>
      <c r="C996" s="2" t="s">
        <v>3049</v>
      </c>
      <c r="D996" s="2" t="s">
        <v>1979</v>
      </c>
      <c r="E996" s="18">
        <v>30</v>
      </c>
      <c r="F996" s="2" t="s">
        <v>1801</v>
      </c>
      <c r="G996" s="36"/>
      <c r="H996" s="2" t="s">
        <v>1968</v>
      </c>
      <c r="I9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996" s="22">
        <v>7</v>
      </c>
      <c r="K996" s="22">
        <v>6.6989999999999998</v>
      </c>
      <c r="L996" s="37">
        <v>36892</v>
      </c>
      <c r="M996" s="2"/>
      <c r="N996" s="2"/>
      <c r="O996" s="2" t="s">
        <v>27</v>
      </c>
      <c r="P996" s="2" t="s">
        <v>26</v>
      </c>
    </row>
    <row r="997" spans="1:16" ht="20.100000000000001" customHeight="1" x14ac:dyDescent="0.25">
      <c r="A997" s="26" t="str">
        <f>CONCATENATE(LEFT(ConsumoConcreto[[#This Row],[RecebimentoID]],4),"CNSC",TEXT(ConsumoConcreto[[#This Row],[Ordem]],"0000"),UPPER(LEFT(ConsumoConcreto[[#This Row],[Destino]],3)))</f>
        <v>0184CNSC0519PAR</v>
      </c>
      <c r="B997" s="1">
        <v>519</v>
      </c>
      <c r="C997" s="2" t="s">
        <v>3050</v>
      </c>
      <c r="D997" s="2" t="s">
        <v>2005</v>
      </c>
      <c r="E997" s="18">
        <v>30</v>
      </c>
      <c r="F997" s="2" t="s">
        <v>25</v>
      </c>
      <c r="G997" s="36">
        <v>0.7319444444444444</v>
      </c>
      <c r="H997" s="2" t="s">
        <v>1965</v>
      </c>
      <c r="I9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997" s="22">
        <v>14.5</v>
      </c>
      <c r="K997" s="22">
        <v>14.5</v>
      </c>
      <c r="L997" s="37">
        <v>36892</v>
      </c>
      <c r="M997" s="2"/>
      <c r="N997" s="2" t="s">
        <v>1966</v>
      </c>
      <c r="O997" s="2" t="s">
        <v>27</v>
      </c>
      <c r="P997" s="2" t="s">
        <v>26</v>
      </c>
    </row>
    <row r="998" spans="1:16" ht="20.100000000000001" customHeight="1" x14ac:dyDescent="0.25">
      <c r="A998" s="26" t="str">
        <f>CONCATENATE(LEFT(ConsumoConcreto[[#This Row],[RecebimentoID]],4),"CNSC",TEXT(ConsumoConcreto[[#This Row],[Ordem]],"0000"),UPPER(LEFT(ConsumoConcreto[[#This Row],[Destino]],3)))</f>
        <v>0184CNSC0500RAD</v>
      </c>
      <c r="B998" s="1">
        <v>500</v>
      </c>
      <c r="C998" s="2" t="s">
        <v>3051</v>
      </c>
      <c r="D998" s="2" t="s">
        <v>2005</v>
      </c>
      <c r="E998" s="18">
        <v>30</v>
      </c>
      <c r="F998" s="2" t="s">
        <v>1801</v>
      </c>
      <c r="G998" s="36">
        <v>0.57291666666666663</v>
      </c>
      <c r="H998" s="2" t="s">
        <v>1968</v>
      </c>
      <c r="I9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998" s="22">
        <v>5.5</v>
      </c>
      <c r="K998" s="22">
        <v>5.5</v>
      </c>
      <c r="L998" s="37">
        <v>36892</v>
      </c>
      <c r="M998" s="2"/>
      <c r="N998" s="2" t="s">
        <v>1963</v>
      </c>
      <c r="O998" s="2" t="s">
        <v>27</v>
      </c>
      <c r="P998" s="2" t="s">
        <v>26</v>
      </c>
    </row>
    <row r="999" spans="1:16" ht="20.100000000000001" customHeight="1" x14ac:dyDescent="0.25">
      <c r="A999" s="26" t="str">
        <f>CONCATENATE(LEFT(ConsumoConcreto[[#This Row],[RecebimentoID]],4),"CNSC",TEXT(ConsumoConcreto[[#This Row],[Ordem]],"0000"),UPPER(LEFT(ConsumoConcreto[[#This Row],[Destino]],3)))</f>
        <v>0184CNSC0666PAR</v>
      </c>
      <c r="B999" s="1">
        <v>666</v>
      </c>
      <c r="C999" s="2" t="s">
        <v>3052</v>
      </c>
      <c r="D999" s="2" t="s">
        <v>2010</v>
      </c>
      <c r="E999" s="18">
        <v>30</v>
      </c>
      <c r="F999" s="2" t="s">
        <v>25</v>
      </c>
      <c r="G999" s="36">
        <v>0.87986111111111109</v>
      </c>
      <c r="H999" s="2" t="s">
        <v>1965</v>
      </c>
      <c r="I9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999" s="22">
        <v>18</v>
      </c>
      <c r="K999" s="22">
        <v>18</v>
      </c>
      <c r="L999" s="37">
        <v>36892</v>
      </c>
      <c r="M999" s="2"/>
      <c r="N999" s="2" t="s">
        <v>1966</v>
      </c>
      <c r="O999" s="2" t="s">
        <v>27</v>
      </c>
      <c r="P999" s="2" t="s">
        <v>26</v>
      </c>
    </row>
    <row r="1000" spans="1:16" ht="20.100000000000001" customHeight="1" x14ac:dyDescent="0.25">
      <c r="A1000" s="26" t="str">
        <f>CONCATENATE(LEFT(ConsumoConcreto[[#This Row],[RecebimentoID]],4),"CNSC",TEXT(ConsumoConcreto[[#This Row],[Ordem]],"0000"),UPPER(LEFT(ConsumoConcreto[[#This Row],[Destino]],3)))</f>
        <v>0184CNSC0645RAD</v>
      </c>
      <c r="B1000" s="1">
        <v>645</v>
      </c>
      <c r="C1000" s="2" t="s">
        <v>3053</v>
      </c>
      <c r="D1000" s="2" t="s">
        <v>2010</v>
      </c>
      <c r="E1000" s="18">
        <v>30</v>
      </c>
      <c r="F1000" s="2" t="s">
        <v>1801</v>
      </c>
      <c r="G1000" s="36">
        <v>0.43958333333333338</v>
      </c>
      <c r="H1000" s="2" t="s">
        <v>1968</v>
      </c>
      <c r="I10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00" s="22">
        <v>7</v>
      </c>
      <c r="K1000" s="22">
        <v>7</v>
      </c>
      <c r="L1000" s="37">
        <v>36892</v>
      </c>
      <c r="M1000" s="2"/>
      <c r="N1000" s="2" t="s">
        <v>1963</v>
      </c>
      <c r="O1000" s="2" t="s">
        <v>27</v>
      </c>
      <c r="P1000" s="2" t="s">
        <v>26</v>
      </c>
    </row>
    <row r="1001" spans="1:16" ht="20.100000000000001" customHeight="1" x14ac:dyDescent="0.25">
      <c r="A1001" s="26" t="str">
        <f>CONCATENATE(LEFT(ConsumoConcreto[[#This Row],[RecebimentoID]],4),"CNSC",TEXT(ConsumoConcreto[[#This Row],[Ordem]],"0000"),UPPER(LEFT(ConsumoConcreto[[#This Row],[Destino]],3)))</f>
        <v>0184CNSC0725PAR</v>
      </c>
      <c r="B1001" s="1">
        <v>725</v>
      </c>
      <c r="C1001" s="2" t="s">
        <v>3054</v>
      </c>
      <c r="D1001" s="2" t="s">
        <v>2013</v>
      </c>
      <c r="E1001" s="18">
        <v>30</v>
      </c>
      <c r="F1001" s="2" t="s">
        <v>25</v>
      </c>
      <c r="G1001" s="36">
        <v>0.78263888888888899</v>
      </c>
      <c r="H1001" s="2" t="s">
        <v>1965</v>
      </c>
      <c r="I10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01" s="22">
        <v>14</v>
      </c>
      <c r="K1001" s="22">
        <v>14</v>
      </c>
      <c r="L1001" s="37">
        <v>36892</v>
      </c>
      <c r="M1001" s="2" t="s">
        <v>2082</v>
      </c>
      <c r="N1001" s="2" t="s">
        <v>1966</v>
      </c>
      <c r="O1001" s="2" t="s">
        <v>27</v>
      </c>
      <c r="P1001" s="2" t="s">
        <v>26</v>
      </c>
    </row>
    <row r="1002" spans="1:16" ht="20.100000000000001" customHeight="1" x14ac:dyDescent="0.25">
      <c r="A1002" s="26" t="str">
        <f>CONCATENATE(LEFT(ConsumoConcreto[[#This Row],[RecebimentoID]],4),"CNSC",TEXT(ConsumoConcreto[[#This Row],[Ordem]],"0000"),UPPER(LEFT(ConsumoConcreto[[#This Row],[Destino]],3)))</f>
        <v>0184CNSC0704RAD</v>
      </c>
      <c r="B1002" s="1">
        <v>704</v>
      </c>
      <c r="C1002" s="2" t="s">
        <v>3055</v>
      </c>
      <c r="D1002" s="2" t="s">
        <v>2013</v>
      </c>
      <c r="E1002" s="18">
        <v>30</v>
      </c>
      <c r="F1002" s="2" t="s">
        <v>1801</v>
      </c>
      <c r="G1002" s="36">
        <v>0.43541666666666662</v>
      </c>
      <c r="H1002" s="2" t="s">
        <v>1968</v>
      </c>
      <c r="I10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02" s="22">
        <v>5.5</v>
      </c>
      <c r="K1002" s="22">
        <v>5.5</v>
      </c>
      <c r="L1002" s="37">
        <v>36892</v>
      </c>
      <c r="M1002" s="2"/>
      <c r="N1002" s="2" t="s">
        <v>1966</v>
      </c>
      <c r="O1002" s="2" t="s">
        <v>27</v>
      </c>
      <c r="P1002" s="2" t="s">
        <v>26</v>
      </c>
    </row>
    <row r="1003" spans="1:16" ht="20.100000000000001" customHeight="1" x14ac:dyDescent="0.25">
      <c r="A1003" s="26" t="str">
        <f>CONCATENATE(LEFT(ConsumoConcreto[[#This Row],[RecebimentoID]],4),"CNSC",TEXT(ConsumoConcreto[[#This Row],[Ordem]],"0000"),UPPER(LEFT(ConsumoConcreto[[#This Row],[Destino]],3)))</f>
        <v>0184CNSC0838PAR</v>
      </c>
      <c r="B1003" s="1">
        <v>838</v>
      </c>
      <c r="C1003" s="2" t="s">
        <v>3056</v>
      </c>
      <c r="D1003" s="2" t="s">
        <v>2024</v>
      </c>
      <c r="E1003" s="18">
        <v>30</v>
      </c>
      <c r="F1003" s="2" t="s">
        <v>25</v>
      </c>
      <c r="G1003" s="36">
        <v>0.70208333333333339</v>
      </c>
      <c r="H1003" s="2" t="s">
        <v>1965</v>
      </c>
      <c r="I10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03" s="22">
        <v>14.5</v>
      </c>
      <c r="K1003" s="22">
        <v>14.5</v>
      </c>
      <c r="L1003" s="37">
        <v>36892</v>
      </c>
      <c r="M1003" s="2"/>
      <c r="N1003" s="2" t="s">
        <v>1966</v>
      </c>
      <c r="O1003" s="2" t="s">
        <v>27</v>
      </c>
      <c r="P1003" s="2" t="s">
        <v>26</v>
      </c>
    </row>
    <row r="1004" spans="1:16" ht="20.100000000000001" customHeight="1" x14ac:dyDescent="0.25">
      <c r="A1004" s="26" t="str">
        <f>CONCATENATE(LEFT(ConsumoConcreto[[#This Row],[RecebimentoID]],4),"CNSC",TEXT(ConsumoConcreto[[#This Row],[Ordem]],"0000"),UPPER(LEFT(ConsumoConcreto[[#This Row],[Destino]],3)))</f>
        <v>0184CNSC0826RAD</v>
      </c>
      <c r="B1004" s="1">
        <v>826</v>
      </c>
      <c r="C1004" s="2" t="s">
        <v>3057</v>
      </c>
      <c r="D1004" s="2" t="s">
        <v>2024</v>
      </c>
      <c r="E1004" s="18">
        <v>30</v>
      </c>
      <c r="F1004" s="2" t="s">
        <v>1801</v>
      </c>
      <c r="G1004" s="36">
        <v>0.61458333333333337</v>
      </c>
      <c r="H1004" s="2" t="s">
        <v>1968</v>
      </c>
      <c r="I10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04" s="22">
        <v>5.5</v>
      </c>
      <c r="K1004" s="22">
        <v>5.5</v>
      </c>
      <c r="L1004" s="37">
        <v>36892</v>
      </c>
      <c r="M1004" s="2"/>
      <c r="N1004" s="2" t="s">
        <v>1963</v>
      </c>
      <c r="O1004" s="2" t="s">
        <v>27</v>
      </c>
      <c r="P1004" s="2" t="s">
        <v>26</v>
      </c>
    </row>
    <row r="1005" spans="1:16" ht="20.100000000000001" customHeight="1" x14ac:dyDescent="0.25">
      <c r="A1005" s="26" t="str">
        <f>CONCATENATE(LEFT(ConsumoConcreto[[#This Row],[RecebimentoID]],4),"CNSC",TEXT(ConsumoConcreto[[#This Row],[Ordem]],"0000"),UPPER(LEFT(ConsumoConcreto[[#This Row],[Destino]],3)))</f>
        <v>0184CNSC0993PAR</v>
      </c>
      <c r="B1005" s="1">
        <v>993</v>
      </c>
      <c r="C1005" s="2" t="s">
        <v>3058</v>
      </c>
      <c r="D1005" s="2" t="s">
        <v>2033</v>
      </c>
      <c r="E1005" s="18">
        <v>30</v>
      </c>
      <c r="F1005" s="2" t="s">
        <v>25</v>
      </c>
      <c r="G1005" s="36">
        <v>0.75347222222222221</v>
      </c>
      <c r="H1005" s="2" t="s">
        <v>1965</v>
      </c>
      <c r="I100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05" s="22">
        <v>14.5</v>
      </c>
      <c r="K1005" s="22">
        <v>14.5</v>
      </c>
      <c r="L1005" s="37">
        <v>36892</v>
      </c>
      <c r="M1005" s="2"/>
      <c r="N1005" s="2" t="s">
        <v>1966</v>
      </c>
      <c r="O1005" s="2" t="s">
        <v>27</v>
      </c>
      <c r="P1005" s="2" t="s">
        <v>26</v>
      </c>
    </row>
    <row r="1006" spans="1:16" ht="20.100000000000001" customHeight="1" x14ac:dyDescent="0.25">
      <c r="A1006" s="26" t="str">
        <f>CONCATENATE(LEFT(ConsumoConcreto[[#This Row],[RecebimentoID]],4),"CNSC",TEXT(ConsumoConcreto[[#This Row],[Ordem]],"0000"),UPPER(LEFT(ConsumoConcreto[[#This Row],[Destino]],3)))</f>
        <v>0184CNSC0983RAD</v>
      </c>
      <c r="B1006" s="1">
        <v>983</v>
      </c>
      <c r="C1006" s="2" t="s">
        <v>3059</v>
      </c>
      <c r="D1006" s="2" t="s">
        <v>2033</v>
      </c>
      <c r="E1006" s="18">
        <v>30</v>
      </c>
      <c r="F1006" s="2" t="s">
        <v>1801</v>
      </c>
      <c r="G1006" s="36">
        <v>0.49652777777777773</v>
      </c>
      <c r="H1006" s="2" t="s">
        <v>1968</v>
      </c>
      <c r="I100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06" s="22">
        <v>6</v>
      </c>
      <c r="K1006" s="22">
        <v>6</v>
      </c>
      <c r="L1006" s="37">
        <v>36892</v>
      </c>
      <c r="M1006" s="2"/>
      <c r="N1006" s="2" t="s">
        <v>1966</v>
      </c>
      <c r="O1006" s="2" t="s">
        <v>27</v>
      </c>
      <c r="P1006" s="2" t="s">
        <v>26</v>
      </c>
    </row>
    <row r="1007" spans="1:16" ht="20.100000000000001" customHeight="1" x14ac:dyDescent="0.25">
      <c r="A1007" s="26" t="str">
        <f>CONCATENATE(LEFT(ConsumoConcreto[[#This Row],[RecebimentoID]],4),"CNSC",TEXT(ConsumoConcreto[[#This Row],[Ordem]],"0000"),UPPER(LEFT(ConsumoConcreto[[#This Row],[Destino]],3)))</f>
        <v>0184CNSC1086PAR</v>
      </c>
      <c r="B1007" s="1">
        <v>1086</v>
      </c>
      <c r="C1007" s="2" t="s">
        <v>3060</v>
      </c>
      <c r="D1007" s="2" t="s">
        <v>2036</v>
      </c>
      <c r="E1007" s="18">
        <v>30</v>
      </c>
      <c r="F1007" s="2" t="s">
        <v>25</v>
      </c>
      <c r="G1007" s="36">
        <v>0.7402777777777777</v>
      </c>
      <c r="H1007" s="2" t="s">
        <v>1965</v>
      </c>
      <c r="I100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07" s="22">
        <v>14.5</v>
      </c>
      <c r="K1007" s="22">
        <v>14.5</v>
      </c>
      <c r="L1007" s="37">
        <v>36892</v>
      </c>
      <c r="M1007" s="2"/>
      <c r="N1007" s="2" t="s">
        <v>1966</v>
      </c>
      <c r="O1007" s="2" t="s">
        <v>27</v>
      </c>
      <c r="P1007" s="2" t="s">
        <v>26</v>
      </c>
    </row>
    <row r="1008" spans="1:16" ht="20.100000000000001" customHeight="1" x14ac:dyDescent="0.25">
      <c r="A1008" s="26" t="str">
        <f>CONCATENATE(LEFT(ConsumoConcreto[[#This Row],[RecebimentoID]],4),"CNSC",TEXT(ConsumoConcreto[[#This Row],[Ordem]],"0000"),UPPER(LEFT(ConsumoConcreto[[#This Row],[Destino]],3)))</f>
        <v>0184CNSC1024RAD</v>
      </c>
      <c r="B1008" s="1">
        <v>1024</v>
      </c>
      <c r="C1008" s="2" t="s">
        <v>3061</v>
      </c>
      <c r="D1008" s="2" t="s">
        <v>2036</v>
      </c>
      <c r="E1008" s="18">
        <v>30</v>
      </c>
      <c r="F1008" s="2" t="s">
        <v>1801</v>
      </c>
      <c r="G1008" s="36">
        <v>0.73611111111111116</v>
      </c>
      <c r="H1008" s="2" t="s">
        <v>1968</v>
      </c>
      <c r="I100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08" s="22">
        <v>5.5</v>
      </c>
      <c r="K1008" s="22">
        <v>5.5</v>
      </c>
      <c r="L1008" s="37">
        <v>36892</v>
      </c>
      <c r="M1008" s="2"/>
      <c r="N1008" s="2" t="s">
        <v>1963</v>
      </c>
      <c r="O1008" s="2" t="s">
        <v>27</v>
      </c>
      <c r="P1008" s="2" t="s">
        <v>26</v>
      </c>
    </row>
    <row r="1009" spans="1:16" ht="20.100000000000001" customHeight="1" x14ac:dyDescent="0.25">
      <c r="A1009" s="26" t="str">
        <f>CONCATENATE(LEFT(ConsumoConcreto[[#This Row],[RecebimentoID]],4),"CNSC",TEXT(ConsumoConcreto[[#This Row],[Ordem]],"0000"),UPPER(LEFT(ConsumoConcreto[[#This Row],[Destino]],3)))</f>
        <v>0184CNSC0212PAR</v>
      </c>
      <c r="B1009" s="1">
        <v>212</v>
      </c>
      <c r="C1009" s="2" t="s">
        <v>3062</v>
      </c>
      <c r="D1009" s="2" t="s">
        <v>1979</v>
      </c>
      <c r="E1009" s="18">
        <v>31</v>
      </c>
      <c r="F1009" s="2" t="s">
        <v>25</v>
      </c>
      <c r="G1009" s="36"/>
      <c r="H1009" s="2" t="s">
        <v>1965</v>
      </c>
      <c r="I100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09" s="22">
        <v>18</v>
      </c>
      <c r="K1009" s="22">
        <v>18</v>
      </c>
      <c r="L1009" s="37">
        <v>36892</v>
      </c>
      <c r="M1009" s="2"/>
      <c r="N1009" s="2" t="s">
        <v>1966</v>
      </c>
      <c r="O1009" s="2" t="s">
        <v>27</v>
      </c>
      <c r="P1009" s="2" t="s">
        <v>26</v>
      </c>
    </row>
    <row r="1010" spans="1:16" ht="20.100000000000001" customHeight="1" x14ac:dyDescent="0.25">
      <c r="A1010" s="26" t="str">
        <f>CONCATENATE(LEFT(ConsumoConcreto[[#This Row],[RecebimentoID]],4),"CNSC",TEXT(ConsumoConcreto[[#This Row],[Ordem]],"0000"),UPPER(LEFT(ConsumoConcreto[[#This Row],[Destino]],3)))</f>
        <v>0184CNSC0209RAD</v>
      </c>
      <c r="B1010" s="1">
        <v>209</v>
      </c>
      <c r="C1010" s="2" t="s">
        <v>3063</v>
      </c>
      <c r="D1010" s="2" t="s">
        <v>1979</v>
      </c>
      <c r="E1010" s="18">
        <v>31</v>
      </c>
      <c r="F1010" s="2" t="s">
        <v>1801</v>
      </c>
      <c r="G1010" s="36"/>
      <c r="H1010" s="2" t="s">
        <v>1968</v>
      </c>
      <c r="I101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10" s="22">
        <v>7</v>
      </c>
      <c r="K1010" s="22">
        <v>6.6989999999999998</v>
      </c>
      <c r="L1010" s="37">
        <v>36892</v>
      </c>
      <c r="M1010" s="2"/>
      <c r="N1010" s="2"/>
      <c r="O1010" s="2" t="s">
        <v>27</v>
      </c>
      <c r="P1010" s="2" t="s">
        <v>26</v>
      </c>
    </row>
    <row r="1011" spans="1:16" ht="20.100000000000001" customHeight="1" x14ac:dyDescent="0.25">
      <c r="A1011" s="26" t="str">
        <f>CONCATENATE(LEFT(ConsumoConcreto[[#This Row],[RecebimentoID]],4),"CNSC",TEXT(ConsumoConcreto[[#This Row],[Ordem]],"0000"),UPPER(LEFT(ConsumoConcreto[[#This Row],[Destino]],3)))</f>
        <v>0184CNSC0532PAR</v>
      </c>
      <c r="B1011" s="1">
        <v>532</v>
      </c>
      <c r="C1011" s="2" t="s">
        <v>3064</v>
      </c>
      <c r="D1011" s="2" t="s">
        <v>2005</v>
      </c>
      <c r="E1011" s="18">
        <v>31</v>
      </c>
      <c r="F1011" s="2" t="s">
        <v>25</v>
      </c>
      <c r="G1011" s="36">
        <v>0.7104166666666667</v>
      </c>
      <c r="H1011" s="2" t="s">
        <v>1965</v>
      </c>
      <c r="I101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11" s="22">
        <v>14.5</v>
      </c>
      <c r="K1011" s="22">
        <v>14.5</v>
      </c>
      <c r="L1011" s="37">
        <v>36892</v>
      </c>
      <c r="M1011" s="2"/>
      <c r="N1011" s="2" t="s">
        <v>1966</v>
      </c>
      <c r="O1011" s="2" t="s">
        <v>27</v>
      </c>
      <c r="P1011" s="2" t="s">
        <v>26</v>
      </c>
    </row>
    <row r="1012" spans="1:16" ht="20.100000000000001" customHeight="1" x14ac:dyDescent="0.25">
      <c r="A1012" s="26" t="str">
        <f>CONCATENATE(LEFT(ConsumoConcreto[[#This Row],[RecebimentoID]],4),"CNSC",TEXT(ConsumoConcreto[[#This Row],[Ordem]],"0000"),UPPER(LEFT(ConsumoConcreto[[#This Row],[Destino]],3)))</f>
        <v>0184CNSC0493RAD</v>
      </c>
      <c r="B1012" s="1">
        <v>493</v>
      </c>
      <c r="C1012" s="2" t="s">
        <v>3065</v>
      </c>
      <c r="D1012" s="2" t="s">
        <v>2005</v>
      </c>
      <c r="E1012" s="18">
        <v>31</v>
      </c>
      <c r="F1012" s="2" t="s">
        <v>1801</v>
      </c>
      <c r="G1012" s="36">
        <v>0.69444444444444453</v>
      </c>
      <c r="H1012" s="2" t="s">
        <v>1968</v>
      </c>
      <c r="I101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12" s="22">
        <v>5.5</v>
      </c>
      <c r="K1012" s="22">
        <v>5.5</v>
      </c>
      <c r="L1012" s="37">
        <v>36892</v>
      </c>
      <c r="M1012" s="2"/>
      <c r="N1012" s="2" t="s">
        <v>1963</v>
      </c>
      <c r="O1012" s="2" t="s">
        <v>27</v>
      </c>
      <c r="P1012" s="2" t="s">
        <v>26</v>
      </c>
    </row>
    <row r="1013" spans="1:16" ht="20.100000000000001" customHeight="1" x14ac:dyDescent="0.25">
      <c r="A1013" s="26" t="str">
        <f>CONCATENATE(LEFT(ConsumoConcreto[[#This Row],[RecebimentoID]],4),"CNSC",TEXT(ConsumoConcreto[[#This Row],[Ordem]],"0000"),UPPER(LEFT(ConsumoConcreto[[#This Row],[Destino]],3)))</f>
        <v>0184CNSC0657PAR</v>
      </c>
      <c r="B1013" s="1">
        <v>657</v>
      </c>
      <c r="C1013" s="2" t="s">
        <v>3066</v>
      </c>
      <c r="D1013" s="2" t="s">
        <v>2010</v>
      </c>
      <c r="E1013" s="18">
        <v>31</v>
      </c>
      <c r="F1013" s="2" t="s">
        <v>25</v>
      </c>
      <c r="G1013" s="36">
        <v>0.94305555555555554</v>
      </c>
      <c r="H1013" s="2" t="s">
        <v>1965</v>
      </c>
      <c r="I101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13" s="22">
        <v>14</v>
      </c>
      <c r="K1013" s="22">
        <v>14</v>
      </c>
      <c r="L1013" s="37">
        <v>36892</v>
      </c>
      <c r="M1013" s="2"/>
      <c r="N1013" s="2" t="s">
        <v>1966</v>
      </c>
      <c r="O1013" s="2" t="s">
        <v>27</v>
      </c>
      <c r="P1013" s="2" t="s">
        <v>26</v>
      </c>
    </row>
    <row r="1014" spans="1:16" ht="20.100000000000001" customHeight="1" x14ac:dyDescent="0.25">
      <c r="A1014" s="26" t="str">
        <f>CONCATENATE(LEFT(ConsumoConcreto[[#This Row],[RecebimentoID]],4),"CNSC",TEXT(ConsumoConcreto[[#This Row],[Ordem]],"0000"),UPPER(LEFT(ConsumoConcreto[[#This Row],[Destino]],3)))</f>
        <v>0184CNSC0632RAD</v>
      </c>
      <c r="B1014" s="1">
        <v>632</v>
      </c>
      <c r="C1014" s="2" t="s">
        <v>3067</v>
      </c>
      <c r="D1014" s="2" t="s">
        <v>2010</v>
      </c>
      <c r="E1014" s="18">
        <v>31</v>
      </c>
      <c r="F1014" s="2" t="s">
        <v>1801</v>
      </c>
      <c r="G1014" s="36">
        <v>0.50486111111111109</v>
      </c>
      <c r="H1014" s="2" t="s">
        <v>1968</v>
      </c>
      <c r="I101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14" s="22">
        <v>5.5</v>
      </c>
      <c r="K1014" s="22">
        <v>5.5</v>
      </c>
      <c r="L1014" s="37">
        <v>36892</v>
      </c>
      <c r="M1014" s="2"/>
      <c r="N1014" s="2" t="s">
        <v>1963</v>
      </c>
      <c r="O1014" s="2" t="s">
        <v>27</v>
      </c>
      <c r="P1014" s="2" t="s">
        <v>26</v>
      </c>
    </row>
    <row r="1015" spans="1:16" ht="20.100000000000001" customHeight="1" x14ac:dyDescent="0.25">
      <c r="A1015" s="26" t="str">
        <f>CONCATENATE(LEFT(ConsumoConcreto[[#This Row],[RecebimentoID]],4),"CNSC",TEXT(ConsumoConcreto[[#This Row],[Ordem]],"0000"),UPPER(LEFT(ConsumoConcreto[[#This Row],[Destino]],3)))</f>
        <v>0184CNSC0722PAR</v>
      </c>
      <c r="B1015" s="1">
        <v>722</v>
      </c>
      <c r="C1015" s="2" t="s">
        <v>3068</v>
      </c>
      <c r="D1015" s="2" t="s">
        <v>2013</v>
      </c>
      <c r="E1015" s="18">
        <v>31</v>
      </c>
      <c r="F1015" s="2" t="s">
        <v>25</v>
      </c>
      <c r="G1015" s="36">
        <v>0.78472222222222221</v>
      </c>
      <c r="H1015" s="2" t="s">
        <v>1965</v>
      </c>
      <c r="I101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15" s="22">
        <v>14.5</v>
      </c>
      <c r="K1015" s="22">
        <v>14.5</v>
      </c>
      <c r="L1015" s="37">
        <v>36892</v>
      </c>
      <c r="M1015" s="2"/>
      <c r="N1015" s="2" t="s">
        <v>1966</v>
      </c>
      <c r="O1015" s="2" t="s">
        <v>27</v>
      </c>
      <c r="P1015" s="2" t="s">
        <v>26</v>
      </c>
    </row>
    <row r="1016" spans="1:16" ht="20.100000000000001" customHeight="1" x14ac:dyDescent="0.25">
      <c r="A1016" s="26" t="str">
        <f>CONCATENATE(LEFT(ConsumoConcreto[[#This Row],[RecebimentoID]],4),"CNSC",TEXT(ConsumoConcreto[[#This Row],[Ordem]],"0000"),UPPER(LEFT(ConsumoConcreto[[#This Row],[Destino]],3)))</f>
        <v>0184CNSC0705RAD</v>
      </c>
      <c r="B1016" s="1">
        <v>705</v>
      </c>
      <c r="C1016" s="2" t="s">
        <v>3069</v>
      </c>
      <c r="D1016" s="2" t="s">
        <v>2013</v>
      </c>
      <c r="E1016" s="18">
        <v>31</v>
      </c>
      <c r="F1016" s="2" t="s">
        <v>1801</v>
      </c>
      <c r="G1016" s="36">
        <v>0.40069444444444446</v>
      </c>
      <c r="H1016" s="2" t="s">
        <v>1968</v>
      </c>
      <c r="I101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16" s="22">
        <v>5.5</v>
      </c>
      <c r="K1016" s="22">
        <v>5.5</v>
      </c>
      <c r="L1016" s="37">
        <v>36892</v>
      </c>
      <c r="M1016" s="2"/>
      <c r="N1016" s="2" t="s">
        <v>1966</v>
      </c>
      <c r="O1016" s="2" t="s">
        <v>27</v>
      </c>
      <c r="P1016" s="2" t="s">
        <v>26</v>
      </c>
    </row>
    <row r="1017" spans="1:16" ht="20.100000000000001" customHeight="1" x14ac:dyDescent="0.25">
      <c r="A1017" s="26" t="str">
        <f>CONCATENATE(LEFT(ConsumoConcreto[[#This Row],[RecebimentoID]],4),"CNSC",TEXT(ConsumoConcreto[[#This Row],[Ordem]],"0000"),UPPER(LEFT(ConsumoConcreto[[#This Row],[Destino]],3)))</f>
        <v>0184CNSC0836PAR</v>
      </c>
      <c r="B1017" s="1">
        <v>836</v>
      </c>
      <c r="C1017" s="2" t="s">
        <v>3070</v>
      </c>
      <c r="D1017" s="2" t="s">
        <v>2024</v>
      </c>
      <c r="E1017" s="18">
        <v>31</v>
      </c>
      <c r="F1017" s="2" t="s">
        <v>25</v>
      </c>
      <c r="G1017" s="36">
        <v>0.7583333333333333</v>
      </c>
      <c r="H1017" s="2" t="s">
        <v>1965</v>
      </c>
      <c r="I101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17" s="22">
        <v>14.5</v>
      </c>
      <c r="K1017" s="22">
        <v>14.5</v>
      </c>
      <c r="L1017" s="37">
        <v>36892</v>
      </c>
      <c r="M1017" s="2"/>
      <c r="N1017" s="2" t="s">
        <v>1966</v>
      </c>
      <c r="O1017" s="2" t="s">
        <v>27</v>
      </c>
      <c r="P1017" s="2" t="s">
        <v>26</v>
      </c>
    </row>
    <row r="1018" spans="1:16" ht="20.100000000000001" customHeight="1" x14ac:dyDescent="0.25">
      <c r="A1018" s="26" t="str">
        <f>CONCATENATE(LEFT(ConsumoConcreto[[#This Row],[RecebimentoID]],4),"CNSC",TEXT(ConsumoConcreto[[#This Row],[Ordem]],"0000"),UPPER(LEFT(ConsumoConcreto[[#This Row],[Destino]],3)))</f>
        <v>0184CNSC0828RAD</v>
      </c>
      <c r="B1018" s="1">
        <v>828</v>
      </c>
      <c r="C1018" s="2" t="s">
        <v>3071</v>
      </c>
      <c r="D1018" s="2" t="s">
        <v>2024</v>
      </c>
      <c r="E1018" s="18">
        <v>31</v>
      </c>
      <c r="F1018" s="2" t="s">
        <v>1801</v>
      </c>
      <c r="G1018" s="36">
        <v>0.39930555555555558</v>
      </c>
      <c r="H1018" s="2" t="s">
        <v>1968</v>
      </c>
      <c r="I101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18" s="22">
        <v>5.5</v>
      </c>
      <c r="K1018" s="22">
        <v>5.5</v>
      </c>
      <c r="L1018" s="37">
        <v>36892</v>
      </c>
      <c r="M1018" s="2"/>
      <c r="N1018" s="2" t="s">
        <v>1963</v>
      </c>
      <c r="O1018" s="2" t="s">
        <v>27</v>
      </c>
      <c r="P1018" s="2" t="s">
        <v>26</v>
      </c>
    </row>
    <row r="1019" spans="1:16" ht="20.100000000000001" customHeight="1" x14ac:dyDescent="0.25">
      <c r="A1019" s="26" t="str">
        <f>CONCATENATE(LEFT(ConsumoConcreto[[#This Row],[RecebimentoID]],4),"CNSC",TEXT(ConsumoConcreto[[#This Row],[Ordem]],"0000"),UPPER(LEFT(ConsumoConcreto[[#This Row],[Destino]],3)))</f>
        <v>0184CNSC0994PAR</v>
      </c>
      <c r="B1019" s="1">
        <v>994</v>
      </c>
      <c r="C1019" s="2" t="s">
        <v>3072</v>
      </c>
      <c r="D1019" s="2" t="s">
        <v>2033</v>
      </c>
      <c r="E1019" s="18">
        <v>31</v>
      </c>
      <c r="F1019" s="2" t="s">
        <v>25</v>
      </c>
      <c r="G1019" s="36">
        <v>0.80555555555555547</v>
      </c>
      <c r="H1019" s="2" t="s">
        <v>1965</v>
      </c>
      <c r="I101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19" s="22">
        <v>18</v>
      </c>
      <c r="K1019" s="22">
        <v>18</v>
      </c>
      <c r="L1019" s="37">
        <v>36892</v>
      </c>
      <c r="M1019" s="2"/>
      <c r="N1019" s="2" t="s">
        <v>1966</v>
      </c>
      <c r="O1019" s="2" t="s">
        <v>27</v>
      </c>
      <c r="P1019" s="2" t="s">
        <v>26</v>
      </c>
    </row>
    <row r="1020" spans="1:16" ht="20.100000000000001" customHeight="1" x14ac:dyDescent="0.25">
      <c r="A1020" s="26" t="str">
        <f>CONCATENATE(LEFT(ConsumoConcreto[[#This Row],[RecebimentoID]],4),"CNSC",TEXT(ConsumoConcreto[[#This Row],[Ordem]],"0000"),UPPER(LEFT(ConsumoConcreto[[#This Row],[Destino]],3)))</f>
        <v>0184CNSC0946RAD</v>
      </c>
      <c r="B1020" s="1">
        <v>946</v>
      </c>
      <c r="C1020" s="2" t="s">
        <v>3073</v>
      </c>
      <c r="D1020" s="2" t="s">
        <v>2033</v>
      </c>
      <c r="E1020" s="18">
        <v>31</v>
      </c>
      <c r="F1020" s="2" t="s">
        <v>1801</v>
      </c>
      <c r="G1020" s="36">
        <v>0.5625</v>
      </c>
      <c r="H1020" s="2" t="s">
        <v>1968</v>
      </c>
      <c r="I102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20" s="22">
        <v>7.5</v>
      </c>
      <c r="K1020" s="22">
        <v>7.5</v>
      </c>
      <c r="L1020" s="37">
        <v>36892</v>
      </c>
      <c r="M1020" s="2" t="s">
        <v>2964</v>
      </c>
      <c r="N1020" s="2" t="s">
        <v>1963</v>
      </c>
      <c r="O1020" s="2" t="s">
        <v>27</v>
      </c>
      <c r="P1020" s="2" t="s">
        <v>26</v>
      </c>
    </row>
    <row r="1021" spans="1:16" ht="20.100000000000001" customHeight="1" x14ac:dyDescent="0.25">
      <c r="A1021" s="26" t="str">
        <f>CONCATENATE(LEFT(ConsumoConcreto[[#This Row],[RecebimentoID]],4),"CNSC",TEXT(ConsumoConcreto[[#This Row],[Ordem]],"0000"),UPPER(LEFT(ConsumoConcreto[[#This Row],[Destino]],3)))</f>
        <v>0184CNSC1087PAR</v>
      </c>
      <c r="B1021" s="1">
        <v>1087</v>
      </c>
      <c r="C1021" s="2" t="s">
        <v>3074</v>
      </c>
      <c r="D1021" s="2" t="s">
        <v>2036</v>
      </c>
      <c r="E1021" s="18">
        <v>31</v>
      </c>
      <c r="F1021" s="2" t="s">
        <v>25</v>
      </c>
      <c r="G1021" s="36">
        <v>0.7006944444444444</v>
      </c>
      <c r="H1021" s="2" t="s">
        <v>1965</v>
      </c>
      <c r="I102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21" s="22">
        <v>14.5</v>
      </c>
      <c r="K1021" s="22">
        <v>14.5</v>
      </c>
      <c r="L1021" s="37">
        <v>36892</v>
      </c>
      <c r="M1021" s="2"/>
      <c r="N1021" s="2" t="s">
        <v>1966</v>
      </c>
      <c r="O1021" s="2" t="s">
        <v>27</v>
      </c>
      <c r="P1021" s="2" t="s">
        <v>26</v>
      </c>
    </row>
    <row r="1022" spans="1:16" ht="20.100000000000001" customHeight="1" x14ac:dyDescent="0.25">
      <c r="A1022" s="26" t="str">
        <f>CONCATENATE(LEFT(ConsumoConcreto[[#This Row],[RecebimentoID]],4),"CNSC",TEXT(ConsumoConcreto[[#This Row],[Ordem]],"0000"),UPPER(LEFT(ConsumoConcreto[[#This Row],[Destino]],3)))</f>
        <v>0184CNSC1049RAD</v>
      </c>
      <c r="B1022" s="1">
        <v>1049</v>
      </c>
      <c r="C1022" s="2" t="s">
        <v>3075</v>
      </c>
      <c r="D1022" s="2" t="s">
        <v>2036</v>
      </c>
      <c r="E1022" s="18">
        <v>31</v>
      </c>
      <c r="F1022" s="2" t="s">
        <v>1801</v>
      </c>
      <c r="G1022" s="36">
        <v>0.43472222222222223</v>
      </c>
      <c r="H1022" s="2" t="s">
        <v>1968</v>
      </c>
      <c r="I102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22" s="22">
        <v>5.5</v>
      </c>
      <c r="K1022" s="22">
        <v>5.5</v>
      </c>
      <c r="L1022" s="37">
        <v>36892</v>
      </c>
      <c r="M1022" s="2"/>
      <c r="N1022" s="2" t="s">
        <v>1963</v>
      </c>
      <c r="O1022" s="2" t="s">
        <v>27</v>
      </c>
      <c r="P1022" s="2" t="s">
        <v>26</v>
      </c>
    </row>
    <row r="1023" spans="1:16" ht="20.100000000000001" customHeight="1" x14ac:dyDescent="0.25">
      <c r="A1023" s="26" t="str">
        <f>CONCATENATE(LEFT(ConsumoConcreto[[#This Row],[RecebimentoID]],4),"CNSC",TEXT(ConsumoConcreto[[#This Row],[Ordem]],"0000"),UPPER(LEFT(ConsumoConcreto[[#This Row],[Destino]],3)))</f>
        <v>0184CNSC0211PAR</v>
      </c>
      <c r="B1023" s="1">
        <v>211</v>
      </c>
      <c r="C1023" s="2" t="s">
        <v>3076</v>
      </c>
      <c r="D1023" s="2" t="s">
        <v>1979</v>
      </c>
      <c r="E1023" s="18">
        <v>32</v>
      </c>
      <c r="F1023" s="2" t="s">
        <v>25</v>
      </c>
      <c r="G1023" s="36"/>
      <c r="H1023" s="2" t="s">
        <v>1965</v>
      </c>
      <c r="I102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23" s="22">
        <v>18</v>
      </c>
      <c r="K1023" s="22">
        <v>18</v>
      </c>
      <c r="L1023" s="37">
        <v>36892</v>
      </c>
      <c r="M1023" s="2"/>
      <c r="N1023" s="2" t="s">
        <v>1966</v>
      </c>
      <c r="O1023" s="2" t="s">
        <v>27</v>
      </c>
      <c r="P1023" s="2" t="s">
        <v>26</v>
      </c>
    </row>
    <row r="1024" spans="1:16" ht="20.100000000000001" customHeight="1" x14ac:dyDescent="0.25">
      <c r="A1024" s="26" t="str">
        <f>CONCATENATE(LEFT(ConsumoConcreto[[#This Row],[RecebimentoID]],4),"CNSC",TEXT(ConsumoConcreto[[#This Row],[Ordem]],"0000"),UPPER(LEFT(ConsumoConcreto[[#This Row],[Destino]],3)))</f>
        <v>0184CNSC0210RAD</v>
      </c>
      <c r="B1024" s="1">
        <v>210</v>
      </c>
      <c r="C1024" s="2" t="s">
        <v>3077</v>
      </c>
      <c r="D1024" s="2" t="s">
        <v>1979</v>
      </c>
      <c r="E1024" s="18">
        <v>32</v>
      </c>
      <c r="F1024" s="2" t="s">
        <v>1801</v>
      </c>
      <c r="G1024" s="36"/>
      <c r="H1024" s="2" t="s">
        <v>1968</v>
      </c>
      <c r="I102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24" s="22">
        <v>7</v>
      </c>
      <c r="K1024" s="22">
        <v>6.6989999999999998</v>
      </c>
      <c r="L1024" s="37">
        <v>36892</v>
      </c>
      <c r="M1024" s="2"/>
      <c r="N1024" s="2"/>
      <c r="O1024" s="2" t="s">
        <v>27</v>
      </c>
      <c r="P1024" s="2" t="s">
        <v>26</v>
      </c>
    </row>
    <row r="1025" spans="1:16" ht="20.100000000000001" customHeight="1" x14ac:dyDescent="0.25">
      <c r="A1025" s="26" t="str">
        <f>CONCATENATE(LEFT(ConsumoConcreto[[#This Row],[RecebimentoID]],4),"CNSC",TEXT(ConsumoConcreto[[#This Row],[Ordem]],"0000"),UPPER(LEFT(ConsumoConcreto[[#This Row],[Destino]],3)))</f>
        <v>0184CNSC0521PAR</v>
      </c>
      <c r="B1025" s="1">
        <v>521</v>
      </c>
      <c r="C1025" s="2" t="s">
        <v>3078</v>
      </c>
      <c r="D1025" s="2" t="s">
        <v>2005</v>
      </c>
      <c r="E1025" s="18">
        <v>32</v>
      </c>
      <c r="F1025" s="2" t="s">
        <v>25</v>
      </c>
      <c r="G1025" s="36">
        <v>0.79305555555555562</v>
      </c>
      <c r="H1025" s="2" t="s">
        <v>1965</v>
      </c>
      <c r="I102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25" s="22">
        <v>14.5</v>
      </c>
      <c r="K1025" s="22">
        <v>14.5</v>
      </c>
      <c r="L1025" s="37">
        <v>36892</v>
      </c>
      <c r="M1025" s="2"/>
      <c r="N1025" s="2" t="s">
        <v>1966</v>
      </c>
      <c r="O1025" s="2" t="s">
        <v>27</v>
      </c>
      <c r="P1025" s="2" t="s">
        <v>26</v>
      </c>
    </row>
    <row r="1026" spans="1:16" ht="20.100000000000001" customHeight="1" x14ac:dyDescent="0.25">
      <c r="A1026" s="26" t="str">
        <f>CONCATENATE(LEFT(ConsumoConcreto[[#This Row],[RecebimentoID]],4),"CNSC",TEXT(ConsumoConcreto[[#This Row],[Ordem]],"0000"),UPPER(LEFT(ConsumoConcreto[[#This Row],[Destino]],3)))</f>
        <v>0184CNSC0494RAD</v>
      </c>
      <c r="B1026" s="1">
        <v>494</v>
      </c>
      <c r="C1026" s="2" t="s">
        <v>3079</v>
      </c>
      <c r="D1026" s="2" t="s">
        <v>2005</v>
      </c>
      <c r="E1026" s="18">
        <v>32</v>
      </c>
      <c r="F1026" s="2" t="s">
        <v>1801</v>
      </c>
      <c r="G1026" s="36">
        <v>0.73472222222222217</v>
      </c>
      <c r="H1026" s="2" t="s">
        <v>1968</v>
      </c>
      <c r="I102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26" s="22">
        <v>5.5</v>
      </c>
      <c r="K1026" s="22">
        <v>5.5</v>
      </c>
      <c r="L1026" s="37">
        <v>36892</v>
      </c>
      <c r="M1026" s="2"/>
      <c r="N1026" s="2" t="s">
        <v>1963</v>
      </c>
      <c r="O1026" s="2" t="s">
        <v>27</v>
      </c>
      <c r="P1026" s="2" t="s">
        <v>26</v>
      </c>
    </row>
    <row r="1027" spans="1:16" ht="20.100000000000001" customHeight="1" x14ac:dyDescent="0.25">
      <c r="A1027" s="26" t="str">
        <f>CONCATENATE(LEFT(ConsumoConcreto[[#This Row],[RecebimentoID]],4),"CNSC",TEXT(ConsumoConcreto[[#This Row],[Ordem]],"0000"),UPPER(LEFT(ConsumoConcreto[[#This Row],[Destino]],3)))</f>
        <v>0184CNSC0659PAR</v>
      </c>
      <c r="B1027" s="1">
        <v>659</v>
      </c>
      <c r="C1027" s="2" t="s">
        <v>3080</v>
      </c>
      <c r="D1027" s="2" t="s">
        <v>2010</v>
      </c>
      <c r="E1027" s="18">
        <v>32</v>
      </c>
      <c r="F1027" s="2" t="s">
        <v>25</v>
      </c>
      <c r="G1027" s="36">
        <v>0.56597222222222221</v>
      </c>
      <c r="H1027" s="2" t="s">
        <v>1965</v>
      </c>
      <c r="I102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27" s="22">
        <v>15</v>
      </c>
      <c r="K1027" s="22">
        <v>14</v>
      </c>
      <c r="L1027" s="37">
        <v>36892</v>
      </c>
      <c r="M1027" s="2" t="s">
        <v>3081</v>
      </c>
      <c r="N1027" s="2" t="s">
        <v>1966</v>
      </c>
      <c r="O1027" s="2" t="s">
        <v>27</v>
      </c>
      <c r="P1027" s="2" t="s">
        <v>26</v>
      </c>
    </row>
    <row r="1028" spans="1:16" ht="20.100000000000001" customHeight="1" x14ac:dyDescent="0.25">
      <c r="A1028" s="26" t="str">
        <f>CONCATENATE(LEFT(ConsumoConcreto[[#This Row],[RecebimentoID]],4),"CNSC",TEXT(ConsumoConcreto[[#This Row],[Ordem]],"0000"),UPPER(LEFT(ConsumoConcreto[[#This Row],[Destino]],3)))</f>
        <v>0184CNSC0633RAD</v>
      </c>
      <c r="B1028" s="1">
        <v>633</v>
      </c>
      <c r="C1028" s="2" t="s">
        <v>3082</v>
      </c>
      <c r="D1028" s="2" t="s">
        <v>2010</v>
      </c>
      <c r="E1028" s="18">
        <v>32</v>
      </c>
      <c r="F1028" s="2" t="s">
        <v>1801</v>
      </c>
      <c r="G1028" s="36">
        <v>0.66388888888888886</v>
      </c>
      <c r="H1028" s="2" t="s">
        <v>1968</v>
      </c>
      <c r="I102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28" s="22">
        <v>5.5</v>
      </c>
      <c r="K1028" s="22">
        <v>5.5</v>
      </c>
      <c r="L1028" s="37">
        <v>36892</v>
      </c>
      <c r="M1028" s="2"/>
      <c r="N1028" s="2" t="s">
        <v>1963</v>
      </c>
      <c r="O1028" s="2" t="s">
        <v>27</v>
      </c>
      <c r="P1028" s="2" t="s">
        <v>26</v>
      </c>
    </row>
    <row r="1029" spans="1:16" ht="20.100000000000001" customHeight="1" x14ac:dyDescent="0.25">
      <c r="A1029" s="26" t="str">
        <f>CONCATENATE(LEFT(ConsumoConcreto[[#This Row],[RecebimentoID]],4),"CNSC",TEXT(ConsumoConcreto[[#This Row],[Ordem]],"0000"),UPPER(LEFT(ConsumoConcreto[[#This Row],[Destino]],3)))</f>
        <v>0184CNSC0721PAR</v>
      </c>
      <c r="B1029" s="1">
        <v>721</v>
      </c>
      <c r="C1029" s="2" t="s">
        <v>3083</v>
      </c>
      <c r="D1029" s="2" t="s">
        <v>2013</v>
      </c>
      <c r="E1029" s="18">
        <v>32</v>
      </c>
      <c r="F1029" s="2" t="s">
        <v>25</v>
      </c>
      <c r="G1029" s="36">
        <v>0.70694444444444438</v>
      </c>
      <c r="H1029" s="2" t="s">
        <v>1965</v>
      </c>
      <c r="I102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29" s="22">
        <v>15</v>
      </c>
      <c r="K1029" s="22">
        <v>15</v>
      </c>
      <c r="L1029" s="37">
        <v>36892</v>
      </c>
      <c r="M1029" s="2" t="s">
        <v>2082</v>
      </c>
      <c r="N1029" s="2" t="s">
        <v>1966</v>
      </c>
      <c r="O1029" s="2" t="s">
        <v>27</v>
      </c>
      <c r="P1029" s="2" t="s">
        <v>26</v>
      </c>
    </row>
    <row r="1030" spans="1:16" ht="20.100000000000001" customHeight="1" x14ac:dyDescent="0.25">
      <c r="A1030" s="26" t="str">
        <f>CONCATENATE(LEFT(ConsumoConcreto[[#This Row],[RecebimentoID]],4),"CNSC",TEXT(ConsumoConcreto[[#This Row],[Ordem]],"0000"),UPPER(LEFT(ConsumoConcreto[[#This Row],[Destino]],3)))</f>
        <v>0184CNSC0698RAD</v>
      </c>
      <c r="B1030" s="1">
        <v>698</v>
      </c>
      <c r="C1030" s="2" t="s">
        <v>3084</v>
      </c>
      <c r="D1030" s="2" t="s">
        <v>2013</v>
      </c>
      <c r="E1030" s="18">
        <v>32</v>
      </c>
      <c r="F1030" s="2" t="s">
        <v>1801</v>
      </c>
      <c r="G1030" s="36">
        <v>0.48888888888888887</v>
      </c>
      <c r="H1030" s="2" t="s">
        <v>1968</v>
      </c>
      <c r="I103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30" s="22">
        <v>5.5</v>
      </c>
      <c r="K1030" s="22">
        <v>5.5</v>
      </c>
      <c r="L1030" s="37">
        <v>36892</v>
      </c>
      <c r="M1030" s="2"/>
      <c r="N1030" s="2" t="s">
        <v>1963</v>
      </c>
      <c r="O1030" s="2" t="s">
        <v>27</v>
      </c>
      <c r="P1030" s="2" t="s">
        <v>26</v>
      </c>
    </row>
    <row r="1031" spans="1:16" ht="20.100000000000001" customHeight="1" x14ac:dyDescent="0.25">
      <c r="A1031" s="26" t="str">
        <f>CONCATENATE(LEFT(ConsumoConcreto[[#This Row],[RecebimentoID]],4),"CNSC",TEXT(ConsumoConcreto[[#This Row],[Ordem]],"0000"),UPPER(LEFT(ConsumoConcreto[[#This Row],[Destino]],3)))</f>
        <v>0184CNSC0832PAR</v>
      </c>
      <c r="B1031" s="1">
        <v>832</v>
      </c>
      <c r="C1031" s="2" t="s">
        <v>3085</v>
      </c>
      <c r="D1031" s="2" t="s">
        <v>2024</v>
      </c>
      <c r="E1031" s="18">
        <v>32</v>
      </c>
      <c r="F1031" s="2" t="s">
        <v>25</v>
      </c>
      <c r="G1031" s="36">
        <v>0.78888888888888886</v>
      </c>
      <c r="H1031" s="2" t="s">
        <v>1965</v>
      </c>
      <c r="I103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31" s="22">
        <v>14</v>
      </c>
      <c r="K1031" s="22">
        <v>14</v>
      </c>
      <c r="L1031" s="37">
        <v>36892</v>
      </c>
      <c r="M1031" s="2"/>
      <c r="N1031" s="2" t="s">
        <v>1966</v>
      </c>
      <c r="O1031" s="2" t="s">
        <v>27</v>
      </c>
      <c r="P1031" s="2" t="s">
        <v>26</v>
      </c>
    </row>
    <row r="1032" spans="1:16" ht="20.100000000000001" customHeight="1" x14ac:dyDescent="0.25">
      <c r="A1032" s="26" t="str">
        <f>CONCATENATE(LEFT(ConsumoConcreto[[#This Row],[RecebimentoID]],4),"CNSC",TEXT(ConsumoConcreto[[#This Row],[Ordem]],"0000"),UPPER(LEFT(ConsumoConcreto[[#This Row],[Destino]],3)))</f>
        <v>0184CNSC0829RAD</v>
      </c>
      <c r="B1032" s="1">
        <v>829</v>
      </c>
      <c r="C1032" s="2" t="s">
        <v>3086</v>
      </c>
      <c r="D1032" s="2" t="s">
        <v>2024</v>
      </c>
      <c r="E1032" s="18">
        <v>32</v>
      </c>
      <c r="F1032" s="2" t="s">
        <v>1801</v>
      </c>
      <c r="G1032" s="36">
        <v>0.71527777777777779</v>
      </c>
      <c r="H1032" s="2" t="s">
        <v>1968</v>
      </c>
      <c r="I103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32" s="22">
        <v>5.5</v>
      </c>
      <c r="K1032" s="22">
        <v>5.5</v>
      </c>
      <c r="L1032" s="37">
        <v>36892</v>
      </c>
      <c r="M1032" s="2"/>
      <c r="N1032" s="2" t="s">
        <v>1963</v>
      </c>
      <c r="O1032" s="2" t="s">
        <v>27</v>
      </c>
      <c r="P1032" s="2" t="s">
        <v>26</v>
      </c>
    </row>
    <row r="1033" spans="1:16" ht="20.100000000000001" customHeight="1" x14ac:dyDescent="0.25">
      <c r="A1033" s="26" t="str">
        <f>CONCATENATE(LEFT(ConsumoConcreto[[#This Row],[RecebimentoID]],4),"CNSC",TEXT(ConsumoConcreto[[#This Row],[Ordem]],"0000"),UPPER(LEFT(ConsumoConcreto[[#This Row],[Destino]],3)))</f>
        <v>0184CNSC0996PAR</v>
      </c>
      <c r="B1033" s="1">
        <v>996</v>
      </c>
      <c r="C1033" s="2" t="s">
        <v>3087</v>
      </c>
      <c r="D1033" s="2" t="s">
        <v>2033</v>
      </c>
      <c r="E1033" s="18">
        <v>32</v>
      </c>
      <c r="F1033" s="2" t="s">
        <v>25</v>
      </c>
      <c r="G1033" s="36">
        <v>0.68125000000000002</v>
      </c>
      <c r="H1033" s="2" t="s">
        <v>1965</v>
      </c>
      <c r="I103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33" s="22">
        <v>14.5</v>
      </c>
      <c r="K1033" s="22">
        <v>14.5</v>
      </c>
      <c r="L1033" s="37">
        <v>36892</v>
      </c>
      <c r="M1033" s="2"/>
      <c r="N1033" s="2" t="s">
        <v>1966</v>
      </c>
      <c r="O1033" s="2" t="s">
        <v>27</v>
      </c>
      <c r="P1033" s="2" t="s">
        <v>26</v>
      </c>
    </row>
    <row r="1034" spans="1:16" ht="20.100000000000001" customHeight="1" x14ac:dyDescent="0.25">
      <c r="A1034" s="26" t="str">
        <f>CONCATENATE(LEFT(ConsumoConcreto[[#This Row],[RecebimentoID]],4),"CNSC",TEXT(ConsumoConcreto[[#This Row],[Ordem]],"0000"),UPPER(LEFT(ConsumoConcreto[[#This Row],[Destino]],3)))</f>
        <v>0184CNSC0984RAD</v>
      </c>
      <c r="B1034" s="1">
        <v>984</v>
      </c>
      <c r="C1034" s="2" t="s">
        <v>3088</v>
      </c>
      <c r="D1034" s="2" t="s">
        <v>2033</v>
      </c>
      <c r="E1034" s="18">
        <v>32</v>
      </c>
      <c r="F1034" s="2" t="s">
        <v>1801</v>
      </c>
      <c r="G1034" s="36">
        <v>0.57638888888888895</v>
      </c>
      <c r="H1034" s="2" t="s">
        <v>1968</v>
      </c>
      <c r="I103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34" s="22">
        <v>5.5</v>
      </c>
      <c r="K1034" s="22">
        <v>5.5</v>
      </c>
      <c r="L1034" s="37">
        <v>36892</v>
      </c>
      <c r="M1034" s="2"/>
      <c r="N1034" s="2" t="s">
        <v>1966</v>
      </c>
      <c r="O1034" s="2" t="s">
        <v>27</v>
      </c>
      <c r="P1034" s="2" t="s">
        <v>26</v>
      </c>
    </row>
    <row r="1035" spans="1:16" ht="20.100000000000001" customHeight="1" x14ac:dyDescent="0.25">
      <c r="A1035" s="26" t="str">
        <f>CONCATENATE(LEFT(ConsumoConcreto[[#This Row],[RecebimentoID]],4),"CNSC",TEXT(ConsumoConcreto[[#This Row],[Ordem]],"0000"),UPPER(LEFT(ConsumoConcreto[[#This Row],[Destino]],3)))</f>
        <v>0184CNSC1088PAR</v>
      </c>
      <c r="B1035" s="1">
        <v>1088</v>
      </c>
      <c r="C1035" s="2" t="s">
        <v>3089</v>
      </c>
      <c r="D1035" s="2" t="s">
        <v>2036</v>
      </c>
      <c r="E1035" s="18">
        <v>32</v>
      </c>
      <c r="F1035" s="2" t="s">
        <v>25</v>
      </c>
      <c r="G1035" s="36">
        <v>0.4465277777777778</v>
      </c>
      <c r="H1035" s="2" t="s">
        <v>1965</v>
      </c>
      <c r="I103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35" s="22">
        <v>14.5</v>
      </c>
      <c r="K1035" s="22">
        <v>14.5</v>
      </c>
      <c r="L1035" s="37">
        <v>36892</v>
      </c>
      <c r="M1035" s="2"/>
      <c r="N1035" s="2" t="s">
        <v>1966</v>
      </c>
      <c r="O1035" s="2" t="s">
        <v>27</v>
      </c>
      <c r="P1035" s="2" t="s">
        <v>26</v>
      </c>
    </row>
    <row r="1036" spans="1:16" ht="20.100000000000001" customHeight="1" x14ac:dyDescent="0.25">
      <c r="A1036" s="26" t="str">
        <f>CONCATENATE(LEFT(ConsumoConcreto[[#This Row],[RecebimentoID]],4),"CNSC",TEXT(ConsumoConcreto[[#This Row],[Ordem]],"0000"),UPPER(LEFT(ConsumoConcreto[[#This Row],[Destino]],3)))</f>
        <v>0184CNSC1025RAD</v>
      </c>
      <c r="B1036" s="1">
        <v>1025</v>
      </c>
      <c r="C1036" s="2" t="s">
        <v>3090</v>
      </c>
      <c r="D1036" s="2" t="s">
        <v>2036</v>
      </c>
      <c r="E1036" s="18">
        <v>32</v>
      </c>
      <c r="F1036" s="2" t="s">
        <v>1801</v>
      </c>
      <c r="G1036" s="36">
        <v>0.44861111111111113</v>
      </c>
      <c r="H1036" s="2" t="s">
        <v>1968</v>
      </c>
      <c r="I103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36" s="22">
        <v>5.5</v>
      </c>
      <c r="K1036" s="22">
        <v>5.5</v>
      </c>
      <c r="L1036" s="37">
        <v>36892</v>
      </c>
      <c r="M1036" s="2"/>
      <c r="N1036" s="2" t="s">
        <v>1963</v>
      </c>
      <c r="O1036" s="2" t="s">
        <v>27</v>
      </c>
      <c r="P1036" s="2" t="s">
        <v>26</v>
      </c>
    </row>
    <row r="1037" spans="1:16" ht="20.100000000000001" customHeight="1" x14ac:dyDescent="0.25">
      <c r="A1037" s="26" t="str">
        <f>CONCATENATE(LEFT(ConsumoConcreto[[#This Row],[RecebimentoID]],4),"CNSC",TEXT(ConsumoConcreto[[#This Row],[Ordem]],"0000"),UPPER(LEFT(ConsumoConcreto[[#This Row],[Destino]],3)))</f>
        <v>0184CNSC0530PAR</v>
      </c>
      <c r="B1037" s="1">
        <v>530</v>
      </c>
      <c r="C1037" s="2" t="s">
        <v>3091</v>
      </c>
      <c r="D1037" s="2" t="s">
        <v>2005</v>
      </c>
      <c r="E1037" s="18">
        <v>33</v>
      </c>
      <c r="F1037" s="2" t="s">
        <v>25</v>
      </c>
      <c r="G1037" s="36">
        <v>0.69930555555555562</v>
      </c>
      <c r="H1037" s="2" t="s">
        <v>1965</v>
      </c>
      <c r="I103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37" s="22">
        <v>14.5</v>
      </c>
      <c r="K1037" s="22">
        <v>14.5</v>
      </c>
      <c r="L1037" s="37">
        <v>36892</v>
      </c>
      <c r="M1037" s="2"/>
      <c r="N1037" s="2" t="s">
        <v>1966</v>
      </c>
      <c r="O1037" s="2" t="s">
        <v>27</v>
      </c>
      <c r="P1037" s="2" t="s">
        <v>26</v>
      </c>
    </row>
    <row r="1038" spans="1:16" ht="20.100000000000001" customHeight="1" x14ac:dyDescent="0.25">
      <c r="A1038" s="26" t="str">
        <f>CONCATENATE(LEFT(ConsumoConcreto[[#This Row],[RecebimentoID]],4),"CNSC",TEXT(ConsumoConcreto[[#This Row],[Ordem]],"0000"),UPPER(LEFT(ConsumoConcreto[[#This Row],[Destino]],3)))</f>
        <v>0184CNSC0495RAD</v>
      </c>
      <c r="B1038" s="1">
        <v>495</v>
      </c>
      <c r="C1038" s="2" t="s">
        <v>3092</v>
      </c>
      <c r="D1038" s="2" t="s">
        <v>2005</v>
      </c>
      <c r="E1038" s="18">
        <v>33</v>
      </c>
      <c r="F1038" s="2" t="s">
        <v>1801</v>
      </c>
      <c r="G1038" s="36">
        <v>0.4236111111111111</v>
      </c>
      <c r="H1038" s="2" t="s">
        <v>1968</v>
      </c>
      <c r="I103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38" s="22">
        <v>5.5</v>
      </c>
      <c r="K1038" s="22">
        <v>5.5</v>
      </c>
      <c r="L1038" s="37">
        <v>36892</v>
      </c>
      <c r="M1038" s="2"/>
      <c r="N1038" s="2" t="s">
        <v>1963</v>
      </c>
      <c r="O1038" s="2" t="s">
        <v>27</v>
      </c>
      <c r="P1038" s="2" t="s">
        <v>26</v>
      </c>
    </row>
    <row r="1039" spans="1:16" ht="20.100000000000001" customHeight="1" x14ac:dyDescent="0.25">
      <c r="A1039" s="26" t="str">
        <f>CONCATENATE(LEFT(ConsumoConcreto[[#This Row],[RecebimentoID]],4),"CNSC",TEXT(ConsumoConcreto[[#This Row],[Ordem]],"0000"),UPPER(LEFT(ConsumoConcreto[[#This Row],[Destino]],3)))</f>
        <v>0184CNSC0661PAR</v>
      </c>
      <c r="B1039" s="1">
        <v>661</v>
      </c>
      <c r="C1039" s="2" t="s">
        <v>3093</v>
      </c>
      <c r="D1039" s="2" t="s">
        <v>2010</v>
      </c>
      <c r="E1039" s="18">
        <v>33</v>
      </c>
      <c r="F1039" s="2" t="s">
        <v>25</v>
      </c>
      <c r="G1039" s="36">
        <v>0.84027777777777779</v>
      </c>
      <c r="H1039" s="2" t="s">
        <v>1965</v>
      </c>
      <c r="I103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39" s="22">
        <v>15</v>
      </c>
      <c r="K1039" s="22">
        <v>14</v>
      </c>
      <c r="L1039" s="37">
        <v>36892</v>
      </c>
      <c r="M1039" s="2" t="s">
        <v>3094</v>
      </c>
      <c r="N1039" s="2" t="s">
        <v>1966</v>
      </c>
      <c r="O1039" s="2" t="s">
        <v>27</v>
      </c>
      <c r="P1039" s="2" t="s">
        <v>26</v>
      </c>
    </row>
    <row r="1040" spans="1:16" ht="20.100000000000001" customHeight="1" x14ac:dyDescent="0.25">
      <c r="A1040" s="26" t="str">
        <f>CONCATENATE(LEFT(ConsumoConcreto[[#This Row],[RecebimentoID]],4),"CNSC",TEXT(ConsumoConcreto[[#This Row],[Ordem]],"0000"),UPPER(LEFT(ConsumoConcreto[[#This Row],[Destino]],3)))</f>
        <v>0184CNSC0640RAD</v>
      </c>
      <c r="B1040" s="1">
        <v>640</v>
      </c>
      <c r="C1040" s="2" t="s">
        <v>3095</v>
      </c>
      <c r="D1040" s="2" t="s">
        <v>2010</v>
      </c>
      <c r="E1040" s="18">
        <v>33</v>
      </c>
      <c r="F1040" s="2" t="s">
        <v>1801</v>
      </c>
      <c r="G1040" s="36">
        <v>0.46875</v>
      </c>
      <c r="H1040" s="2" t="s">
        <v>1968</v>
      </c>
      <c r="I104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40" s="22">
        <v>5.5</v>
      </c>
      <c r="K1040" s="22">
        <v>5.5</v>
      </c>
      <c r="L1040" s="37">
        <v>36892</v>
      </c>
      <c r="M1040" s="2"/>
      <c r="N1040" s="2" t="s">
        <v>1963</v>
      </c>
      <c r="O1040" s="2" t="s">
        <v>27</v>
      </c>
      <c r="P1040" s="2" t="s">
        <v>26</v>
      </c>
    </row>
    <row r="1041" spans="1:16" ht="20.100000000000001" customHeight="1" x14ac:dyDescent="0.25">
      <c r="A1041" s="26" t="str">
        <f>CONCATENATE(LEFT(ConsumoConcreto[[#This Row],[RecebimentoID]],4),"CNSC",TEXT(ConsumoConcreto[[#This Row],[Ordem]],"0000"),UPPER(LEFT(ConsumoConcreto[[#This Row],[Destino]],3)))</f>
        <v>0184CNSC0720PAR</v>
      </c>
      <c r="B1041" s="1">
        <v>720</v>
      </c>
      <c r="C1041" s="2" t="s">
        <v>3096</v>
      </c>
      <c r="D1041" s="2" t="s">
        <v>2013</v>
      </c>
      <c r="E1041" s="18">
        <v>33</v>
      </c>
      <c r="F1041" s="2" t="s">
        <v>25</v>
      </c>
      <c r="G1041" s="36">
        <v>0.71875</v>
      </c>
      <c r="H1041" s="2" t="s">
        <v>1965</v>
      </c>
      <c r="I104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41" s="22">
        <v>15</v>
      </c>
      <c r="K1041" s="22">
        <v>15</v>
      </c>
      <c r="L1041" s="37">
        <v>36892</v>
      </c>
      <c r="M1041" s="2" t="s">
        <v>2082</v>
      </c>
      <c r="N1041" s="2" t="s">
        <v>1966</v>
      </c>
      <c r="O1041" s="2" t="s">
        <v>27</v>
      </c>
      <c r="P1041" s="2" t="s">
        <v>26</v>
      </c>
    </row>
    <row r="1042" spans="1:16" ht="20.100000000000001" customHeight="1" x14ac:dyDescent="0.25">
      <c r="A1042" s="26" t="str">
        <f>CONCATENATE(LEFT(ConsumoConcreto[[#This Row],[RecebimentoID]],4),"CNSC",TEXT(ConsumoConcreto[[#This Row],[Ordem]],"0000"),UPPER(LEFT(ConsumoConcreto[[#This Row],[Destino]],3)))</f>
        <v>0184CNSC0699RAD</v>
      </c>
      <c r="B1042" s="1">
        <v>699</v>
      </c>
      <c r="C1042" s="2" t="s">
        <v>3097</v>
      </c>
      <c r="D1042" s="2" t="s">
        <v>2013</v>
      </c>
      <c r="E1042" s="18">
        <v>33</v>
      </c>
      <c r="F1042" s="2" t="s">
        <v>1801</v>
      </c>
      <c r="G1042" s="36">
        <v>0.45</v>
      </c>
      <c r="H1042" s="2" t="s">
        <v>1968</v>
      </c>
      <c r="I104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42" s="22">
        <v>5.5</v>
      </c>
      <c r="K1042" s="22">
        <v>5.5</v>
      </c>
      <c r="L1042" s="37">
        <v>36892</v>
      </c>
      <c r="M1042" s="2"/>
      <c r="N1042" s="2" t="s">
        <v>1963</v>
      </c>
      <c r="O1042" s="2" t="s">
        <v>27</v>
      </c>
      <c r="P1042" s="2" t="s">
        <v>26</v>
      </c>
    </row>
    <row r="1043" spans="1:16" ht="20.100000000000001" customHeight="1" x14ac:dyDescent="0.25">
      <c r="A1043" s="26" t="str">
        <f>CONCATENATE(LEFT(ConsumoConcreto[[#This Row],[RecebimentoID]],4),"CNSC",TEXT(ConsumoConcreto[[#This Row],[Ordem]],"0000"),UPPER(LEFT(ConsumoConcreto[[#This Row],[Destino]],3)))</f>
        <v>0184CNSC0995PAR</v>
      </c>
      <c r="B1043" s="1">
        <v>995</v>
      </c>
      <c r="C1043" s="2" t="s">
        <v>3098</v>
      </c>
      <c r="D1043" s="2" t="s">
        <v>2033</v>
      </c>
      <c r="E1043" s="18">
        <v>33</v>
      </c>
      <c r="F1043" s="2" t="s">
        <v>25</v>
      </c>
      <c r="G1043" s="36">
        <v>0.84722222222222221</v>
      </c>
      <c r="H1043" s="2" t="s">
        <v>1965</v>
      </c>
      <c r="I104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43" s="22">
        <v>18.5</v>
      </c>
      <c r="K1043" s="22">
        <v>18.5</v>
      </c>
      <c r="L1043" s="37">
        <v>36892</v>
      </c>
      <c r="M1043" s="2"/>
      <c r="N1043" s="2" t="s">
        <v>1966</v>
      </c>
      <c r="O1043" s="2" t="s">
        <v>27</v>
      </c>
      <c r="P1043" s="2" t="s">
        <v>26</v>
      </c>
    </row>
    <row r="1044" spans="1:16" ht="20.100000000000001" customHeight="1" x14ac:dyDescent="0.25">
      <c r="A1044" s="26" t="str">
        <f>CONCATENATE(LEFT(ConsumoConcreto[[#This Row],[RecebimentoID]],4),"CNSC",TEXT(ConsumoConcreto[[#This Row],[Ordem]],"0000"),UPPER(LEFT(ConsumoConcreto[[#This Row],[Destino]],3)))</f>
        <v>0184CNSC0947RAD</v>
      </c>
      <c r="B1044" s="1">
        <v>947</v>
      </c>
      <c r="C1044" s="2" t="s">
        <v>3099</v>
      </c>
      <c r="D1044" s="2" t="s">
        <v>2033</v>
      </c>
      <c r="E1044" s="18">
        <v>33</v>
      </c>
      <c r="F1044" s="2" t="s">
        <v>1801</v>
      </c>
      <c r="G1044" s="36">
        <v>0.6875</v>
      </c>
      <c r="H1044" s="2" t="s">
        <v>1968</v>
      </c>
      <c r="I104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44" s="22">
        <v>7.5</v>
      </c>
      <c r="K1044" s="22">
        <v>7.5</v>
      </c>
      <c r="L1044" s="37">
        <v>36892</v>
      </c>
      <c r="M1044" s="2" t="s">
        <v>2964</v>
      </c>
      <c r="N1044" s="2" t="s">
        <v>1963</v>
      </c>
      <c r="O1044" s="2" t="s">
        <v>27</v>
      </c>
      <c r="P1044" s="2" t="s">
        <v>26</v>
      </c>
    </row>
    <row r="1045" spans="1:16" ht="20.100000000000001" customHeight="1" x14ac:dyDescent="0.25">
      <c r="A1045" s="26" t="str">
        <f>CONCATENATE(LEFT(ConsumoConcreto[[#This Row],[RecebimentoID]],4),"CNSC",TEXT(ConsumoConcreto[[#This Row],[Ordem]],"0000"),UPPER(LEFT(ConsumoConcreto[[#This Row],[Destino]],3)))</f>
        <v>0184CNSC1089PAR</v>
      </c>
      <c r="B1045" s="1">
        <v>1089</v>
      </c>
      <c r="C1045" s="2" t="s">
        <v>3100</v>
      </c>
      <c r="D1045" s="2" t="s">
        <v>2036</v>
      </c>
      <c r="E1045" s="18">
        <v>33</v>
      </c>
      <c r="F1045" s="2" t="s">
        <v>25</v>
      </c>
      <c r="G1045" s="36">
        <v>0.48680555555555555</v>
      </c>
      <c r="H1045" s="2" t="s">
        <v>1965</v>
      </c>
      <c r="I104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45" s="22">
        <v>14.5</v>
      </c>
      <c r="K1045" s="22">
        <v>14.5</v>
      </c>
      <c r="L1045" s="37">
        <v>36892</v>
      </c>
      <c r="M1045" s="2" t="s">
        <v>3101</v>
      </c>
      <c r="N1045" s="2" t="s">
        <v>1966</v>
      </c>
      <c r="O1045" s="2" t="s">
        <v>27</v>
      </c>
      <c r="P1045" s="2" t="s">
        <v>26</v>
      </c>
    </row>
    <row r="1046" spans="1:16" ht="20.100000000000001" customHeight="1" x14ac:dyDescent="0.25">
      <c r="A1046" s="26" t="str">
        <f>CONCATENATE(LEFT(ConsumoConcreto[[#This Row],[RecebimentoID]],4),"CNSC",TEXT(ConsumoConcreto[[#This Row],[Ordem]],"0000"),UPPER(LEFT(ConsumoConcreto[[#This Row],[Destino]],3)))</f>
        <v>0184CNSC1053RAD</v>
      </c>
      <c r="B1046" s="1">
        <v>1053</v>
      </c>
      <c r="C1046" s="2" t="s">
        <v>3102</v>
      </c>
      <c r="D1046" s="2" t="s">
        <v>2036</v>
      </c>
      <c r="E1046" s="18">
        <v>33</v>
      </c>
      <c r="F1046" s="2" t="s">
        <v>1801</v>
      </c>
      <c r="G1046" s="36">
        <v>0.61111111111111105</v>
      </c>
      <c r="H1046" s="2" t="s">
        <v>1968</v>
      </c>
      <c r="I104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46" s="22">
        <v>5.5</v>
      </c>
      <c r="K1046" s="22">
        <v>5.5</v>
      </c>
      <c r="L1046" s="37">
        <v>36892</v>
      </c>
      <c r="M1046" s="2"/>
      <c r="N1046" s="2" t="s">
        <v>1963</v>
      </c>
      <c r="O1046" s="2" t="s">
        <v>27</v>
      </c>
      <c r="P1046" s="2" t="s">
        <v>26</v>
      </c>
    </row>
    <row r="1047" spans="1:16" ht="20.100000000000001" customHeight="1" x14ac:dyDescent="0.25">
      <c r="A1047" s="26" t="str">
        <f>CONCATENATE(LEFT(ConsumoConcreto[[#This Row],[RecebimentoID]],4),"CNSC",TEXT(ConsumoConcreto[[#This Row],[Ordem]],"0000"),UPPER(LEFT(ConsumoConcreto[[#This Row],[Destino]],3)))</f>
        <v>0184CNSC0523PAR</v>
      </c>
      <c r="B1047" s="1">
        <v>523</v>
      </c>
      <c r="C1047" s="2" t="s">
        <v>3103</v>
      </c>
      <c r="D1047" s="2" t="s">
        <v>2005</v>
      </c>
      <c r="E1047" s="18">
        <v>34</v>
      </c>
      <c r="F1047" s="2" t="s">
        <v>25</v>
      </c>
      <c r="G1047" s="36">
        <v>0.7631944444444444</v>
      </c>
      <c r="H1047" s="2" t="s">
        <v>1965</v>
      </c>
      <c r="I104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47" s="22">
        <v>14.5</v>
      </c>
      <c r="K1047" s="22">
        <v>14.5</v>
      </c>
      <c r="L1047" s="37">
        <v>36892</v>
      </c>
      <c r="M1047" s="2"/>
      <c r="N1047" s="2" t="s">
        <v>1966</v>
      </c>
      <c r="O1047" s="2" t="s">
        <v>27</v>
      </c>
      <c r="P1047" s="2" t="s">
        <v>26</v>
      </c>
    </row>
    <row r="1048" spans="1:16" ht="20.100000000000001" customHeight="1" x14ac:dyDescent="0.25">
      <c r="A1048" s="26" t="str">
        <f>CONCATENATE(LEFT(ConsumoConcreto[[#This Row],[RecebimentoID]],4),"CNSC",TEXT(ConsumoConcreto[[#This Row],[Ordem]],"0000"),UPPER(LEFT(ConsumoConcreto[[#This Row],[Destino]],3)))</f>
        <v>0184CNSC0496RAD</v>
      </c>
      <c r="B1048" s="1">
        <v>496</v>
      </c>
      <c r="C1048" s="2" t="s">
        <v>3104</v>
      </c>
      <c r="D1048" s="2" t="s">
        <v>2005</v>
      </c>
      <c r="E1048" s="18">
        <v>34</v>
      </c>
      <c r="F1048" s="2" t="s">
        <v>1801</v>
      </c>
      <c r="G1048" s="36">
        <v>0.69791666666666663</v>
      </c>
      <c r="H1048" s="2" t="s">
        <v>1968</v>
      </c>
      <c r="I104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48" s="22">
        <v>5.5</v>
      </c>
      <c r="K1048" s="22">
        <v>5.5</v>
      </c>
      <c r="L1048" s="37">
        <v>36892</v>
      </c>
      <c r="M1048" s="2"/>
      <c r="N1048" s="2" t="s">
        <v>1963</v>
      </c>
      <c r="O1048" s="2" t="s">
        <v>27</v>
      </c>
      <c r="P1048" s="2" t="s">
        <v>26</v>
      </c>
    </row>
    <row r="1049" spans="1:16" ht="20.100000000000001" customHeight="1" x14ac:dyDescent="0.25">
      <c r="A1049" s="26" t="str">
        <f>CONCATENATE(LEFT(ConsumoConcreto[[#This Row],[RecebimentoID]],4),"CNSC",TEXT(ConsumoConcreto[[#This Row],[Ordem]],"0000"),UPPER(LEFT(ConsumoConcreto[[#This Row],[Destino]],3)))</f>
        <v>0184CNSC0663PAR</v>
      </c>
      <c r="B1049" s="1">
        <v>663</v>
      </c>
      <c r="C1049" s="2" t="s">
        <v>3105</v>
      </c>
      <c r="D1049" s="2" t="s">
        <v>2010</v>
      </c>
      <c r="E1049" s="18">
        <v>34</v>
      </c>
      <c r="F1049" s="2" t="s">
        <v>25</v>
      </c>
      <c r="G1049" s="36">
        <v>0.86111111111111116</v>
      </c>
      <c r="H1049" s="2" t="s">
        <v>1965</v>
      </c>
      <c r="I104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49" s="22">
        <v>14.5</v>
      </c>
      <c r="K1049" s="22">
        <v>14.5</v>
      </c>
      <c r="L1049" s="37">
        <v>36892</v>
      </c>
      <c r="M1049" s="2"/>
      <c r="N1049" s="2" t="s">
        <v>1966</v>
      </c>
      <c r="O1049" s="2" t="s">
        <v>27</v>
      </c>
      <c r="P1049" s="2" t="s">
        <v>26</v>
      </c>
    </row>
    <row r="1050" spans="1:16" ht="20.100000000000001" customHeight="1" x14ac:dyDescent="0.25">
      <c r="A1050" s="26" t="str">
        <f>CONCATENATE(LEFT(ConsumoConcreto[[#This Row],[RecebimentoID]],4),"CNSC",TEXT(ConsumoConcreto[[#This Row],[Ordem]],"0000"),UPPER(LEFT(ConsumoConcreto[[#This Row],[Destino]],3)))</f>
        <v>0184CNSC0646RAD</v>
      </c>
      <c r="B1050" s="1">
        <v>646</v>
      </c>
      <c r="C1050" s="2" t="s">
        <v>3106</v>
      </c>
      <c r="D1050" s="2" t="s">
        <v>2010</v>
      </c>
      <c r="E1050" s="18">
        <v>34</v>
      </c>
      <c r="F1050" s="2" t="s">
        <v>1801</v>
      </c>
      <c r="G1050" s="36">
        <v>0.70347222222222217</v>
      </c>
      <c r="H1050" s="2" t="s">
        <v>1968</v>
      </c>
      <c r="I105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50" s="22">
        <v>5.5</v>
      </c>
      <c r="K1050" s="22">
        <v>5.5</v>
      </c>
      <c r="L1050" s="37">
        <v>36892</v>
      </c>
      <c r="M1050" s="2"/>
      <c r="N1050" s="2" t="s">
        <v>1963</v>
      </c>
      <c r="O1050" s="2" t="s">
        <v>27</v>
      </c>
      <c r="P1050" s="2" t="s">
        <v>26</v>
      </c>
    </row>
    <row r="1051" spans="1:16" ht="20.100000000000001" customHeight="1" x14ac:dyDescent="0.25">
      <c r="A1051" s="26" t="str">
        <f>CONCATENATE(LEFT(ConsumoConcreto[[#This Row],[RecebimentoID]],4),"CNSC",TEXT(ConsumoConcreto[[#This Row],[Ordem]],"0000"),UPPER(LEFT(ConsumoConcreto[[#This Row],[Destino]],3)))</f>
        <v>0184CNSC0741PAR</v>
      </c>
      <c r="B1051" s="1">
        <v>741</v>
      </c>
      <c r="C1051" s="2" t="s">
        <v>3107</v>
      </c>
      <c r="D1051" s="2" t="s">
        <v>2013</v>
      </c>
      <c r="E1051" s="18">
        <v>34</v>
      </c>
      <c r="F1051" s="2" t="s">
        <v>25</v>
      </c>
      <c r="G1051" s="36"/>
      <c r="H1051" s="2" t="s">
        <v>1965</v>
      </c>
      <c r="I105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K1051" s="22">
        <v>0</v>
      </c>
      <c r="L1051" s="37">
        <v>36892</v>
      </c>
      <c r="M1051" s="2"/>
      <c r="N1051" s="2"/>
      <c r="O1051" s="2" t="s">
        <v>27</v>
      </c>
      <c r="P1051" s="2" t="s">
        <v>26</v>
      </c>
    </row>
    <row r="1052" spans="1:16" ht="20.100000000000001" customHeight="1" x14ac:dyDescent="0.25">
      <c r="A1052" s="26" t="str">
        <f>CONCATENATE(LEFT(ConsumoConcreto[[#This Row],[RecebimentoID]],4),"CNSC",TEXT(ConsumoConcreto[[#This Row],[Ordem]],"0000"),UPPER(LEFT(ConsumoConcreto[[#This Row],[Destino]],3)))</f>
        <v>0184CNSC0715RAD</v>
      </c>
      <c r="B1052" s="1">
        <v>715</v>
      </c>
      <c r="C1052" s="2" t="s">
        <v>3108</v>
      </c>
      <c r="D1052" s="2" t="s">
        <v>2013</v>
      </c>
      <c r="E1052" s="18">
        <v>34</v>
      </c>
      <c r="F1052" s="2" t="s">
        <v>1801</v>
      </c>
      <c r="G1052" s="36">
        <v>0.50347222222222221</v>
      </c>
      <c r="H1052" s="2" t="s">
        <v>1968</v>
      </c>
      <c r="I105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52" s="22">
        <v>7.5</v>
      </c>
      <c r="K1052" s="22">
        <v>7.5</v>
      </c>
      <c r="L1052" s="37">
        <v>36892</v>
      </c>
      <c r="M1052" s="2" t="s">
        <v>3109</v>
      </c>
      <c r="N1052" s="2" t="s">
        <v>1966</v>
      </c>
      <c r="O1052" s="2" t="s">
        <v>27</v>
      </c>
      <c r="P1052" s="2" t="s">
        <v>26</v>
      </c>
    </row>
    <row r="1053" spans="1:16" ht="20.100000000000001" customHeight="1" x14ac:dyDescent="0.25">
      <c r="A1053" s="26" t="str">
        <f>CONCATENATE(LEFT(ConsumoConcreto[[#This Row],[RecebimentoID]],4),"CNSC",TEXT(ConsumoConcreto[[#This Row],[Ordem]],"0000"),UPPER(LEFT(ConsumoConcreto[[#This Row],[Destino]],3)))</f>
        <v>0184CNSC0998PAR</v>
      </c>
      <c r="B1053" s="1">
        <v>998</v>
      </c>
      <c r="C1053" s="2" t="s">
        <v>3110</v>
      </c>
      <c r="D1053" s="2" t="s">
        <v>2033</v>
      </c>
      <c r="E1053" s="18">
        <v>34</v>
      </c>
      <c r="F1053" s="2" t="s">
        <v>25</v>
      </c>
      <c r="G1053" s="36">
        <v>0.85625000000000007</v>
      </c>
      <c r="H1053" s="2" t="s">
        <v>1965</v>
      </c>
      <c r="I105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53" s="22">
        <v>14.5</v>
      </c>
      <c r="K1053" s="22">
        <v>14.5</v>
      </c>
      <c r="L1053" s="37">
        <v>36892</v>
      </c>
      <c r="M1053" s="2"/>
      <c r="N1053" s="2" t="s">
        <v>1966</v>
      </c>
      <c r="O1053" s="2" t="s">
        <v>27</v>
      </c>
      <c r="P1053" s="2" t="s">
        <v>26</v>
      </c>
    </row>
    <row r="1054" spans="1:16" ht="20.100000000000001" customHeight="1" x14ac:dyDescent="0.25">
      <c r="A1054" s="26" t="str">
        <f>CONCATENATE(LEFT(ConsumoConcreto[[#This Row],[RecebimentoID]],4),"CNSC",TEXT(ConsumoConcreto[[#This Row],[Ordem]],"0000"),UPPER(LEFT(ConsumoConcreto[[#This Row],[Destino]],3)))</f>
        <v>0184CNSC0988RAD</v>
      </c>
      <c r="B1054" s="1">
        <v>988</v>
      </c>
      <c r="C1054" s="2" t="s">
        <v>3111</v>
      </c>
      <c r="D1054" s="2" t="s">
        <v>2033</v>
      </c>
      <c r="E1054" s="18">
        <v>34</v>
      </c>
      <c r="F1054" s="2" t="s">
        <v>1801</v>
      </c>
      <c r="G1054" s="36">
        <v>0.64930555555555558</v>
      </c>
      <c r="H1054" s="2" t="s">
        <v>1968</v>
      </c>
      <c r="I105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54" s="22">
        <v>6</v>
      </c>
      <c r="K1054" s="22">
        <v>6</v>
      </c>
      <c r="L1054" s="37">
        <v>36892</v>
      </c>
      <c r="M1054" s="2"/>
      <c r="N1054" s="2" t="s">
        <v>1966</v>
      </c>
      <c r="O1054" s="2" t="s">
        <v>27</v>
      </c>
      <c r="P1054" s="2" t="s">
        <v>26</v>
      </c>
    </row>
    <row r="1055" spans="1:16" ht="20.100000000000001" customHeight="1" x14ac:dyDescent="0.25">
      <c r="A1055" s="26" t="str">
        <f>CONCATENATE(LEFT(ConsumoConcreto[[#This Row],[RecebimentoID]],4),"CNSC",TEXT(ConsumoConcreto[[#This Row],[Ordem]],"0000"),UPPER(LEFT(ConsumoConcreto[[#This Row],[Destino]],3)))</f>
        <v>0184CNSC1090PAR</v>
      </c>
      <c r="B1055" s="1">
        <v>1090</v>
      </c>
      <c r="C1055" s="2" t="s">
        <v>3112</v>
      </c>
      <c r="D1055" s="2" t="s">
        <v>2036</v>
      </c>
      <c r="E1055" s="18">
        <v>34</v>
      </c>
      <c r="F1055" s="2" t="s">
        <v>25</v>
      </c>
      <c r="G1055" s="36">
        <v>0.70208333333333339</v>
      </c>
      <c r="H1055" s="2" t="s">
        <v>1965</v>
      </c>
      <c r="I105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55" s="22">
        <v>14.5</v>
      </c>
      <c r="K1055" s="22">
        <v>14.5</v>
      </c>
      <c r="L1055" s="37">
        <v>36892</v>
      </c>
      <c r="M1055" s="2"/>
      <c r="N1055" s="2" t="s">
        <v>1966</v>
      </c>
      <c r="O1055" s="2" t="s">
        <v>27</v>
      </c>
      <c r="P1055" s="2" t="s">
        <v>26</v>
      </c>
    </row>
    <row r="1056" spans="1:16" ht="20.100000000000001" customHeight="1" x14ac:dyDescent="0.25">
      <c r="A1056" s="26" t="str">
        <f>CONCATENATE(LEFT(ConsumoConcreto[[#This Row],[RecebimentoID]],4),"CNSC",TEXT(ConsumoConcreto[[#This Row],[Ordem]],"0000"),UPPER(LEFT(ConsumoConcreto[[#This Row],[Destino]],3)))</f>
        <v>0184CNSC1026RAD</v>
      </c>
      <c r="B1056" s="1">
        <v>1026</v>
      </c>
      <c r="C1056" s="2" t="s">
        <v>3113</v>
      </c>
      <c r="D1056" s="2" t="s">
        <v>2036</v>
      </c>
      <c r="E1056" s="18">
        <v>34</v>
      </c>
      <c r="F1056" s="2" t="s">
        <v>1801</v>
      </c>
      <c r="G1056" s="36">
        <v>0.49305555555555558</v>
      </c>
      <c r="H1056" s="2" t="s">
        <v>1968</v>
      </c>
      <c r="I105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56" s="22">
        <v>5.5</v>
      </c>
      <c r="K1056" s="22">
        <v>5.5</v>
      </c>
      <c r="L1056" s="37">
        <v>36892</v>
      </c>
      <c r="M1056" s="2"/>
      <c r="N1056" s="2" t="s">
        <v>1963</v>
      </c>
      <c r="O1056" s="2" t="s">
        <v>27</v>
      </c>
      <c r="P1056" s="2" t="s">
        <v>26</v>
      </c>
    </row>
    <row r="1057" spans="1:16" ht="20.100000000000001" customHeight="1" x14ac:dyDescent="0.25">
      <c r="A1057" s="26" t="str">
        <f>CONCATENATE(LEFT(ConsumoConcreto[[#This Row],[RecebimentoID]],4),"CNSC",TEXT(ConsumoConcreto[[#This Row],[Ordem]],"0000"),UPPER(LEFT(ConsumoConcreto[[#This Row],[Destino]],3)))</f>
        <v>0184CNSC0528PAR</v>
      </c>
      <c r="B1057" s="1">
        <v>528</v>
      </c>
      <c r="C1057" s="2" t="s">
        <v>3114</v>
      </c>
      <c r="D1057" s="2" t="s">
        <v>2005</v>
      </c>
      <c r="E1057" s="18">
        <v>35</v>
      </c>
      <c r="F1057" s="2" t="s">
        <v>25</v>
      </c>
      <c r="G1057" s="36">
        <v>0.79861111111111116</v>
      </c>
      <c r="H1057" s="2" t="s">
        <v>1965</v>
      </c>
      <c r="I105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57" s="22">
        <v>14.5</v>
      </c>
      <c r="K1057" s="22">
        <v>14.5</v>
      </c>
      <c r="L1057" s="37">
        <v>36892</v>
      </c>
      <c r="M1057" s="2"/>
      <c r="N1057" s="2" t="s">
        <v>1966</v>
      </c>
      <c r="O1057" s="2" t="s">
        <v>27</v>
      </c>
      <c r="P1057" s="2" t="s">
        <v>26</v>
      </c>
    </row>
    <row r="1058" spans="1:16" ht="20.100000000000001" customHeight="1" x14ac:dyDescent="0.25">
      <c r="A1058" s="26" t="str">
        <f>CONCATENATE(LEFT(ConsumoConcreto[[#This Row],[RecebimentoID]],4),"CNSC",TEXT(ConsumoConcreto[[#This Row],[Ordem]],"0000"),UPPER(LEFT(ConsumoConcreto[[#This Row],[Destino]],3)))</f>
        <v>0184CNSC0497RAD</v>
      </c>
      <c r="B1058" s="1">
        <v>497</v>
      </c>
      <c r="C1058" s="2" t="s">
        <v>3115</v>
      </c>
      <c r="D1058" s="2" t="s">
        <v>2005</v>
      </c>
      <c r="E1058" s="18">
        <v>35</v>
      </c>
      <c r="F1058" s="2" t="s">
        <v>1801</v>
      </c>
      <c r="G1058" s="36">
        <v>0.47222222222222227</v>
      </c>
      <c r="H1058" s="2" t="s">
        <v>1968</v>
      </c>
      <c r="I105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58" s="22">
        <v>5.5</v>
      </c>
      <c r="K1058" s="22">
        <v>5.5</v>
      </c>
      <c r="L1058" s="37">
        <v>36892</v>
      </c>
      <c r="M1058" s="2"/>
      <c r="N1058" s="2" t="s">
        <v>1963</v>
      </c>
      <c r="O1058" s="2" t="s">
        <v>27</v>
      </c>
      <c r="P1058" s="2" t="s">
        <v>26</v>
      </c>
    </row>
    <row r="1059" spans="1:16" ht="20.100000000000001" customHeight="1" x14ac:dyDescent="0.25">
      <c r="A1059" s="26" t="str">
        <f>CONCATENATE(LEFT(ConsumoConcreto[[#This Row],[RecebimentoID]],4),"CNSC",TEXT(ConsumoConcreto[[#This Row],[Ordem]],"0000"),UPPER(LEFT(ConsumoConcreto[[#This Row],[Destino]],3)))</f>
        <v>0184CNSC0665PAR</v>
      </c>
      <c r="B1059" s="1">
        <v>665</v>
      </c>
      <c r="C1059" s="2" t="s">
        <v>3116</v>
      </c>
      <c r="D1059" s="2" t="s">
        <v>2010</v>
      </c>
      <c r="E1059" s="18">
        <v>35</v>
      </c>
      <c r="F1059" s="2" t="s">
        <v>25</v>
      </c>
      <c r="G1059" s="36">
        <v>0.87638888888888899</v>
      </c>
      <c r="H1059" s="2" t="s">
        <v>1965</v>
      </c>
      <c r="I105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59" s="22">
        <v>14</v>
      </c>
      <c r="K1059" s="22">
        <v>14</v>
      </c>
      <c r="L1059" s="37">
        <v>36892</v>
      </c>
      <c r="M1059" s="2"/>
      <c r="N1059" s="2" t="s">
        <v>1966</v>
      </c>
      <c r="O1059" s="2" t="s">
        <v>27</v>
      </c>
      <c r="P1059" s="2" t="s">
        <v>26</v>
      </c>
    </row>
    <row r="1060" spans="1:16" ht="20.100000000000001" customHeight="1" x14ac:dyDescent="0.25">
      <c r="A1060" s="26" t="str">
        <f>CONCATENATE(LEFT(ConsumoConcreto[[#This Row],[RecebimentoID]],4),"CNSC",TEXT(ConsumoConcreto[[#This Row],[Ordem]],"0000"),UPPER(LEFT(ConsumoConcreto[[#This Row],[Destino]],3)))</f>
        <v>0184CNSC0647RAD</v>
      </c>
      <c r="B1060" s="1">
        <v>647</v>
      </c>
      <c r="C1060" s="2" t="s">
        <v>3117</v>
      </c>
      <c r="D1060" s="2" t="s">
        <v>2010</v>
      </c>
      <c r="E1060" s="18">
        <v>35</v>
      </c>
      <c r="F1060" s="2" t="s">
        <v>1801</v>
      </c>
      <c r="G1060" s="36">
        <v>0.57638888888888895</v>
      </c>
      <c r="H1060" s="2" t="s">
        <v>1968</v>
      </c>
      <c r="I106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60" s="22">
        <v>5.5</v>
      </c>
      <c r="K1060" s="22">
        <v>5.5</v>
      </c>
      <c r="L1060" s="37">
        <v>36892</v>
      </c>
      <c r="M1060" s="2"/>
      <c r="N1060" s="2" t="s">
        <v>1963</v>
      </c>
      <c r="O1060" s="2" t="s">
        <v>27</v>
      </c>
      <c r="P1060" s="2" t="s">
        <v>26</v>
      </c>
    </row>
    <row r="1061" spans="1:16" ht="20.100000000000001" customHeight="1" x14ac:dyDescent="0.25">
      <c r="A1061" s="26" t="str">
        <f>CONCATENATE(LEFT(ConsumoConcreto[[#This Row],[RecebimentoID]],4),"CNSC",TEXT(ConsumoConcreto[[#This Row],[Ordem]],"0000"),UPPER(LEFT(ConsumoConcreto[[#This Row],[Destino]],3)))</f>
        <v>0184CNSC0997PAR</v>
      </c>
      <c r="B1061" s="1">
        <v>997</v>
      </c>
      <c r="C1061" s="2" t="s">
        <v>3118</v>
      </c>
      <c r="D1061" s="2" t="s">
        <v>2033</v>
      </c>
      <c r="E1061" s="18">
        <v>35</v>
      </c>
      <c r="F1061" s="2" t="s">
        <v>25</v>
      </c>
      <c r="G1061" s="36">
        <v>0.79722222222222217</v>
      </c>
      <c r="H1061" s="2" t="s">
        <v>1965</v>
      </c>
      <c r="I106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61" s="22">
        <v>18.5</v>
      </c>
      <c r="K1061" s="22">
        <v>18.5</v>
      </c>
      <c r="L1061" s="37">
        <v>36892</v>
      </c>
      <c r="M1061" s="2"/>
      <c r="N1061" s="2" t="s">
        <v>1966</v>
      </c>
      <c r="O1061" s="2" t="s">
        <v>27</v>
      </c>
      <c r="P1061" s="2" t="s">
        <v>26</v>
      </c>
    </row>
    <row r="1062" spans="1:16" ht="20.100000000000001" customHeight="1" x14ac:dyDescent="0.25">
      <c r="A1062" s="26" t="str">
        <f>CONCATENATE(LEFT(ConsumoConcreto[[#This Row],[RecebimentoID]],4),"CNSC",TEXT(ConsumoConcreto[[#This Row],[Ordem]],"0000"),UPPER(LEFT(ConsumoConcreto[[#This Row],[Destino]],3)))</f>
        <v>0184CNSC0948RAD</v>
      </c>
      <c r="B1062" s="1">
        <v>948</v>
      </c>
      <c r="C1062" s="2" t="s">
        <v>3119</v>
      </c>
      <c r="D1062" s="2" t="s">
        <v>2033</v>
      </c>
      <c r="E1062" s="18">
        <v>35</v>
      </c>
      <c r="F1062" s="2" t="s">
        <v>1801</v>
      </c>
      <c r="G1062" s="36">
        <v>0.71527777777777779</v>
      </c>
      <c r="H1062" s="2" t="s">
        <v>1968</v>
      </c>
      <c r="I106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62" s="22">
        <v>7.5</v>
      </c>
      <c r="K1062" s="22">
        <v>7.5</v>
      </c>
      <c r="L1062" s="37">
        <v>36892</v>
      </c>
      <c r="M1062" s="2" t="s">
        <v>2964</v>
      </c>
      <c r="N1062" s="2" t="s">
        <v>1963</v>
      </c>
      <c r="O1062" s="2" t="s">
        <v>27</v>
      </c>
      <c r="P1062" s="2" t="s">
        <v>26</v>
      </c>
    </row>
    <row r="1063" spans="1:16" ht="20.100000000000001" customHeight="1" x14ac:dyDescent="0.25">
      <c r="A1063" s="26" t="str">
        <f>CONCATENATE(LEFT(ConsumoConcreto[[#This Row],[RecebimentoID]],4),"CNSC",TEXT(ConsumoConcreto[[#This Row],[Ordem]],"0000"),UPPER(LEFT(ConsumoConcreto[[#This Row],[Destino]],3)))</f>
        <v>0184CNSC1091PAR</v>
      </c>
      <c r="B1063" s="1">
        <v>1091</v>
      </c>
      <c r="C1063" s="2" t="s">
        <v>3120</v>
      </c>
      <c r="D1063" s="2" t="s">
        <v>2036</v>
      </c>
      <c r="E1063" s="18">
        <v>35</v>
      </c>
      <c r="F1063" s="2" t="s">
        <v>25</v>
      </c>
      <c r="G1063" s="36">
        <v>0.6430555555555556</v>
      </c>
      <c r="H1063" s="2" t="s">
        <v>1965</v>
      </c>
      <c r="I106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63" s="22">
        <v>15</v>
      </c>
      <c r="K1063" s="22">
        <v>15</v>
      </c>
      <c r="L1063" s="37">
        <v>36892</v>
      </c>
      <c r="M1063" s="2"/>
      <c r="N1063" s="2" t="s">
        <v>1966</v>
      </c>
      <c r="O1063" s="2" t="s">
        <v>27</v>
      </c>
      <c r="P1063" s="2" t="s">
        <v>26</v>
      </c>
    </row>
    <row r="1064" spans="1:16" ht="20.100000000000001" customHeight="1" x14ac:dyDescent="0.25">
      <c r="A1064" s="26" t="str">
        <f>CONCATENATE(LEFT(ConsumoConcreto[[#This Row],[RecebimentoID]],4),"CNSC",TEXT(ConsumoConcreto[[#This Row],[Ordem]],"0000"),UPPER(LEFT(ConsumoConcreto[[#This Row],[Destino]],3)))</f>
        <v>0184CNSC1066RAD</v>
      </c>
      <c r="B1064" s="1">
        <v>1066</v>
      </c>
      <c r="C1064" s="2" t="s">
        <v>3121</v>
      </c>
      <c r="D1064" s="2" t="s">
        <v>2036</v>
      </c>
      <c r="E1064" s="18">
        <v>35</v>
      </c>
      <c r="F1064" s="2" t="s">
        <v>1801</v>
      </c>
      <c r="G1064" s="36">
        <v>0.44444444444444442</v>
      </c>
      <c r="H1064" s="2" t="s">
        <v>1968</v>
      </c>
      <c r="I106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64" s="22">
        <v>5.5</v>
      </c>
      <c r="K1064" s="22">
        <v>5.5</v>
      </c>
      <c r="L1064" s="37">
        <v>36892</v>
      </c>
      <c r="M1064" s="2"/>
      <c r="N1064" s="2" t="s">
        <v>2017</v>
      </c>
      <c r="O1064" s="2" t="s">
        <v>27</v>
      </c>
      <c r="P1064" s="2" t="s">
        <v>26</v>
      </c>
    </row>
    <row r="1065" spans="1:16" ht="20.100000000000001" customHeight="1" x14ac:dyDescent="0.25">
      <c r="A1065" s="26" t="str">
        <f>CONCATENATE(LEFT(ConsumoConcreto[[#This Row],[RecebimentoID]],4),"CNSC",TEXT(ConsumoConcreto[[#This Row],[Ordem]],"0000"),UPPER(LEFT(ConsumoConcreto[[#This Row],[Destino]],3)))</f>
        <v>0184CNSC0525PAR</v>
      </c>
      <c r="B1065" s="1">
        <v>525</v>
      </c>
      <c r="C1065" s="2" t="s">
        <v>3122</v>
      </c>
      <c r="D1065" s="2" t="s">
        <v>2005</v>
      </c>
      <c r="E1065" s="18">
        <v>36</v>
      </c>
      <c r="F1065" s="2" t="s">
        <v>25</v>
      </c>
      <c r="G1065" s="36">
        <v>0.98263888888888884</v>
      </c>
      <c r="H1065" s="2" t="s">
        <v>1965</v>
      </c>
      <c r="I106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65" s="22">
        <v>14.5</v>
      </c>
      <c r="K1065" s="22">
        <v>14.5</v>
      </c>
      <c r="L1065" s="37">
        <v>36892</v>
      </c>
      <c r="M1065" s="2"/>
      <c r="N1065" s="2" t="s">
        <v>1966</v>
      </c>
      <c r="O1065" s="2" t="s">
        <v>27</v>
      </c>
      <c r="P1065" s="2" t="s">
        <v>26</v>
      </c>
    </row>
    <row r="1066" spans="1:16" ht="20.100000000000001" customHeight="1" x14ac:dyDescent="0.25">
      <c r="A1066" s="26" t="str">
        <f>CONCATENATE(LEFT(ConsumoConcreto[[#This Row],[RecebimentoID]],4),"CNSC",TEXT(ConsumoConcreto[[#This Row],[Ordem]],"0000"),UPPER(LEFT(ConsumoConcreto[[#This Row],[Destino]],3)))</f>
        <v>0184CNSC0498RAD</v>
      </c>
      <c r="B1066" s="1">
        <v>498</v>
      </c>
      <c r="C1066" s="2" t="s">
        <v>3123</v>
      </c>
      <c r="D1066" s="2" t="s">
        <v>2005</v>
      </c>
      <c r="E1066" s="18">
        <v>36</v>
      </c>
      <c r="F1066" s="2" t="s">
        <v>1801</v>
      </c>
      <c r="G1066" s="36">
        <v>0.56944444444444442</v>
      </c>
      <c r="H1066" s="2" t="s">
        <v>1968</v>
      </c>
      <c r="I106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66" s="22">
        <v>5.5</v>
      </c>
      <c r="K1066" s="22">
        <v>5.5</v>
      </c>
      <c r="L1066" s="37">
        <v>36892</v>
      </c>
      <c r="M1066" s="2"/>
      <c r="N1066" s="2" t="s">
        <v>1963</v>
      </c>
      <c r="O1066" s="2" t="s">
        <v>27</v>
      </c>
      <c r="P1066" s="2" t="s">
        <v>26</v>
      </c>
    </row>
    <row r="1067" spans="1:16" ht="20.100000000000001" customHeight="1" x14ac:dyDescent="0.25">
      <c r="A1067" s="26" t="str">
        <f>CONCATENATE(LEFT(ConsumoConcreto[[#This Row],[RecebimentoID]],4),"CNSC",TEXT(ConsumoConcreto[[#This Row],[Ordem]],"0000"),UPPER(LEFT(ConsumoConcreto[[#This Row],[Destino]],3)))</f>
        <v>0184CNSC0667PAR</v>
      </c>
      <c r="B1067" s="1">
        <v>667</v>
      </c>
      <c r="C1067" s="2" t="s">
        <v>3124</v>
      </c>
      <c r="D1067" s="2" t="s">
        <v>2010</v>
      </c>
      <c r="E1067" s="18">
        <v>36</v>
      </c>
      <c r="F1067" s="2" t="s">
        <v>25</v>
      </c>
      <c r="G1067" s="36">
        <v>0.75347222222222221</v>
      </c>
      <c r="H1067" s="2" t="s">
        <v>1965</v>
      </c>
      <c r="I106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67" s="22">
        <v>14</v>
      </c>
      <c r="K1067" s="22">
        <v>14</v>
      </c>
      <c r="L1067" s="37">
        <v>36892</v>
      </c>
      <c r="M1067" s="2"/>
      <c r="N1067" s="2" t="s">
        <v>1966</v>
      </c>
      <c r="O1067" s="2" t="s">
        <v>27</v>
      </c>
      <c r="P1067" s="2" t="s">
        <v>26</v>
      </c>
    </row>
    <row r="1068" spans="1:16" ht="20.100000000000001" customHeight="1" x14ac:dyDescent="0.25">
      <c r="A1068" s="26" t="str">
        <f>CONCATENATE(LEFT(ConsumoConcreto[[#This Row],[RecebimentoID]],4),"CNSC",TEXT(ConsumoConcreto[[#This Row],[Ordem]],"0000"),UPPER(LEFT(ConsumoConcreto[[#This Row],[Destino]],3)))</f>
        <v>0184CNSC0634RAD</v>
      </c>
      <c r="B1068" s="1">
        <v>634</v>
      </c>
      <c r="C1068" s="2" t="s">
        <v>3125</v>
      </c>
      <c r="D1068" s="2" t="s">
        <v>2010</v>
      </c>
      <c r="E1068" s="18">
        <v>36</v>
      </c>
      <c r="F1068" s="2" t="s">
        <v>1801</v>
      </c>
      <c r="G1068" s="36">
        <v>0.69444444444444453</v>
      </c>
      <c r="H1068" s="2" t="s">
        <v>1968</v>
      </c>
      <c r="I106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68" s="22">
        <v>5.5</v>
      </c>
      <c r="K1068" s="22">
        <v>5.5</v>
      </c>
      <c r="L1068" s="37">
        <v>36892</v>
      </c>
      <c r="M1068" s="2"/>
      <c r="N1068" s="2" t="s">
        <v>1963</v>
      </c>
      <c r="O1068" s="2" t="s">
        <v>27</v>
      </c>
      <c r="P1068" s="2" t="s">
        <v>26</v>
      </c>
    </row>
    <row r="1069" spans="1:16" ht="20.100000000000001" customHeight="1" x14ac:dyDescent="0.25">
      <c r="A1069" s="26" t="str">
        <f>CONCATENATE(LEFT(ConsumoConcreto[[#This Row],[RecebimentoID]],4),"CNSC",TEXT(ConsumoConcreto[[#This Row],[Ordem]],"0000"),UPPER(LEFT(ConsumoConcreto[[#This Row],[Destino]],3)))</f>
        <v>0184CNSC0887PAR</v>
      </c>
      <c r="B1069" s="1">
        <v>887</v>
      </c>
      <c r="C1069" s="2" t="s">
        <v>3126</v>
      </c>
      <c r="D1069" s="2" t="s">
        <v>2027</v>
      </c>
      <c r="E1069" s="18">
        <v>36</v>
      </c>
      <c r="F1069" s="2" t="s">
        <v>25</v>
      </c>
      <c r="G1069" s="36">
        <v>0.70694444444444438</v>
      </c>
      <c r="H1069" s="2" t="s">
        <v>1965</v>
      </c>
      <c r="I106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69" s="22">
        <v>14.5</v>
      </c>
      <c r="K1069" s="22">
        <v>14.5</v>
      </c>
      <c r="L1069" s="37">
        <v>36892</v>
      </c>
      <c r="M1069" s="2"/>
      <c r="N1069" s="2" t="s">
        <v>1966</v>
      </c>
      <c r="O1069" s="2" t="s">
        <v>27</v>
      </c>
      <c r="P1069" s="2" t="s">
        <v>26</v>
      </c>
    </row>
    <row r="1070" spans="1:16" ht="20.100000000000001" customHeight="1" x14ac:dyDescent="0.25">
      <c r="A1070" s="26" t="str">
        <f>CONCATENATE(LEFT(ConsumoConcreto[[#This Row],[RecebimentoID]],4),"CNSC",TEXT(ConsumoConcreto[[#This Row],[Ordem]],"0000"),UPPER(LEFT(ConsumoConcreto[[#This Row],[Destino]],3)))</f>
        <v>0184CNSC0881RAD</v>
      </c>
      <c r="B1070" s="1">
        <v>881</v>
      </c>
      <c r="C1070" s="2" t="s">
        <v>3127</v>
      </c>
      <c r="D1070" s="2" t="s">
        <v>2027</v>
      </c>
      <c r="E1070" s="18">
        <v>36</v>
      </c>
      <c r="F1070" s="2" t="s">
        <v>1801</v>
      </c>
      <c r="G1070" s="36">
        <v>0.57986111111111105</v>
      </c>
      <c r="H1070" s="2" t="s">
        <v>1968</v>
      </c>
      <c r="I107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70" s="22">
        <v>5.5</v>
      </c>
      <c r="K1070" s="22">
        <v>5.5</v>
      </c>
      <c r="L1070" s="37">
        <v>36892</v>
      </c>
      <c r="M1070" s="2"/>
      <c r="N1070" s="2" t="s">
        <v>1963</v>
      </c>
      <c r="O1070" s="2" t="s">
        <v>27</v>
      </c>
      <c r="P1070" s="2" t="s">
        <v>26</v>
      </c>
    </row>
    <row r="1071" spans="1:16" ht="20.100000000000001" customHeight="1" x14ac:dyDescent="0.25">
      <c r="A1071" s="26" t="str">
        <f>CONCATENATE(LEFT(ConsumoConcreto[[#This Row],[RecebimentoID]],4),"CNSC",TEXT(ConsumoConcreto[[#This Row],[Ordem]],"0000"),UPPER(LEFT(ConsumoConcreto[[#This Row],[Destino]],3)))</f>
        <v>0184CNSC0999PAR</v>
      </c>
      <c r="B1071" s="1">
        <v>999</v>
      </c>
      <c r="C1071" s="2" t="s">
        <v>3128</v>
      </c>
      <c r="D1071" s="2" t="s">
        <v>2033</v>
      </c>
      <c r="E1071" s="18">
        <v>36</v>
      </c>
      <c r="F1071" s="2" t="s">
        <v>25</v>
      </c>
      <c r="G1071" s="36">
        <v>0.78333333333333333</v>
      </c>
      <c r="H1071" s="2" t="s">
        <v>1965</v>
      </c>
      <c r="I107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71" s="22">
        <v>14.5</v>
      </c>
      <c r="K1071" s="22">
        <v>14.5</v>
      </c>
      <c r="L1071" s="37">
        <v>36892</v>
      </c>
      <c r="M1071" s="2"/>
      <c r="N1071" s="2" t="s">
        <v>1966</v>
      </c>
      <c r="O1071" s="2" t="s">
        <v>27</v>
      </c>
      <c r="P1071" s="2" t="s">
        <v>26</v>
      </c>
    </row>
    <row r="1072" spans="1:16" ht="20.100000000000001" customHeight="1" x14ac:dyDescent="0.25">
      <c r="A1072" s="26" t="str">
        <f>CONCATENATE(LEFT(ConsumoConcreto[[#This Row],[RecebimentoID]],4),"CNSC",TEXT(ConsumoConcreto[[#This Row],[Ordem]],"0000"),UPPER(LEFT(ConsumoConcreto[[#This Row],[Destino]],3)))</f>
        <v>0184CNSC0989RAD</v>
      </c>
      <c r="B1072" s="1">
        <v>989</v>
      </c>
      <c r="C1072" s="2" t="s">
        <v>3129</v>
      </c>
      <c r="D1072" s="2" t="s">
        <v>2033</v>
      </c>
      <c r="E1072" s="18">
        <v>36</v>
      </c>
      <c r="F1072" s="2" t="s">
        <v>1801</v>
      </c>
      <c r="G1072" s="36">
        <v>0.6791666666666667</v>
      </c>
      <c r="H1072" s="2" t="s">
        <v>1968</v>
      </c>
      <c r="I107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72" s="22">
        <v>5.5</v>
      </c>
      <c r="K1072" s="22">
        <v>5.5</v>
      </c>
      <c r="L1072" s="37">
        <v>36892</v>
      </c>
      <c r="M1072" s="2"/>
      <c r="N1072" s="2" t="s">
        <v>1966</v>
      </c>
      <c r="O1072" s="2" t="s">
        <v>27</v>
      </c>
      <c r="P1072" s="2" t="s">
        <v>26</v>
      </c>
    </row>
    <row r="1073" spans="1:16" ht="20.100000000000001" customHeight="1" x14ac:dyDescent="0.25">
      <c r="A1073" s="26" t="str">
        <f>CONCATENATE(LEFT(ConsumoConcreto[[#This Row],[RecebimentoID]],4),"CNSC",TEXT(ConsumoConcreto[[#This Row],[Ordem]],"0000"),UPPER(LEFT(ConsumoConcreto[[#This Row],[Destino]],3)))</f>
        <v>0184CNSC1092PAR</v>
      </c>
      <c r="B1073" s="1">
        <v>1092</v>
      </c>
      <c r="C1073" s="2" t="s">
        <v>3130</v>
      </c>
      <c r="D1073" s="2" t="s">
        <v>2036</v>
      </c>
      <c r="E1073" s="18">
        <v>36</v>
      </c>
      <c r="F1073" s="2" t="s">
        <v>25</v>
      </c>
      <c r="G1073" s="36">
        <v>0.59722222222222221</v>
      </c>
      <c r="H1073" s="2" t="s">
        <v>1965</v>
      </c>
      <c r="I107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73" s="22">
        <v>15</v>
      </c>
      <c r="K1073" s="22">
        <v>15</v>
      </c>
      <c r="L1073" s="37">
        <v>36892</v>
      </c>
      <c r="M1073" s="2"/>
      <c r="N1073" s="2" t="s">
        <v>1966</v>
      </c>
      <c r="O1073" s="2" t="s">
        <v>27</v>
      </c>
      <c r="P1073" s="2" t="s">
        <v>26</v>
      </c>
    </row>
    <row r="1074" spans="1:16" ht="20.100000000000001" customHeight="1" x14ac:dyDescent="0.25">
      <c r="A1074" s="26" t="str">
        <f>CONCATENATE(LEFT(ConsumoConcreto[[#This Row],[RecebimentoID]],4),"CNSC",TEXT(ConsumoConcreto[[#This Row],[Ordem]],"0000"),UPPER(LEFT(ConsumoConcreto[[#This Row],[Destino]],3)))</f>
        <v>0184CNSC1027RAD</v>
      </c>
      <c r="B1074" s="1">
        <v>1027</v>
      </c>
      <c r="C1074" s="2" t="s">
        <v>3131</v>
      </c>
      <c r="D1074" s="2" t="s">
        <v>2036</v>
      </c>
      <c r="E1074" s="18">
        <v>36</v>
      </c>
      <c r="F1074" s="2" t="s">
        <v>1801</v>
      </c>
      <c r="G1074" s="36">
        <v>0.44097222222222227</v>
      </c>
      <c r="H1074" s="2" t="s">
        <v>1968</v>
      </c>
      <c r="I107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74" s="22">
        <v>5.5</v>
      </c>
      <c r="K1074" s="22">
        <v>5.5</v>
      </c>
      <c r="L1074" s="37">
        <v>36892</v>
      </c>
      <c r="M1074" s="2"/>
      <c r="N1074" s="2" t="s">
        <v>1963</v>
      </c>
      <c r="O1074" s="2" t="s">
        <v>27</v>
      </c>
      <c r="P1074" s="2" t="s">
        <v>26</v>
      </c>
    </row>
    <row r="1075" spans="1:16" ht="20.100000000000001" customHeight="1" x14ac:dyDescent="0.25">
      <c r="A1075" s="26" t="str">
        <f>CONCATENATE(LEFT(ConsumoConcreto[[#This Row],[RecebimentoID]],4),"CNSC",TEXT(ConsumoConcreto[[#This Row],[Ordem]],"0000"),UPPER(LEFT(ConsumoConcreto[[#This Row],[Destino]],3)))</f>
        <v>0184CNSC0668PAR</v>
      </c>
      <c r="B1075" s="1">
        <v>668</v>
      </c>
      <c r="C1075" s="2" t="s">
        <v>3132</v>
      </c>
      <c r="D1075" s="2" t="s">
        <v>2010</v>
      </c>
      <c r="E1075" s="18">
        <v>37</v>
      </c>
      <c r="F1075" s="2" t="s">
        <v>25</v>
      </c>
      <c r="G1075" s="36">
        <v>0.87361111111111101</v>
      </c>
      <c r="H1075" s="2" t="s">
        <v>1965</v>
      </c>
      <c r="I107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75" s="22">
        <v>14</v>
      </c>
      <c r="K1075" s="22">
        <v>14</v>
      </c>
      <c r="L1075" s="37">
        <v>36892</v>
      </c>
      <c r="M1075" s="2"/>
      <c r="N1075" s="2" t="s">
        <v>1966</v>
      </c>
      <c r="O1075" s="2" t="s">
        <v>27</v>
      </c>
      <c r="P1075" s="2" t="s">
        <v>26</v>
      </c>
    </row>
    <row r="1076" spans="1:16" ht="20.100000000000001" customHeight="1" x14ac:dyDescent="0.25">
      <c r="A1076" s="26" t="str">
        <f>CONCATENATE(LEFT(ConsumoConcreto[[#This Row],[RecebimentoID]],4),"CNSC",TEXT(ConsumoConcreto[[#This Row],[Ordem]],"0000"),UPPER(LEFT(ConsumoConcreto[[#This Row],[Destino]],3)))</f>
        <v>0184CNSC0648RAD</v>
      </c>
      <c r="B1076" s="1">
        <v>648</v>
      </c>
      <c r="C1076" s="2" t="s">
        <v>3133</v>
      </c>
      <c r="D1076" s="2" t="s">
        <v>2010</v>
      </c>
      <c r="E1076" s="18">
        <v>37</v>
      </c>
      <c r="F1076" s="2" t="s">
        <v>1801</v>
      </c>
      <c r="G1076" s="36">
        <v>0.40486111111111112</v>
      </c>
      <c r="H1076" s="2" t="s">
        <v>1968</v>
      </c>
      <c r="I107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76" s="22">
        <v>6</v>
      </c>
      <c r="K1076" s="22">
        <v>6</v>
      </c>
      <c r="L1076" s="37">
        <v>36892</v>
      </c>
      <c r="M1076" s="2"/>
      <c r="N1076" s="2" t="s">
        <v>1963</v>
      </c>
      <c r="O1076" s="2" t="s">
        <v>27</v>
      </c>
      <c r="P1076" s="2" t="s">
        <v>26</v>
      </c>
    </row>
    <row r="1077" spans="1:16" ht="20.100000000000001" customHeight="1" x14ac:dyDescent="0.25">
      <c r="A1077" s="26" t="str">
        <f>CONCATENATE(LEFT(ConsumoConcreto[[#This Row],[RecebimentoID]],4),"CNSC",TEXT(ConsumoConcreto[[#This Row],[Ordem]],"0000"),UPPER(LEFT(ConsumoConcreto[[#This Row],[Destino]],3)))</f>
        <v>0184CNSC1001PAR</v>
      </c>
      <c r="B1077" s="1">
        <v>1001</v>
      </c>
      <c r="C1077" s="2" t="s">
        <v>3134</v>
      </c>
      <c r="D1077" s="2" t="s">
        <v>2033</v>
      </c>
      <c r="E1077" s="18">
        <v>37</v>
      </c>
      <c r="F1077" s="2" t="s">
        <v>25</v>
      </c>
      <c r="G1077" s="36">
        <v>0.8222222222222223</v>
      </c>
      <c r="H1077" s="2" t="s">
        <v>1965</v>
      </c>
      <c r="I107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77" s="22">
        <v>14.5</v>
      </c>
      <c r="K1077" s="22">
        <v>14.5</v>
      </c>
      <c r="L1077" s="37">
        <v>36892</v>
      </c>
      <c r="M1077" s="2"/>
      <c r="N1077" s="2" t="s">
        <v>1966</v>
      </c>
      <c r="O1077" s="2" t="s">
        <v>27</v>
      </c>
      <c r="P1077" s="2" t="s">
        <v>26</v>
      </c>
    </row>
    <row r="1078" spans="1:16" ht="20.100000000000001" customHeight="1" x14ac:dyDescent="0.25">
      <c r="A1078" s="26" t="str">
        <f>CONCATENATE(LEFT(ConsumoConcreto[[#This Row],[RecebimentoID]],4),"CNSC",TEXT(ConsumoConcreto[[#This Row],[Ordem]],"0000"),UPPER(LEFT(ConsumoConcreto[[#This Row],[Destino]],3)))</f>
        <v>0184CNSC0990RAD</v>
      </c>
      <c r="B1078" s="1">
        <v>990</v>
      </c>
      <c r="C1078" s="2" t="s">
        <v>3135</v>
      </c>
      <c r="D1078" s="2" t="s">
        <v>2033</v>
      </c>
      <c r="E1078" s="18">
        <v>37</v>
      </c>
      <c r="F1078" s="2" t="s">
        <v>1801</v>
      </c>
      <c r="G1078" s="36">
        <v>0.72222222222222221</v>
      </c>
      <c r="H1078" s="2" t="s">
        <v>1968</v>
      </c>
      <c r="I107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78" s="22">
        <v>6.5</v>
      </c>
      <c r="K1078" s="22">
        <v>6.5</v>
      </c>
      <c r="L1078" s="37">
        <v>36892</v>
      </c>
      <c r="M1078" s="2" t="s">
        <v>3136</v>
      </c>
      <c r="N1078" s="2" t="s">
        <v>1966</v>
      </c>
      <c r="O1078" s="2" t="s">
        <v>27</v>
      </c>
      <c r="P1078" s="2" t="s">
        <v>26</v>
      </c>
    </row>
    <row r="1079" spans="1:16" ht="20.100000000000001" customHeight="1" x14ac:dyDescent="0.25">
      <c r="A1079" s="26" t="str">
        <f>CONCATENATE(LEFT(ConsumoConcreto[[#This Row],[RecebimentoID]],4),"CNSC",TEXT(ConsumoConcreto[[#This Row],[Ordem]],"0000"),UPPER(LEFT(ConsumoConcreto[[#This Row],[Destino]],3)))</f>
        <v>0184CNSC1093PAR</v>
      </c>
      <c r="B1079" s="1">
        <v>1093</v>
      </c>
      <c r="C1079" s="2" t="s">
        <v>3137</v>
      </c>
      <c r="D1079" s="2" t="s">
        <v>2036</v>
      </c>
      <c r="E1079" s="18">
        <v>37</v>
      </c>
      <c r="F1079" s="2" t="s">
        <v>25</v>
      </c>
      <c r="G1079" s="36">
        <v>0.65</v>
      </c>
      <c r="H1079" s="2" t="s">
        <v>1965</v>
      </c>
      <c r="I107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79" s="22">
        <v>14.5</v>
      </c>
      <c r="K1079" s="22">
        <v>14.5</v>
      </c>
      <c r="L1079" s="37">
        <v>36892</v>
      </c>
      <c r="M1079" s="2"/>
      <c r="N1079" s="2" t="s">
        <v>1966</v>
      </c>
      <c r="O1079" s="2" t="s">
        <v>27</v>
      </c>
      <c r="P1079" s="2" t="s">
        <v>26</v>
      </c>
    </row>
    <row r="1080" spans="1:16" ht="20.100000000000001" customHeight="1" x14ac:dyDescent="0.25">
      <c r="A1080" s="26" t="str">
        <f>CONCATENATE(LEFT(ConsumoConcreto[[#This Row],[RecebimentoID]],4),"CNSC",TEXT(ConsumoConcreto[[#This Row],[Ordem]],"0000"),UPPER(LEFT(ConsumoConcreto[[#This Row],[Destino]],3)))</f>
        <v>0184CNSC1067RAD</v>
      </c>
      <c r="B1080" s="1">
        <v>1067</v>
      </c>
      <c r="C1080" s="2" t="s">
        <v>3138</v>
      </c>
      <c r="D1080" s="2" t="s">
        <v>2036</v>
      </c>
      <c r="E1080" s="18">
        <v>37</v>
      </c>
      <c r="F1080" s="2" t="s">
        <v>1801</v>
      </c>
      <c r="G1080" s="36">
        <v>0.49236111111111108</v>
      </c>
      <c r="H1080" s="2" t="s">
        <v>1968</v>
      </c>
      <c r="I108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80" s="22">
        <v>5.5</v>
      </c>
      <c r="K1080" s="22">
        <v>5.5</v>
      </c>
      <c r="L1080" s="37">
        <v>36892</v>
      </c>
      <c r="M1080" s="2"/>
      <c r="N1080" s="2" t="s">
        <v>2017</v>
      </c>
      <c r="O1080" s="2" t="s">
        <v>27</v>
      </c>
      <c r="P1080" s="2" t="s">
        <v>26</v>
      </c>
    </row>
    <row r="1081" spans="1:16" ht="20.100000000000001" customHeight="1" x14ac:dyDescent="0.25">
      <c r="A1081" s="26" t="str">
        <f>CONCATENATE(LEFT(ConsumoConcreto[[#This Row],[RecebimentoID]],4),"CNSC",TEXT(ConsumoConcreto[[#This Row],[Ordem]],"0000"),UPPER(LEFT(ConsumoConcreto[[#This Row],[Destino]],3)))</f>
        <v>0184CNSC1000PAR</v>
      </c>
      <c r="B1081" s="1">
        <v>1000</v>
      </c>
      <c r="C1081" s="2" t="s">
        <v>3139</v>
      </c>
      <c r="D1081" s="2" t="s">
        <v>2033</v>
      </c>
      <c r="E1081" s="18">
        <v>38</v>
      </c>
      <c r="F1081" s="2" t="s">
        <v>25</v>
      </c>
      <c r="G1081" s="36">
        <v>0.85902777777777783</v>
      </c>
      <c r="H1081" s="2" t="s">
        <v>1965</v>
      </c>
      <c r="I108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81" s="22">
        <v>18</v>
      </c>
      <c r="K1081" s="22">
        <v>18</v>
      </c>
      <c r="L1081" s="37">
        <v>36892</v>
      </c>
      <c r="M1081" s="2"/>
      <c r="N1081" s="2" t="s">
        <v>1966</v>
      </c>
      <c r="O1081" s="2" t="s">
        <v>27</v>
      </c>
      <c r="P1081" s="2" t="s">
        <v>26</v>
      </c>
    </row>
    <row r="1082" spans="1:16" ht="20.100000000000001" customHeight="1" x14ac:dyDescent="0.25">
      <c r="A1082" s="26" t="str">
        <f>CONCATENATE(LEFT(ConsumoConcreto[[#This Row],[RecebimentoID]],4),"CNSC",TEXT(ConsumoConcreto[[#This Row],[Ordem]],"0000"),UPPER(LEFT(ConsumoConcreto[[#This Row],[Destino]],3)))</f>
        <v>0184CNSC0985RAD</v>
      </c>
      <c r="B1082" s="1">
        <v>985</v>
      </c>
      <c r="C1082" s="2" t="s">
        <v>3140</v>
      </c>
      <c r="D1082" s="2" t="s">
        <v>2033</v>
      </c>
      <c r="E1082" s="18">
        <v>38</v>
      </c>
      <c r="F1082" s="2" t="s">
        <v>1801</v>
      </c>
      <c r="G1082" s="36">
        <v>0.61805555555555558</v>
      </c>
      <c r="H1082" s="2" t="s">
        <v>1968</v>
      </c>
      <c r="I108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82" s="22">
        <v>8</v>
      </c>
      <c r="K1082" s="22">
        <v>8</v>
      </c>
      <c r="L1082" s="37">
        <v>36892</v>
      </c>
      <c r="M1082" s="2" t="s">
        <v>3141</v>
      </c>
      <c r="N1082" s="2" t="s">
        <v>1966</v>
      </c>
      <c r="O1082" s="2" t="s">
        <v>27</v>
      </c>
      <c r="P1082" s="2" t="s">
        <v>26</v>
      </c>
    </row>
    <row r="1083" spans="1:16" ht="20.100000000000001" customHeight="1" x14ac:dyDescent="0.25">
      <c r="A1083" s="26" t="str">
        <f>CONCATENATE(LEFT(ConsumoConcreto[[#This Row],[RecebimentoID]],4),"CNSC",TEXT(ConsumoConcreto[[#This Row],[Ordem]],"0000"),UPPER(LEFT(ConsumoConcreto[[#This Row],[Destino]],3)))</f>
        <v>0184CNSC1095PAR</v>
      </c>
      <c r="B1083" s="1">
        <v>1095</v>
      </c>
      <c r="C1083" s="2" t="s">
        <v>3142</v>
      </c>
      <c r="D1083" s="2" t="s">
        <v>2036</v>
      </c>
      <c r="E1083" s="18">
        <v>38</v>
      </c>
      <c r="F1083" s="2" t="s">
        <v>25</v>
      </c>
      <c r="G1083" s="36">
        <v>0.80208333333333337</v>
      </c>
      <c r="H1083" s="2" t="s">
        <v>1965</v>
      </c>
      <c r="I108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83" s="22">
        <v>14.5</v>
      </c>
      <c r="K1083" s="22">
        <v>14.5</v>
      </c>
      <c r="L1083" s="37">
        <v>36892</v>
      </c>
      <c r="M1083" s="2"/>
      <c r="N1083" s="2" t="s">
        <v>1966</v>
      </c>
      <c r="O1083" s="2" t="s">
        <v>27</v>
      </c>
      <c r="P1083" s="2" t="s">
        <v>26</v>
      </c>
    </row>
    <row r="1084" spans="1:16" ht="20.100000000000001" customHeight="1" x14ac:dyDescent="0.25">
      <c r="A1084" s="26" t="str">
        <f>CONCATENATE(LEFT(ConsumoConcreto[[#This Row],[RecebimentoID]],4),"CNSC",TEXT(ConsumoConcreto[[#This Row],[Ordem]],"0000"),UPPER(LEFT(ConsumoConcreto[[#This Row],[Destino]],3)))</f>
        <v>0184CNSC1028RAD</v>
      </c>
      <c r="B1084" s="1">
        <v>1028</v>
      </c>
      <c r="C1084" s="2" t="s">
        <v>3143</v>
      </c>
      <c r="D1084" s="2" t="s">
        <v>2036</v>
      </c>
      <c r="E1084" s="18">
        <v>38</v>
      </c>
      <c r="F1084" s="2" t="s">
        <v>1801</v>
      </c>
      <c r="G1084" s="36">
        <v>0.4826388888888889</v>
      </c>
      <c r="H1084" s="2" t="s">
        <v>1968</v>
      </c>
      <c r="I108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84" s="22">
        <v>5.5</v>
      </c>
      <c r="K1084" s="22">
        <v>5.5</v>
      </c>
      <c r="L1084" s="37">
        <v>36892</v>
      </c>
      <c r="M1084" s="2"/>
      <c r="N1084" s="2" t="s">
        <v>1963</v>
      </c>
      <c r="O1084" s="2" t="s">
        <v>27</v>
      </c>
      <c r="P1084" s="2" t="s">
        <v>26</v>
      </c>
    </row>
    <row r="1085" spans="1:16" ht="20.100000000000001" customHeight="1" x14ac:dyDescent="0.25">
      <c r="A1085" s="26" t="str">
        <f>CONCATENATE(LEFT(ConsumoConcreto[[#This Row],[RecebimentoID]],4),"CNSC",TEXT(ConsumoConcreto[[#This Row],[Ordem]],"0000"),UPPER(LEFT(ConsumoConcreto[[#This Row],[Destino]],3)))</f>
        <v>0184CNSC1096PAR</v>
      </c>
      <c r="B1085" s="1">
        <v>1096</v>
      </c>
      <c r="C1085" s="2" t="s">
        <v>3144</v>
      </c>
      <c r="D1085" s="2" t="s">
        <v>2036</v>
      </c>
      <c r="E1085" s="18">
        <v>39</v>
      </c>
      <c r="F1085" s="2" t="s">
        <v>25</v>
      </c>
      <c r="G1085" s="36">
        <v>0.99930555555555556</v>
      </c>
      <c r="H1085" s="2" t="s">
        <v>1965</v>
      </c>
      <c r="I108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85" s="22">
        <v>17</v>
      </c>
      <c r="K1085" s="22">
        <v>17</v>
      </c>
      <c r="L1085" s="37">
        <v>36892</v>
      </c>
      <c r="M1085" s="2"/>
      <c r="N1085" s="2" t="s">
        <v>1966</v>
      </c>
      <c r="O1085" s="2" t="s">
        <v>27</v>
      </c>
      <c r="P1085" s="2" t="s">
        <v>26</v>
      </c>
    </row>
    <row r="1086" spans="1:16" ht="20.100000000000001" customHeight="1" x14ac:dyDescent="0.25">
      <c r="A1086" s="26" t="str">
        <f>CONCATENATE(LEFT(ConsumoConcreto[[#This Row],[RecebimentoID]],4),"CNSC",TEXT(ConsumoConcreto[[#This Row],[Ordem]],"0000"),UPPER(LEFT(ConsumoConcreto[[#This Row],[Destino]],3)))</f>
        <v>0184CNSC1068RAD</v>
      </c>
      <c r="B1086" s="1">
        <v>1068</v>
      </c>
      <c r="C1086" s="2" t="s">
        <v>3145</v>
      </c>
      <c r="D1086" s="2" t="s">
        <v>2036</v>
      </c>
      <c r="E1086" s="18">
        <v>39</v>
      </c>
      <c r="F1086" s="2" t="s">
        <v>1801</v>
      </c>
      <c r="G1086" s="36">
        <v>0.49236111111111108</v>
      </c>
      <c r="H1086" s="2" t="s">
        <v>1968</v>
      </c>
      <c r="I108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86" s="22">
        <v>5.5</v>
      </c>
      <c r="K1086" s="22">
        <v>5.5</v>
      </c>
      <c r="L1086" s="37">
        <v>36892</v>
      </c>
      <c r="M1086" s="2"/>
      <c r="N1086" s="2" t="s">
        <v>2017</v>
      </c>
      <c r="O1086" s="2" t="s">
        <v>27</v>
      </c>
      <c r="P1086" s="2" t="s">
        <v>26</v>
      </c>
    </row>
    <row r="1087" spans="1:16" ht="20.100000000000001" customHeight="1" x14ac:dyDescent="0.25">
      <c r="A1087" s="26" t="str">
        <f>CONCATENATE(LEFT(ConsumoConcreto[[#This Row],[RecebimentoID]],4),"CNSC",TEXT(ConsumoConcreto[[#This Row],[Ordem]],"0000"),UPPER(LEFT(ConsumoConcreto[[#This Row],[Destino]],3)))</f>
        <v>0184CNSC1097PAR</v>
      </c>
      <c r="B1087" s="1">
        <v>1097</v>
      </c>
      <c r="C1087" s="2" t="s">
        <v>3146</v>
      </c>
      <c r="D1087" s="2" t="s">
        <v>2036</v>
      </c>
      <c r="E1087" s="18">
        <v>40</v>
      </c>
      <c r="F1087" s="2" t="s">
        <v>25</v>
      </c>
      <c r="G1087" s="36">
        <v>0.7909722222222223</v>
      </c>
      <c r="H1087" s="2" t="s">
        <v>1965</v>
      </c>
      <c r="I108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87" s="22">
        <v>15</v>
      </c>
      <c r="K1087" s="22">
        <v>15</v>
      </c>
      <c r="L1087" s="37">
        <v>36892</v>
      </c>
      <c r="M1087" s="2"/>
      <c r="N1087" s="2" t="s">
        <v>1966</v>
      </c>
      <c r="O1087" s="2" t="s">
        <v>27</v>
      </c>
      <c r="P1087" s="2" t="s">
        <v>26</v>
      </c>
    </row>
    <row r="1088" spans="1:16" ht="20.100000000000001" customHeight="1" x14ac:dyDescent="0.25">
      <c r="A1088" s="26" t="str">
        <f>CONCATENATE(LEFT(ConsumoConcreto[[#This Row],[RecebimentoID]],4),"CNSC",TEXT(ConsumoConcreto[[#This Row],[Ordem]],"0000"),UPPER(LEFT(ConsumoConcreto[[#This Row],[Destino]],3)))</f>
        <v>0184CNSC1029RAD</v>
      </c>
      <c r="B1088" s="1">
        <v>1029</v>
      </c>
      <c r="C1088" s="2" t="s">
        <v>3147</v>
      </c>
      <c r="D1088" s="2" t="s">
        <v>2036</v>
      </c>
      <c r="E1088" s="18">
        <v>40</v>
      </c>
      <c r="F1088" s="2" t="s">
        <v>1801</v>
      </c>
      <c r="G1088" s="36">
        <v>0.59722222222222221</v>
      </c>
      <c r="H1088" s="2" t="s">
        <v>1968</v>
      </c>
      <c r="I108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88" s="22">
        <v>5.5</v>
      </c>
      <c r="K1088" s="22">
        <v>5.5</v>
      </c>
      <c r="L1088" s="37">
        <v>36892</v>
      </c>
      <c r="M1088" s="2"/>
      <c r="N1088" s="2" t="s">
        <v>1963</v>
      </c>
      <c r="O1088" s="2" t="s">
        <v>27</v>
      </c>
      <c r="P1088" s="2" t="s">
        <v>26</v>
      </c>
    </row>
    <row r="1089" spans="1:16" ht="20.100000000000001" customHeight="1" x14ac:dyDescent="0.25">
      <c r="A1089" s="26" t="str">
        <f>CONCATENATE(LEFT(ConsumoConcreto[[#This Row],[RecebimentoID]],4),"CNSC",TEXT(ConsumoConcreto[[#This Row],[Ordem]],"0000"),UPPER(LEFT(ConsumoConcreto[[#This Row],[Destino]],3)))</f>
        <v>0184CNSC1098PAR</v>
      </c>
      <c r="B1089" s="1">
        <v>1098</v>
      </c>
      <c r="C1089" s="2" t="s">
        <v>3148</v>
      </c>
      <c r="D1089" s="2" t="s">
        <v>2036</v>
      </c>
      <c r="E1089" s="18">
        <v>41</v>
      </c>
      <c r="F1089" s="2" t="s">
        <v>25</v>
      </c>
      <c r="G1089" s="36">
        <v>0.87361111111111101</v>
      </c>
      <c r="H1089" s="2" t="s">
        <v>1965</v>
      </c>
      <c r="I108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89" s="22">
        <v>14.5</v>
      </c>
      <c r="K1089" s="22">
        <v>14.5</v>
      </c>
      <c r="L1089" s="37">
        <v>36892</v>
      </c>
      <c r="M1089" s="2"/>
      <c r="N1089" s="2" t="s">
        <v>1966</v>
      </c>
      <c r="O1089" s="2" t="s">
        <v>27</v>
      </c>
      <c r="P1089" s="2" t="s">
        <v>26</v>
      </c>
    </row>
    <row r="1090" spans="1:16" ht="20.100000000000001" customHeight="1" x14ac:dyDescent="0.25">
      <c r="A1090" s="26" t="str">
        <f>CONCATENATE(LEFT(ConsumoConcreto[[#This Row],[RecebimentoID]],4),"CNSC",TEXT(ConsumoConcreto[[#This Row],[Ordem]],"0000"),UPPER(LEFT(ConsumoConcreto[[#This Row],[Destino]],3)))</f>
        <v>0184CNSC1069RAD</v>
      </c>
      <c r="B1090" s="1">
        <v>1069</v>
      </c>
      <c r="C1090" s="2" t="s">
        <v>3149</v>
      </c>
      <c r="D1090" s="2" t="s">
        <v>2036</v>
      </c>
      <c r="E1090" s="18">
        <v>41</v>
      </c>
      <c r="F1090" s="2" t="s">
        <v>1801</v>
      </c>
      <c r="G1090" s="36">
        <v>0.53402777777777777</v>
      </c>
      <c r="H1090" s="2" t="s">
        <v>1968</v>
      </c>
      <c r="I109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90" s="22">
        <v>5.5</v>
      </c>
      <c r="K1090" s="22">
        <v>5.5</v>
      </c>
      <c r="L1090" s="37">
        <v>36892</v>
      </c>
      <c r="M1090" s="2"/>
      <c r="N1090" s="2" t="s">
        <v>2017</v>
      </c>
      <c r="O1090" s="2" t="s">
        <v>27</v>
      </c>
      <c r="P1090" s="2" t="s">
        <v>26</v>
      </c>
    </row>
    <row r="1091" spans="1:16" ht="20.100000000000001" customHeight="1" x14ac:dyDescent="0.25">
      <c r="A1091" s="26" t="str">
        <f>CONCATENATE(LEFT(ConsumoConcreto[[#This Row],[RecebimentoID]],4),"CNSC",TEXT(ConsumoConcreto[[#This Row],[Ordem]],"0000"),UPPER(LEFT(ConsumoConcreto[[#This Row],[Destino]],3)))</f>
        <v>0184CNSC1099PAR</v>
      </c>
      <c r="B1091" s="1">
        <v>1099</v>
      </c>
      <c r="C1091" s="2" t="s">
        <v>3150</v>
      </c>
      <c r="D1091" s="2" t="s">
        <v>2036</v>
      </c>
      <c r="E1091" s="18">
        <v>42</v>
      </c>
      <c r="F1091" s="2" t="s">
        <v>25</v>
      </c>
      <c r="G1091" s="36">
        <v>0.75555555555555554</v>
      </c>
      <c r="H1091" s="2" t="s">
        <v>1965</v>
      </c>
      <c r="I109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13.96</v>
      </c>
      <c r="J1091" s="22">
        <v>14.5</v>
      </c>
      <c r="K1091" s="22">
        <v>14.5</v>
      </c>
      <c r="L1091" s="37">
        <v>36892</v>
      </c>
      <c r="M1091" s="2"/>
      <c r="N1091" s="2" t="s">
        <v>1966</v>
      </c>
      <c r="O1091" s="2" t="s">
        <v>27</v>
      </c>
      <c r="P1091" s="2" t="s">
        <v>26</v>
      </c>
    </row>
    <row r="1092" spans="1:16" ht="20.100000000000001" customHeight="1" x14ac:dyDescent="0.25">
      <c r="A1092" s="26" t="str">
        <f>CONCATENATE(LEFT(ConsumoConcreto[[#This Row],[RecebimentoID]],4),"CNSC",TEXT(ConsumoConcreto[[#This Row],[Ordem]],"0000"),UPPER(LEFT(ConsumoConcreto[[#This Row],[Destino]],3)))</f>
        <v>0184CNSC1030RAD</v>
      </c>
      <c r="B1092" s="1">
        <v>1030</v>
      </c>
      <c r="C1092" s="2" t="s">
        <v>3151</v>
      </c>
      <c r="D1092" s="2" t="s">
        <v>2036</v>
      </c>
      <c r="E1092" s="18">
        <v>42</v>
      </c>
      <c r="F1092" s="2" t="s">
        <v>1801</v>
      </c>
      <c r="G1092" s="36">
        <v>0.63472222222222219</v>
      </c>
      <c r="H1092" s="2" t="s">
        <v>1968</v>
      </c>
      <c r="I109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5.22</v>
      </c>
      <c r="J1092" s="22">
        <v>5.5</v>
      </c>
      <c r="K1092" s="22">
        <v>5.5</v>
      </c>
      <c r="L1092" s="37">
        <v>36892</v>
      </c>
      <c r="M1092" s="2"/>
      <c r="N1092" s="2" t="s">
        <v>1963</v>
      </c>
      <c r="O1092" s="2" t="s">
        <v>27</v>
      </c>
      <c r="P1092" s="2" t="s">
        <v>26</v>
      </c>
    </row>
    <row r="1093" spans="1:16" ht="20.100000000000001" customHeight="1" x14ac:dyDescent="0.25">
      <c r="A1093" s="26" t="str">
        <f>CONCATENATE(LEFT(ConsumoConcreto[[#This Row],[RecebimentoID]],4),"CNSC",TEXT(ConsumoConcreto[[#This Row],[Ordem]],"0000"),UPPER(LEFT(ConsumoConcreto[[#This Row],[Destino]],3)))</f>
        <v>0184CNSC1104PAR</v>
      </c>
      <c r="B1093" s="1">
        <v>1104</v>
      </c>
      <c r="C1093" s="2" t="s">
        <v>3152</v>
      </c>
      <c r="D1093" s="2" t="s">
        <v>2036</v>
      </c>
      <c r="E1093" s="18">
        <v>43</v>
      </c>
      <c r="F1093" s="2" t="s">
        <v>25</v>
      </c>
      <c r="G1093" s="36">
        <v>0.73472222222222217</v>
      </c>
      <c r="H1093" s="2" t="s">
        <v>1965</v>
      </c>
      <c r="I109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93" s="22">
        <v>18.5</v>
      </c>
      <c r="K1093" s="22">
        <v>18.5</v>
      </c>
      <c r="L1093" s="37">
        <v>36892</v>
      </c>
      <c r="M1093" s="2"/>
      <c r="N1093" s="2" t="s">
        <v>1966</v>
      </c>
      <c r="O1093" s="2" t="s">
        <v>27</v>
      </c>
      <c r="P1093" s="2" t="s">
        <v>26</v>
      </c>
    </row>
    <row r="1094" spans="1:16" ht="20.100000000000001" customHeight="1" x14ac:dyDescent="0.25">
      <c r="A1094" s="26" t="str">
        <f>CONCATENATE(LEFT(ConsumoConcreto[[#This Row],[RecebimentoID]],4),"CNSC",TEXT(ConsumoConcreto[[#This Row],[Ordem]],"0000"),UPPER(LEFT(ConsumoConcreto[[#This Row],[Destino]],3)))</f>
        <v>0184CNSC1070RAD</v>
      </c>
      <c r="B1094" s="1">
        <v>1070</v>
      </c>
      <c r="C1094" s="2" t="s">
        <v>3153</v>
      </c>
      <c r="D1094" s="2" t="s">
        <v>2036</v>
      </c>
      <c r="E1094" s="18">
        <v>43</v>
      </c>
      <c r="F1094" s="2" t="s">
        <v>1801</v>
      </c>
      <c r="G1094" s="36">
        <v>0.53402777777777777</v>
      </c>
      <c r="H1094" s="2" t="s">
        <v>1968</v>
      </c>
      <c r="I109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94" s="22">
        <v>7</v>
      </c>
      <c r="K1094" s="22">
        <v>7</v>
      </c>
      <c r="L1094" s="37">
        <v>36892</v>
      </c>
      <c r="M1094" s="2"/>
      <c r="N1094" s="2" t="s">
        <v>2017</v>
      </c>
      <c r="O1094" s="2" t="s">
        <v>27</v>
      </c>
      <c r="P1094" s="2" t="s">
        <v>26</v>
      </c>
    </row>
    <row r="1095" spans="1:16" ht="20.100000000000001" customHeight="1" x14ac:dyDescent="0.25">
      <c r="A1095" s="26" t="str">
        <f>CONCATENATE(LEFT(ConsumoConcreto[[#This Row],[RecebimentoID]],4),"CNSC",TEXT(ConsumoConcreto[[#This Row],[Ordem]],"0000"),UPPER(LEFT(ConsumoConcreto[[#This Row],[Destino]],3)))</f>
        <v>0184CNSC1100PAR</v>
      </c>
      <c r="B1095" s="1">
        <v>1100</v>
      </c>
      <c r="C1095" s="2" t="s">
        <v>3154</v>
      </c>
      <c r="D1095" s="2" t="s">
        <v>2036</v>
      </c>
      <c r="E1095" s="18">
        <v>44</v>
      </c>
      <c r="F1095" s="2" t="s">
        <v>25</v>
      </c>
      <c r="G1095" s="36">
        <v>0.75694444444444453</v>
      </c>
      <c r="H1095" s="2" t="s">
        <v>1965</v>
      </c>
      <c r="I1095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95" s="22">
        <v>18.5</v>
      </c>
      <c r="K1095" s="22">
        <v>18.5</v>
      </c>
      <c r="L1095" s="37">
        <v>36892</v>
      </c>
      <c r="M1095" s="2"/>
      <c r="N1095" s="2" t="s">
        <v>1966</v>
      </c>
      <c r="O1095" s="2" t="s">
        <v>27</v>
      </c>
      <c r="P1095" s="2" t="s">
        <v>26</v>
      </c>
    </row>
    <row r="1096" spans="1:16" ht="20.100000000000001" customHeight="1" x14ac:dyDescent="0.25">
      <c r="A1096" s="26" t="str">
        <f>CONCATENATE(LEFT(ConsumoConcreto[[#This Row],[RecebimentoID]],4),"CNSC",TEXT(ConsumoConcreto[[#This Row],[Ordem]],"0000"),UPPER(LEFT(ConsumoConcreto[[#This Row],[Destino]],3)))</f>
        <v>0184CNSC1031RAD</v>
      </c>
      <c r="B1096" s="1">
        <v>1031</v>
      </c>
      <c r="C1096" s="2" t="s">
        <v>3155</v>
      </c>
      <c r="D1096" s="2" t="s">
        <v>2036</v>
      </c>
      <c r="E1096" s="18">
        <v>44</v>
      </c>
      <c r="F1096" s="2" t="s">
        <v>1801</v>
      </c>
      <c r="G1096" s="36">
        <v>0.60416666666666663</v>
      </c>
      <c r="H1096" s="2" t="s">
        <v>1968</v>
      </c>
      <c r="I1096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96" s="22">
        <v>7</v>
      </c>
      <c r="K1096" s="22">
        <v>7</v>
      </c>
      <c r="L1096" s="37">
        <v>36892</v>
      </c>
      <c r="M1096" s="2"/>
      <c r="N1096" s="2" t="s">
        <v>1966</v>
      </c>
      <c r="O1096" s="2" t="s">
        <v>27</v>
      </c>
      <c r="P1096" s="2" t="s">
        <v>26</v>
      </c>
    </row>
    <row r="1097" spans="1:16" ht="20.100000000000001" customHeight="1" x14ac:dyDescent="0.25">
      <c r="A1097" s="26" t="str">
        <f>CONCATENATE(LEFT(ConsumoConcreto[[#This Row],[RecebimentoID]],4),"CNSC",TEXT(ConsumoConcreto[[#This Row],[Ordem]],"0000"),UPPER(LEFT(ConsumoConcreto[[#This Row],[Destino]],3)))</f>
        <v>0184CNSC1103PAR</v>
      </c>
      <c r="B1097" s="1">
        <v>1103</v>
      </c>
      <c r="C1097" s="2" t="s">
        <v>3156</v>
      </c>
      <c r="D1097" s="2" t="s">
        <v>2036</v>
      </c>
      <c r="E1097" s="18">
        <v>45</v>
      </c>
      <c r="F1097" s="2" t="s">
        <v>25</v>
      </c>
      <c r="G1097" s="36">
        <v>0.80902777777777779</v>
      </c>
      <c r="H1097" s="2" t="s">
        <v>1965</v>
      </c>
      <c r="I1097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97" s="22">
        <v>18.5</v>
      </c>
      <c r="K1097" s="22">
        <v>18.5</v>
      </c>
      <c r="L1097" s="37">
        <v>36892</v>
      </c>
      <c r="M1097" s="2"/>
      <c r="N1097" s="2" t="s">
        <v>1966</v>
      </c>
      <c r="O1097" s="2" t="s">
        <v>27</v>
      </c>
      <c r="P1097" s="2" t="s">
        <v>26</v>
      </c>
    </row>
    <row r="1098" spans="1:16" ht="20.100000000000001" customHeight="1" x14ac:dyDescent="0.25">
      <c r="A1098" s="26" t="str">
        <f>CONCATENATE(LEFT(ConsumoConcreto[[#This Row],[RecebimentoID]],4),"CNSC",TEXT(ConsumoConcreto[[#This Row],[Ordem]],"0000"),UPPER(LEFT(ConsumoConcreto[[#This Row],[Destino]],3)))</f>
        <v>0184CNSC1071RAD</v>
      </c>
      <c r="B1098" s="1">
        <v>1071</v>
      </c>
      <c r="C1098" s="2" t="s">
        <v>3157</v>
      </c>
      <c r="D1098" s="2" t="s">
        <v>2036</v>
      </c>
      <c r="E1098" s="18">
        <v>45</v>
      </c>
      <c r="F1098" s="2" t="s">
        <v>1801</v>
      </c>
      <c r="G1098" s="36">
        <v>0.56944444444444442</v>
      </c>
      <c r="H1098" s="2" t="s">
        <v>1968</v>
      </c>
      <c r="I1098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098" s="22">
        <v>7</v>
      </c>
      <c r="K1098" s="22">
        <v>7</v>
      </c>
      <c r="L1098" s="37">
        <v>36892</v>
      </c>
      <c r="M1098" s="2"/>
      <c r="N1098" s="2" t="s">
        <v>2017</v>
      </c>
      <c r="O1098" s="2" t="s">
        <v>27</v>
      </c>
      <c r="P1098" s="2" t="s">
        <v>26</v>
      </c>
    </row>
    <row r="1099" spans="1:16" ht="20.100000000000001" customHeight="1" x14ac:dyDescent="0.25">
      <c r="A1099" s="26" t="str">
        <f>CONCATENATE(LEFT(ConsumoConcreto[[#This Row],[RecebimentoID]],4),"CNSC",TEXT(ConsumoConcreto[[#This Row],[Ordem]],"0000"),UPPER(LEFT(ConsumoConcreto[[#This Row],[Destino]],3)))</f>
        <v>0184CNSC1101PAR</v>
      </c>
      <c r="B1099" s="1">
        <v>1101</v>
      </c>
      <c r="C1099" s="2" t="s">
        <v>3158</v>
      </c>
      <c r="D1099" s="2" t="s">
        <v>2036</v>
      </c>
      <c r="E1099" s="18">
        <v>46</v>
      </c>
      <c r="F1099" s="2" t="s">
        <v>25</v>
      </c>
      <c r="G1099" s="36">
        <v>0.64444444444444449</v>
      </c>
      <c r="H1099" s="2" t="s">
        <v>1965</v>
      </c>
      <c r="I1099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099" s="22">
        <v>18.5</v>
      </c>
      <c r="K1099" s="22">
        <v>18.5</v>
      </c>
      <c r="L1099" s="37">
        <v>36892</v>
      </c>
      <c r="M1099" s="2"/>
      <c r="N1099" s="2" t="s">
        <v>1966</v>
      </c>
      <c r="O1099" s="2" t="s">
        <v>27</v>
      </c>
      <c r="P1099" s="2" t="s">
        <v>26</v>
      </c>
    </row>
    <row r="1100" spans="1:16" ht="20.100000000000001" customHeight="1" x14ac:dyDescent="0.25">
      <c r="A1100" s="26" t="str">
        <f>CONCATENATE(LEFT(ConsumoConcreto[[#This Row],[RecebimentoID]],4),"CNSC",TEXT(ConsumoConcreto[[#This Row],[Ordem]],"0000"),UPPER(LEFT(ConsumoConcreto[[#This Row],[Destino]],3)))</f>
        <v>0184CNSC1032RAD</v>
      </c>
      <c r="B1100" s="1">
        <v>1032</v>
      </c>
      <c r="C1100" s="2" t="s">
        <v>3159</v>
      </c>
      <c r="D1100" s="2" t="s">
        <v>2036</v>
      </c>
      <c r="E1100" s="18">
        <v>46</v>
      </c>
      <c r="F1100" s="2" t="s">
        <v>1801</v>
      </c>
      <c r="G1100" s="36">
        <v>0.64722222222222225</v>
      </c>
      <c r="H1100" s="2" t="s">
        <v>1968</v>
      </c>
      <c r="I1100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100" s="22">
        <v>7</v>
      </c>
      <c r="K1100" s="22">
        <v>7</v>
      </c>
      <c r="L1100" s="37">
        <v>36892</v>
      </c>
      <c r="M1100" s="2"/>
      <c r="N1100" s="2" t="s">
        <v>1966</v>
      </c>
      <c r="O1100" s="2" t="s">
        <v>27</v>
      </c>
      <c r="P1100" s="2" t="s">
        <v>26</v>
      </c>
    </row>
    <row r="1101" spans="1:16" ht="20.100000000000001" customHeight="1" x14ac:dyDescent="0.25">
      <c r="A1101" s="26" t="str">
        <f>CONCATENATE(LEFT(ConsumoConcreto[[#This Row],[RecebimentoID]],4),"CNSC",TEXT(ConsumoConcreto[[#This Row],[Ordem]],"0000"),UPPER(LEFT(ConsumoConcreto[[#This Row],[Destino]],3)))</f>
        <v>0184CNSC1102PAR</v>
      </c>
      <c r="B1101" s="1">
        <v>1102</v>
      </c>
      <c r="C1101" s="2" t="s">
        <v>3160</v>
      </c>
      <c r="D1101" s="2" t="s">
        <v>2036</v>
      </c>
      <c r="E1101" s="18">
        <v>47</v>
      </c>
      <c r="F1101" s="2" t="s">
        <v>25</v>
      </c>
      <c r="G1101" s="36">
        <v>0.45069444444444445</v>
      </c>
      <c r="H1101" s="2" t="s">
        <v>1965</v>
      </c>
      <c r="I1101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17.940000000000001</v>
      </c>
      <c r="J1101" s="22">
        <v>18.5</v>
      </c>
      <c r="K1101" s="22">
        <v>18.5</v>
      </c>
      <c r="L1101" s="37">
        <v>36892</v>
      </c>
      <c r="M1101" s="2"/>
      <c r="N1101" s="2" t="s">
        <v>1966</v>
      </c>
      <c r="O1101" s="2" t="s">
        <v>27</v>
      </c>
      <c r="P1101" s="2" t="s">
        <v>26</v>
      </c>
    </row>
    <row r="1102" spans="1:16" ht="20.100000000000001" customHeight="1" x14ac:dyDescent="0.25">
      <c r="A1102" s="26" t="str">
        <f>CONCATENATE(LEFT(ConsumoConcreto[[#This Row],[RecebimentoID]],4),"CNSC",TEXT(ConsumoConcreto[[#This Row],[Ordem]],"0000"),UPPER(LEFT(ConsumoConcreto[[#This Row],[Destino]],3)))</f>
        <v>0184CNSC1033RAD</v>
      </c>
      <c r="B1102" s="1">
        <v>1033</v>
      </c>
      <c r="C1102" s="2" t="s">
        <v>3161</v>
      </c>
      <c r="D1102" s="2" t="s">
        <v>2036</v>
      </c>
      <c r="E1102" s="18">
        <v>47</v>
      </c>
      <c r="F1102" s="2" t="s">
        <v>1801</v>
      </c>
      <c r="G1102" s="36">
        <v>0.66666666666666663</v>
      </c>
      <c r="H1102" s="2" t="s">
        <v>1968</v>
      </c>
      <c r="I1102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3.19</v>
      </c>
      <c r="J1102" s="22">
        <v>7</v>
      </c>
      <c r="K1102" s="22">
        <v>7</v>
      </c>
      <c r="L1102" s="37">
        <v>36892</v>
      </c>
      <c r="M1102" s="2"/>
      <c r="N1102" s="2" t="s">
        <v>1966</v>
      </c>
      <c r="O1102" s="2" t="s">
        <v>27</v>
      </c>
      <c r="P1102" s="2" t="s">
        <v>26</v>
      </c>
    </row>
    <row r="1103" spans="1:16" ht="20.100000000000001" customHeight="1" x14ac:dyDescent="0.25">
      <c r="A1103" s="26" t="str">
        <f>CONCATENATE(LEFT(ConsumoConcreto[[#This Row],[RecebimentoID]],4),"CNSC",TEXT(ConsumoConcreto[[#This Row],[Ordem]],"0000"),UPPER(LEFT(ConsumoConcreto[[#This Row],[Destino]],3)))</f>
        <v>0184CNSC1094RAD</v>
      </c>
      <c r="B1103" s="1">
        <v>1094</v>
      </c>
      <c r="C1103" s="2" t="s">
        <v>3162</v>
      </c>
      <c r="D1103" s="2" t="s">
        <v>2036</v>
      </c>
      <c r="E1103" s="18">
        <v>47</v>
      </c>
      <c r="F1103" s="2" t="s">
        <v>1801</v>
      </c>
      <c r="G1103" s="36">
        <v>0.71527777777777779</v>
      </c>
      <c r="H1103" s="2" t="s">
        <v>1968</v>
      </c>
      <c r="I1103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3.19</v>
      </c>
      <c r="J1103" s="22">
        <v>7</v>
      </c>
      <c r="K1103" s="22">
        <v>7</v>
      </c>
      <c r="L1103" s="37">
        <v>36892</v>
      </c>
      <c r="M1103" s="2" t="s">
        <v>3163</v>
      </c>
      <c r="N1103" s="2" t="s">
        <v>2017</v>
      </c>
      <c r="O1103" s="2" t="s">
        <v>27</v>
      </c>
      <c r="P1103" s="2" t="s">
        <v>26</v>
      </c>
    </row>
    <row r="1104" spans="1:16" ht="20.100000000000001" customHeight="1" x14ac:dyDescent="0.25">
      <c r="A1104" s="26" t="str">
        <f>CONCATENATE(LEFT(ConsumoConcreto[[#This Row],[RecebimentoID]],4),"CNSC",TEXT(ConsumoConcreto[[#This Row],[Ordem]],"0000"),UPPER(LEFT(ConsumoConcreto[[#This Row],[Destino]],3)))</f>
        <v>0184CNSC0537RAD</v>
      </c>
      <c r="B1104" s="1">
        <v>537</v>
      </c>
      <c r="C1104" s="2" t="s">
        <v>3164</v>
      </c>
      <c r="D1104" s="2" t="s">
        <v>2005</v>
      </c>
      <c r="E1104" s="18" t="s">
        <v>3165</v>
      </c>
      <c r="F1104" s="2" t="s">
        <v>1801</v>
      </c>
      <c r="G1104" s="36" t="s">
        <v>3166</v>
      </c>
      <c r="H1104" s="2" t="s">
        <v>1968</v>
      </c>
      <c r="I1104" s="30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6.38</v>
      </c>
      <c r="J1104" s="22" t="s">
        <v>1875</v>
      </c>
      <c r="K1104" s="22" t="s">
        <v>1875</v>
      </c>
      <c r="L1104" s="37">
        <v>36892</v>
      </c>
      <c r="M1104" s="2"/>
      <c r="N1104" s="2" t="s">
        <v>1963</v>
      </c>
      <c r="O1104" s="2" t="s">
        <v>27</v>
      </c>
      <c r="P1104" s="2" t="s">
        <v>26</v>
      </c>
    </row>
    <row r="1105" spans="1:16" ht="20.100000000000001" customHeight="1" x14ac:dyDescent="0.25">
      <c r="A1105" s="26" t="str">
        <f>CONCATENATE(LEFT(ConsumoConcreto[[#This Row],[RecebimentoID]],4),"CNSC",TEXT(ConsumoConcreto[[#This Row],[Ordem]],"0000"),UPPER(LEFT(ConsumoConcreto[[#This Row],[Destino]],3)))</f>
        <v>0184CNSC1105</v>
      </c>
      <c r="B1105" s="1">
        <v>1105</v>
      </c>
      <c r="C1105" s="2" t="s">
        <v>3167</v>
      </c>
      <c r="G1105" s="36"/>
      <c r="H1105" s="2"/>
      <c r="I110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05" s="37">
        <v>36892</v>
      </c>
      <c r="M1105" s="2"/>
      <c r="N1105" s="2"/>
      <c r="O1105" s="2" t="s">
        <v>27</v>
      </c>
      <c r="P1105" s="2" t="s">
        <v>26</v>
      </c>
    </row>
    <row r="1106" spans="1:16" ht="20.100000000000001" customHeight="1" x14ac:dyDescent="0.25">
      <c r="A1106" s="26" t="str">
        <f>CONCATENATE(LEFT(ConsumoConcreto[[#This Row],[RecebimentoID]],4),"CNSC",TEXT(ConsumoConcreto[[#This Row],[Ordem]],"0000"),UPPER(LEFT(ConsumoConcreto[[#This Row],[Destino]],3)))</f>
        <v>0184CNSC1106</v>
      </c>
      <c r="B1106" s="1">
        <v>1106</v>
      </c>
      <c r="C1106" s="2" t="s">
        <v>3168</v>
      </c>
      <c r="G1106" s="36"/>
      <c r="H1106" s="2"/>
      <c r="I110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06" s="37">
        <v>36892</v>
      </c>
      <c r="M1106" s="2"/>
      <c r="N1106" s="2"/>
      <c r="O1106" s="2" t="s">
        <v>27</v>
      </c>
      <c r="P1106" s="2" t="s">
        <v>26</v>
      </c>
    </row>
    <row r="1107" spans="1:16" ht="20.100000000000001" customHeight="1" x14ac:dyDescent="0.25">
      <c r="A1107" s="26" t="str">
        <f>CONCATENATE(LEFT(ConsumoConcreto[[#This Row],[RecebimentoID]],4),"CNSC",TEXT(ConsumoConcreto[[#This Row],[Ordem]],"0000"),UPPER(LEFT(ConsumoConcreto[[#This Row],[Destino]],3)))</f>
        <v>0184CNSC1107</v>
      </c>
      <c r="B1107" s="1">
        <v>1107</v>
      </c>
      <c r="C1107" s="2" t="s">
        <v>3169</v>
      </c>
      <c r="G1107" s="36"/>
      <c r="H1107" s="2"/>
      <c r="I110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07" s="37">
        <v>36892</v>
      </c>
      <c r="M1107" s="2"/>
      <c r="N1107" s="2"/>
      <c r="O1107" s="2" t="s">
        <v>27</v>
      </c>
      <c r="P1107" s="2" t="s">
        <v>26</v>
      </c>
    </row>
    <row r="1108" spans="1:16" ht="20.100000000000001" customHeight="1" x14ac:dyDescent="0.25">
      <c r="A1108" s="26" t="str">
        <f>CONCATENATE(LEFT(ConsumoConcreto[[#This Row],[RecebimentoID]],4),"CNSC",TEXT(ConsumoConcreto[[#This Row],[Ordem]],"0000"),UPPER(LEFT(ConsumoConcreto[[#This Row],[Destino]],3)))</f>
        <v>0184CNSC1108</v>
      </c>
      <c r="B1108" s="1">
        <v>1108</v>
      </c>
      <c r="C1108" s="2" t="s">
        <v>3170</v>
      </c>
      <c r="G1108" s="36"/>
      <c r="H1108" s="2"/>
      <c r="I110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08" s="37">
        <v>36892</v>
      </c>
      <c r="M1108" s="2"/>
      <c r="N1108" s="2"/>
      <c r="O1108" s="2" t="s">
        <v>27</v>
      </c>
      <c r="P1108" s="2" t="s">
        <v>26</v>
      </c>
    </row>
    <row r="1109" spans="1:16" ht="20.100000000000001" customHeight="1" x14ac:dyDescent="0.25">
      <c r="A1109" s="26" t="str">
        <f>CONCATENATE(LEFT(ConsumoConcreto[[#This Row],[RecebimentoID]],4),"CNSC",TEXT(ConsumoConcreto[[#This Row],[Ordem]],"0000"),UPPER(LEFT(ConsumoConcreto[[#This Row],[Destino]],3)))</f>
        <v>0184CNSC1109</v>
      </c>
      <c r="B1109" s="1">
        <v>1109</v>
      </c>
      <c r="C1109" s="2" t="s">
        <v>3171</v>
      </c>
      <c r="G1109" s="36"/>
      <c r="H1109" s="2"/>
      <c r="I110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09" s="37">
        <v>36892</v>
      </c>
      <c r="M1109" s="2"/>
      <c r="N1109" s="2"/>
      <c r="O1109" s="2" t="s">
        <v>27</v>
      </c>
      <c r="P1109" s="2" t="s">
        <v>26</v>
      </c>
    </row>
    <row r="1110" spans="1:16" ht="20.100000000000001" customHeight="1" x14ac:dyDescent="0.25">
      <c r="A1110" s="26" t="str">
        <f>CONCATENATE(LEFT(ConsumoConcreto[[#This Row],[RecebimentoID]],4),"CNSC",TEXT(ConsumoConcreto[[#This Row],[Ordem]],"0000"),UPPER(LEFT(ConsumoConcreto[[#This Row],[Destino]],3)))</f>
        <v>0184CNSC1110</v>
      </c>
      <c r="B1110" s="1">
        <v>1110</v>
      </c>
      <c r="C1110" s="2" t="s">
        <v>3172</v>
      </c>
      <c r="G1110" s="36"/>
      <c r="H1110" s="2"/>
      <c r="I111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0" s="37">
        <v>36892</v>
      </c>
      <c r="M1110" s="2"/>
      <c r="N1110" s="2"/>
      <c r="O1110" s="2" t="s">
        <v>27</v>
      </c>
      <c r="P1110" s="2" t="s">
        <v>26</v>
      </c>
    </row>
    <row r="1111" spans="1:16" ht="20.100000000000001" customHeight="1" x14ac:dyDescent="0.25">
      <c r="A1111" s="26" t="str">
        <f>CONCATENATE(LEFT(ConsumoConcreto[[#This Row],[RecebimentoID]],4),"CNSC",TEXT(ConsumoConcreto[[#This Row],[Ordem]],"0000"),UPPER(LEFT(ConsumoConcreto[[#This Row],[Destino]],3)))</f>
        <v>0184CNSC1111</v>
      </c>
      <c r="B1111" s="1">
        <v>1111</v>
      </c>
      <c r="C1111" s="2" t="s">
        <v>3173</v>
      </c>
      <c r="G1111" s="36"/>
      <c r="H1111" s="2"/>
      <c r="I111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1" s="37">
        <v>36892</v>
      </c>
      <c r="M1111" s="2"/>
      <c r="N1111" s="2"/>
      <c r="O1111" s="2" t="s">
        <v>27</v>
      </c>
      <c r="P1111" s="2" t="s">
        <v>26</v>
      </c>
    </row>
    <row r="1112" spans="1:16" ht="20.100000000000001" customHeight="1" x14ac:dyDescent="0.25">
      <c r="A1112" s="26" t="str">
        <f>CONCATENATE(LEFT(ConsumoConcreto[[#This Row],[RecebimentoID]],4),"CNSC",TEXT(ConsumoConcreto[[#This Row],[Ordem]],"0000"),UPPER(LEFT(ConsumoConcreto[[#This Row],[Destino]],3)))</f>
        <v>0184CNSC1112</v>
      </c>
      <c r="B1112" s="1">
        <v>1112</v>
      </c>
      <c r="C1112" s="2" t="s">
        <v>3174</v>
      </c>
      <c r="G1112" s="36"/>
      <c r="H1112" s="2"/>
      <c r="I111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2" s="37">
        <v>36892</v>
      </c>
      <c r="M1112" s="2"/>
      <c r="N1112" s="2"/>
      <c r="O1112" s="2" t="s">
        <v>27</v>
      </c>
      <c r="P1112" s="2" t="s">
        <v>26</v>
      </c>
    </row>
    <row r="1113" spans="1:16" ht="20.100000000000001" customHeight="1" x14ac:dyDescent="0.25">
      <c r="A1113" s="26" t="str">
        <f>CONCATENATE(LEFT(ConsumoConcreto[[#This Row],[RecebimentoID]],4),"CNSC",TEXT(ConsumoConcreto[[#This Row],[Ordem]],"0000"),UPPER(LEFT(ConsumoConcreto[[#This Row],[Destino]],3)))</f>
        <v>0184CNSC1113</v>
      </c>
      <c r="B1113" s="1">
        <v>1113</v>
      </c>
      <c r="C1113" s="2" t="s">
        <v>3175</v>
      </c>
      <c r="G1113" s="36"/>
      <c r="H1113" s="2"/>
      <c r="I111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3" s="37">
        <v>36892</v>
      </c>
      <c r="M1113" s="2"/>
      <c r="N1113" s="2"/>
      <c r="O1113" s="2" t="s">
        <v>27</v>
      </c>
      <c r="P1113" s="2" t="s">
        <v>26</v>
      </c>
    </row>
    <row r="1114" spans="1:16" ht="20.100000000000001" customHeight="1" x14ac:dyDescent="0.25">
      <c r="A1114" s="26" t="str">
        <f>CONCATENATE(LEFT(ConsumoConcreto[[#This Row],[RecebimentoID]],4),"CNSC",TEXT(ConsumoConcreto[[#This Row],[Ordem]],"0000"),UPPER(LEFT(ConsumoConcreto[[#This Row],[Destino]],3)))</f>
        <v>0184CNSC1114</v>
      </c>
      <c r="B1114" s="1">
        <v>1114</v>
      </c>
      <c r="C1114" s="2" t="s">
        <v>3176</v>
      </c>
      <c r="G1114" s="36"/>
      <c r="H1114" s="2"/>
      <c r="I111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4" s="37">
        <v>36892</v>
      </c>
      <c r="M1114" s="2"/>
      <c r="N1114" s="2"/>
      <c r="O1114" s="2" t="s">
        <v>27</v>
      </c>
      <c r="P1114" s="2" t="s">
        <v>26</v>
      </c>
    </row>
    <row r="1115" spans="1:16" ht="20.100000000000001" customHeight="1" x14ac:dyDescent="0.25">
      <c r="A1115" s="26" t="str">
        <f>CONCATENATE(LEFT(ConsumoConcreto[[#This Row],[RecebimentoID]],4),"CNSC",TEXT(ConsumoConcreto[[#This Row],[Ordem]],"0000"),UPPER(LEFT(ConsumoConcreto[[#This Row],[Destino]],3)))</f>
        <v>0184CNSC1115</v>
      </c>
      <c r="B1115" s="1">
        <v>1115</v>
      </c>
      <c r="C1115" s="2" t="s">
        <v>3177</v>
      </c>
      <c r="G1115" s="36"/>
      <c r="H1115" s="2"/>
      <c r="I111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5" s="37">
        <v>36892</v>
      </c>
      <c r="M1115" s="2"/>
      <c r="N1115" s="2"/>
      <c r="O1115" s="2" t="s">
        <v>27</v>
      </c>
      <c r="P1115" s="2" t="s">
        <v>26</v>
      </c>
    </row>
    <row r="1116" spans="1:16" ht="20.100000000000001" customHeight="1" x14ac:dyDescent="0.25">
      <c r="A1116" s="26" t="str">
        <f>CONCATENATE(LEFT(ConsumoConcreto[[#This Row],[RecebimentoID]],4),"CNSC",TEXT(ConsumoConcreto[[#This Row],[Ordem]],"0000"),UPPER(LEFT(ConsumoConcreto[[#This Row],[Destino]],3)))</f>
        <v>0184CNSC1116</v>
      </c>
      <c r="B1116" s="1">
        <v>1116</v>
      </c>
      <c r="C1116" s="2" t="s">
        <v>3178</v>
      </c>
      <c r="G1116" s="36"/>
      <c r="H1116" s="2"/>
      <c r="I111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6" s="37">
        <v>36892</v>
      </c>
      <c r="M1116" s="2"/>
      <c r="N1116" s="2"/>
      <c r="O1116" s="2" t="s">
        <v>27</v>
      </c>
      <c r="P1116" s="2" t="s">
        <v>26</v>
      </c>
    </row>
    <row r="1117" spans="1:16" ht="20.100000000000001" customHeight="1" x14ac:dyDescent="0.25">
      <c r="A1117" s="26" t="str">
        <f>CONCATENATE(LEFT(ConsumoConcreto[[#This Row],[RecebimentoID]],4),"CNSC",TEXT(ConsumoConcreto[[#This Row],[Ordem]],"0000"),UPPER(LEFT(ConsumoConcreto[[#This Row],[Destino]],3)))</f>
        <v>0184CNSC1117</v>
      </c>
      <c r="B1117" s="1">
        <v>1117</v>
      </c>
      <c r="C1117" s="2" t="s">
        <v>3179</v>
      </c>
      <c r="G1117" s="36"/>
      <c r="H1117" s="2"/>
      <c r="I111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7" s="37">
        <v>36892</v>
      </c>
      <c r="M1117" s="2"/>
      <c r="N1117" s="2"/>
      <c r="O1117" s="2" t="s">
        <v>27</v>
      </c>
      <c r="P1117" s="2" t="s">
        <v>26</v>
      </c>
    </row>
    <row r="1118" spans="1:16" ht="20.100000000000001" customHeight="1" x14ac:dyDescent="0.25">
      <c r="A1118" s="26" t="str">
        <f>CONCATENATE(LEFT(ConsumoConcreto[[#This Row],[RecebimentoID]],4),"CNSC",TEXT(ConsumoConcreto[[#This Row],[Ordem]],"0000"),UPPER(LEFT(ConsumoConcreto[[#This Row],[Destino]],3)))</f>
        <v>0184CNSC1118</v>
      </c>
      <c r="B1118" s="1">
        <v>1118</v>
      </c>
      <c r="C1118" s="2" t="s">
        <v>3180</v>
      </c>
      <c r="G1118" s="36"/>
      <c r="H1118" s="2"/>
      <c r="I111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8" s="37">
        <v>36892</v>
      </c>
      <c r="M1118" s="2"/>
      <c r="N1118" s="2"/>
      <c r="O1118" s="2" t="s">
        <v>27</v>
      </c>
      <c r="P1118" s="2" t="s">
        <v>26</v>
      </c>
    </row>
    <row r="1119" spans="1:16" ht="20.100000000000001" customHeight="1" x14ac:dyDescent="0.25">
      <c r="A1119" s="26" t="str">
        <f>CONCATENATE(LEFT(ConsumoConcreto[[#This Row],[RecebimentoID]],4),"CNSC",TEXT(ConsumoConcreto[[#This Row],[Ordem]],"0000"),UPPER(LEFT(ConsumoConcreto[[#This Row],[Destino]],3)))</f>
        <v>0184CNSC1119</v>
      </c>
      <c r="B1119" s="1">
        <v>1119</v>
      </c>
      <c r="C1119" s="2" t="s">
        <v>3181</v>
      </c>
      <c r="G1119" s="36"/>
      <c r="H1119" s="2"/>
      <c r="I111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19" s="37">
        <v>36892</v>
      </c>
      <c r="M1119" s="2"/>
      <c r="N1119" s="2"/>
      <c r="O1119" s="2" t="s">
        <v>27</v>
      </c>
      <c r="P1119" s="2" t="s">
        <v>26</v>
      </c>
    </row>
    <row r="1120" spans="1:16" ht="20.100000000000001" customHeight="1" x14ac:dyDescent="0.25">
      <c r="A1120" s="26" t="str">
        <f>CONCATENATE(LEFT(ConsumoConcreto[[#This Row],[RecebimentoID]],4),"CNSC",TEXT(ConsumoConcreto[[#This Row],[Ordem]],"0000"),UPPER(LEFT(ConsumoConcreto[[#This Row],[Destino]],3)))</f>
        <v>0184CNSC1120</v>
      </c>
      <c r="B1120" s="1">
        <v>1120</v>
      </c>
      <c r="C1120" s="2" t="s">
        <v>3182</v>
      </c>
      <c r="G1120" s="36"/>
      <c r="H1120" s="2"/>
      <c r="I112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0" s="37">
        <v>36892</v>
      </c>
      <c r="M1120" s="2"/>
      <c r="N1120" s="2"/>
      <c r="O1120" s="2" t="s">
        <v>27</v>
      </c>
      <c r="P1120" s="2" t="s">
        <v>26</v>
      </c>
    </row>
    <row r="1121" spans="1:16" ht="20.100000000000001" customHeight="1" x14ac:dyDescent="0.25">
      <c r="A1121" s="26" t="str">
        <f>CONCATENATE(LEFT(ConsumoConcreto[[#This Row],[RecebimentoID]],4),"CNSC",TEXT(ConsumoConcreto[[#This Row],[Ordem]],"0000"),UPPER(LEFT(ConsumoConcreto[[#This Row],[Destino]],3)))</f>
        <v>0184CNSC1121</v>
      </c>
      <c r="B1121" s="1">
        <v>1121</v>
      </c>
      <c r="C1121" s="2" t="s">
        <v>3183</v>
      </c>
      <c r="G1121" s="36"/>
      <c r="H1121" s="2"/>
      <c r="I112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1" s="37">
        <v>36892</v>
      </c>
      <c r="M1121" s="2"/>
      <c r="N1121" s="2"/>
      <c r="O1121" s="2" t="s">
        <v>27</v>
      </c>
      <c r="P1121" s="2" t="s">
        <v>26</v>
      </c>
    </row>
    <row r="1122" spans="1:16" ht="20.100000000000001" customHeight="1" x14ac:dyDescent="0.25">
      <c r="A1122" s="26" t="str">
        <f>CONCATENATE(LEFT(ConsumoConcreto[[#This Row],[RecebimentoID]],4),"CNSC",TEXT(ConsumoConcreto[[#This Row],[Ordem]],"0000"),UPPER(LEFT(ConsumoConcreto[[#This Row],[Destino]],3)))</f>
        <v>0184CNSC1122</v>
      </c>
      <c r="B1122" s="1">
        <v>1122</v>
      </c>
      <c r="C1122" s="2" t="s">
        <v>3184</v>
      </c>
      <c r="G1122" s="36"/>
      <c r="H1122" s="2"/>
      <c r="I112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2" s="37">
        <v>36892</v>
      </c>
      <c r="M1122" s="2"/>
      <c r="N1122" s="2"/>
      <c r="O1122" s="2" t="s">
        <v>27</v>
      </c>
      <c r="P1122" s="2" t="s">
        <v>26</v>
      </c>
    </row>
    <row r="1123" spans="1:16" ht="20.100000000000001" customHeight="1" x14ac:dyDescent="0.25">
      <c r="A1123" s="26" t="str">
        <f>CONCATENATE(LEFT(ConsumoConcreto[[#This Row],[RecebimentoID]],4),"CNSC",TEXT(ConsumoConcreto[[#This Row],[Ordem]],"0000"),UPPER(LEFT(ConsumoConcreto[[#This Row],[Destino]],3)))</f>
        <v>0184CNSC1123</v>
      </c>
      <c r="B1123" s="1">
        <v>1123</v>
      </c>
      <c r="C1123" s="2" t="s">
        <v>3185</v>
      </c>
      <c r="G1123" s="36"/>
      <c r="H1123" s="2"/>
      <c r="I112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3" s="37">
        <v>36892</v>
      </c>
      <c r="M1123" s="2"/>
      <c r="N1123" s="2"/>
      <c r="O1123" s="2" t="s">
        <v>27</v>
      </c>
      <c r="P1123" s="2" t="s">
        <v>26</v>
      </c>
    </row>
    <row r="1124" spans="1:16" ht="20.100000000000001" customHeight="1" x14ac:dyDescent="0.25">
      <c r="A1124" s="26" t="str">
        <f>CONCATENATE(LEFT(ConsumoConcreto[[#This Row],[RecebimentoID]],4),"CNSC",TEXT(ConsumoConcreto[[#This Row],[Ordem]],"0000"),UPPER(LEFT(ConsumoConcreto[[#This Row],[Destino]],3)))</f>
        <v>0184CNSC1124</v>
      </c>
      <c r="B1124" s="1">
        <v>1124</v>
      </c>
      <c r="C1124" s="2" t="s">
        <v>3186</v>
      </c>
      <c r="G1124" s="36"/>
      <c r="H1124" s="2"/>
      <c r="I112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4" s="37">
        <v>36892</v>
      </c>
      <c r="M1124" s="2"/>
      <c r="N1124" s="2"/>
      <c r="O1124" s="2" t="s">
        <v>27</v>
      </c>
      <c r="P1124" s="2" t="s">
        <v>26</v>
      </c>
    </row>
    <row r="1125" spans="1:16" ht="20.100000000000001" customHeight="1" x14ac:dyDescent="0.25">
      <c r="A1125" s="26" t="str">
        <f>CONCATENATE(LEFT(ConsumoConcreto[[#This Row],[RecebimentoID]],4),"CNSC",TEXT(ConsumoConcreto[[#This Row],[Ordem]],"0000"),UPPER(LEFT(ConsumoConcreto[[#This Row],[Destino]],3)))</f>
        <v>0184CNSC1125</v>
      </c>
      <c r="B1125" s="1">
        <v>1125</v>
      </c>
      <c r="C1125" s="2" t="s">
        <v>3187</v>
      </c>
      <c r="G1125" s="36"/>
      <c r="H1125" s="2"/>
      <c r="I112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5" s="37">
        <v>36892</v>
      </c>
      <c r="M1125" s="2"/>
      <c r="N1125" s="2"/>
      <c r="O1125" s="2" t="s">
        <v>27</v>
      </c>
      <c r="P1125" s="2" t="s">
        <v>26</v>
      </c>
    </row>
    <row r="1126" spans="1:16" ht="20.100000000000001" customHeight="1" x14ac:dyDescent="0.25">
      <c r="A1126" s="26" t="str">
        <f>CONCATENATE(LEFT(ConsumoConcreto[[#This Row],[RecebimentoID]],4),"CNSC",TEXT(ConsumoConcreto[[#This Row],[Ordem]],"0000"),UPPER(LEFT(ConsumoConcreto[[#This Row],[Destino]],3)))</f>
        <v>0184CNSC1126</v>
      </c>
      <c r="B1126" s="1">
        <v>1126</v>
      </c>
      <c r="C1126" s="2" t="s">
        <v>3188</v>
      </c>
      <c r="G1126" s="36"/>
      <c r="H1126" s="2"/>
      <c r="I112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6" s="37">
        <v>36892</v>
      </c>
      <c r="M1126" s="2"/>
      <c r="N1126" s="2"/>
      <c r="O1126" s="2" t="s">
        <v>27</v>
      </c>
      <c r="P1126" s="2" t="s">
        <v>26</v>
      </c>
    </row>
    <row r="1127" spans="1:16" ht="20.100000000000001" customHeight="1" x14ac:dyDescent="0.25">
      <c r="A1127" s="26" t="str">
        <f>CONCATENATE(LEFT(ConsumoConcreto[[#This Row],[RecebimentoID]],4),"CNSC",TEXT(ConsumoConcreto[[#This Row],[Ordem]],"0000"),UPPER(LEFT(ConsumoConcreto[[#This Row],[Destino]],3)))</f>
        <v>0184CNSC1127</v>
      </c>
      <c r="B1127" s="1">
        <v>1127</v>
      </c>
      <c r="C1127" s="2" t="s">
        <v>3189</v>
      </c>
      <c r="G1127" s="36"/>
      <c r="H1127" s="2"/>
      <c r="I112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7" s="37">
        <v>36892</v>
      </c>
      <c r="M1127" s="2"/>
      <c r="N1127" s="2"/>
      <c r="O1127" s="2" t="s">
        <v>27</v>
      </c>
      <c r="P1127" s="2" t="s">
        <v>26</v>
      </c>
    </row>
    <row r="1128" spans="1:16" ht="20.100000000000001" customHeight="1" x14ac:dyDescent="0.25">
      <c r="A1128" s="26" t="str">
        <f>CONCATENATE(LEFT(ConsumoConcreto[[#This Row],[RecebimentoID]],4),"CNSC",TEXT(ConsumoConcreto[[#This Row],[Ordem]],"0000"),UPPER(LEFT(ConsumoConcreto[[#This Row],[Destino]],3)))</f>
        <v>0184CNSC1128</v>
      </c>
      <c r="B1128" s="1">
        <v>1128</v>
      </c>
      <c r="C1128" s="2" t="s">
        <v>3190</v>
      </c>
      <c r="G1128" s="36"/>
      <c r="H1128" s="2"/>
      <c r="I112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8" s="37">
        <v>36892</v>
      </c>
      <c r="M1128" s="2"/>
      <c r="N1128" s="2"/>
      <c r="O1128" s="2" t="s">
        <v>27</v>
      </c>
      <c r="P1128" s="2" t="s">
        <v>26</v>
      </c>
    </row>
    <row r="1129" spans="1:16" ht="20.100000000000001" customHeight="1" x14ac:dyDescent="0.25">
      <c r="A1129" s="26" t="str">
        <f>CONCATENATE(LEFT(ConsumoConcreto[[#This Row],[RecebimentoID]],4),"CNSC",TEXT(ConsumoConcreto[[#This Row],[Ordem]],"0000"),UPPER(LEFT(ConsumoConcreto[[#This Row],[Destino]],3)))</f>
        <v>0184CNSC1129</v>
      </c>
      <c r="B1129" s="1">
        <v>1129</v>
      </c>
      <c r="C1129" s="2" t="s">
        <v>3191</v>
      </c>
      <c r="G1129" s="36"/>
      <c r="H1129" s="2"/>
      <c r="I112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29" s="37">
        <v>36892</v>
      </c>
      <c r="M1129" s="2"/>
      <c r="N1129" s="2"/>
      <c r="O1129" s="2" t="s">
        <v>27</v>
      </c>
      <c r="P1129" s="2" t="s">
        <v>26</v>
      </c>
    </row>
    <row r="1130" spans="1:16" ht="20.100000000000001" customHeight="1" x14ac:dyDescent="0.25">
      <c r="A1130" s="26" t="str">
        <f>CONCATENATE(LEFT(ConsumoConcreto[[#This Row],[RecebimentoID]],4),"CNSC",TEXT(ConsumoConcreto[[#This Row],[Ordem]],"0000"),UPPER(LEFT(ConsumoConcreto[[#This Row],[Destino]],3)))</f>
        <v>0184CNSC1130</v>
      </c>
      <c r="B1130" s="1">
        <v>1130</v>
      </c>
      <c r="C1130" s="2" t="s">
        <v>3192</v>
      </c>
      <c r="G1130" s="36"/>
      <c r="H1130" s="2"/>
      <c r="I113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0" s="37">
        <v>36892</v>
      </c>
      <c r="M1130" s="2"/>
      <c r="N1130" s="2"/>
      <c r="O1130" s="2" t="s">
        <v>27</v>
      </c>
      <c r="P1130" s="2" t="s">
        <v>26</v>
      </c>
    </row>
    <row r="1131" spans="1:16" ht="20.100000000000001" customHeight="1" x14ac:dyDescent="0.25">
      <c r="A1131" s="26" t="str">
        <f>CONCATENATE(LEFT(ConsumoConcreto[[#This Row],[RecebimentoID]],4),"CNSC",TEXT(ConsumoConcreto[[#This Row],[Ordem]],"0000"),UPPER(LEFT(ConsumoConcreto[[#This Row],[Destino]],3)))</f>
        <v>0184CNSC1131</v>
      </c>
      <c r="B1131" s="1">
        <v>1131</v>
      </c>
      <c r="C1131" s="2" t="s">
        <v>3193</v>
      </c>
      <c r="G1131" s="36"/>
      <c r="H1131" s="2"/>
      <c r="I113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1" s="37">
        <v>36892</v>
      </c>
      <c r="M1131" s="2"/>
      <c r="N1131" s="2"/>
      <c r="O1131" s="2" t="s">
        <v>27</v>
      </c>
      <c r="P1131" s="2" t="s">
        <v>26</v>
      </c>
    </row>
    <row r="1132" spans="1:16" ht="20.100000000000001" customHeight="1" x14ac:dyDescent="0.25">
      <c r="A1132" s="26" t="str">
        <f>CONCATENATE(LEFT(ConsumoConcreto[[#This Row],[RecebimentoID]],4),"CNSC",TEXT(ConsumoConcreto[[#This Row],[Ordem]],"0000"),UPPER(LEFT(ConsumoConcreto[[#This Row],[Destino]],3)))</f>
        <v>0184CNSC1132</v>
      </c>
      <c r="B1132" s="1">
        <v>1132</v>
      </c>
      <c r="C1132" s="2" t="s">
        <v>3194</v>
      </c>
      <c r="G1132" s="36"/>
      <c r="H1132" s="2"/>
      <c r="I113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2" s="37">
        <v>36892</v>
      </c>
      <c r="M1132" s="2"/>
      <c r="N1132" s="2"/>
      <c r="O1132" s="2" t="s">
        <v>27</v>
      </c>
      <c r="P1132" s="2" t="s">
        <v>26</v>
      </c>
    </row>
    <row r="1133" spans="1:16" ht="20.100000000000001" customHeight="1" x14ac:dyDescent="0.25">
      <c r="A1133" s="26" t="str">
        <f>CONCATENATE(LEFT(ConsumoConcreto[[#This Row],[RecebimentoID]],4),"CNSC",TEXT(ConsumoConcreto[[#This Row],[Ordem]],"0000"),UPPER(LEFT(ConsumoConcreto[[#This Row],[Destino]],3)))</f>
        <v>0184CNSC1133</v>
      </c>
      <c r="B1133" s="1">
        <v>1133</v>
      </c>
      <c r="C1133" s="2" t="s">
        <v>3195</v>
      </c>
      <c r="G1133" s="36"/>
      <c r="H1133" s="2"/>
      <c r="I113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3" s="37">
        <v>36892</v>
      </c>
      <c r="M1133" s="2"/>
      <c r="N1133" s="2"/>
      <c r="O1133" s="2" t="s">
        <v>27</v>
      </c>
      <c r="P1133" s="2" t="s">
        <v>26</v>
      </c>
    </row>
    <row r="1134" spans="1:16" ht="20.100000000000001" customHeight="1" x14ac:dyDescent="0.25">
      <c r="A1134" s="26" t="str">
        <f>CONCATENATE(LEFT(ConsumoConcreto[[#This Row],[RecebimentoID]],4),"CNSC",TEXT(ConsumoConcreto[[#This Row],[Ordem]],"0000"),UPPER(LEFT(ConsumoConcreto[[#This Row],[Destino]],3)))</f>
        <v>0184CNSC1134</v>
      </c>
      <c r="B1134" s="1">
        <v>1134</v>
      </c>
      <c r="C1134" s="2" t="s">
        <v>3196</v>
      </c>
      <c r="G1134" s="36"/>
      <c r="H1134" s="2"/>
      <c r="I113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4" s="37">
        <v>36892</v>
      </c>
      <c r="M1134" s="2"/>
      <c r="N1134" s="2"/>
      <c r="O1134" s="2" t="s">
        <v>27</v>
      </c>
      <c r="P1134" s="2" t="s">
        <v>26</v>
      </c>
    </row>
    <row r="1135" spans="1:16" ht="20.100000000000001" customHeight="1" x14ac:dyDescent="0.25">
      <c r="A1135" s="26" t="str">
        <f>CONCATENATE(LEFT(ConsumoConcreto[[#This Row],[RecebimentoID]],4),"CNSC",TEXT(ConsumoConcreto[[#This Row],[Ordem]],"0000"),UPPER(LEFT(ConsumoConcreto[[#This Row],[Destino]],3)))</f>
        <v>0184CNSC1135</v>
      </c>
      <c r="B1135" s="1">
        <v>1135</v>
      </c>
      <c r="C1135" s="2" t="s">
        <v>3197</v>
      </c>
      <c r="G1135" s="36"/>
      <c r="H1135" s="2"/>
      <c r="I113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5" s="37">
        <v>36892</v>
      </c>
      <c r="M1135" s="2"/>
      <c r="N1135" s="2"/>
      <c r="O1135" s="2" t="s">
        <v>27</v>
      </c>
      <c r="P1135" s="2" t="s">
        <v>26</v>
      </c>
    </row>
    <row r="1136" spans="1:16" ht="20.100000000000001" customHeight="1" x14ac:dyDescent="0.25">
      <c r="A1136" s="26" t="str">
        <f>CONCATENATE(LEFT(ConsumoConcreto[[#This Row],[RecebimentoID]],4),"CNSC",TEXT(ConsumoConcreto[[#This Row],[Ordem]],"0000"),UPPER(LEFT(ConsumoConcreto[[#This Row],[Destino]],3)))</f>
        <v>0184CNSC1136</v>
      </c>
      <c r="B1136" s="1">
        <v>1136</v>
      </c>
      <c r="C1136" s="2" t="s">
        <v>3198</v>
      </c>
      <c r="G1136" s="36"/>
      <c r="H1136" s="2"/>
      <c r="I113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6" s="37">
        <v>36892</v>
      </c>
      <c r="M1136" s="2"/>
      <c r="N1136" s="2"/>
      <c r="O1136" s="2" t="s">
        <v>27</v>
      </c>
      <c r="P1136" s="2" t="s">
        <v>26</v>
      </c>
    </row>
    <row r="1137" spans="1:16" ht="20.100000000000001" customHeight="1" x14ac:dyDescent="0.25">
      <c r="A1137" s="26" t="str">
        <f>CONCATENATE(LEFT(ConsumoConcreto[[#This Row],[RecebimentoID]],4),"CNSC",TEXT(ConsumoConcreto[[#This Row],[Ordem]],"0000"),UPPER(LEFT(ConsumoConcreto[[#This Row],[Destino]],3)))</f>
        <v>0184CNSC1137</v>
      </c>
      <c r="B1137" s="1">
        <v>1137</v>
      </c>
      <c r="C1137" s="2" t="s">
        <v>3199</v>
      </c>
      <c r="G1137" s="36"/>
      <c r="H1137" s="2"/>
      <c r="I113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7" s="37">
        <v>36892</v>
      </c>
      <c r="M1137" s="2"/>
      <c r="N1137" s="2"/>
      <c r="O1137" s="2" t="s">
        <v>27</v>
      </c>
      <c r="P1137" s="2" t="s">
        <v>26</v>
      </c>
    </row>
    <row r="1138" spans="1:16" ht="20.100000000000001" customHeight="1" x14ac:dyDescent="0.25">
      <c r="A1138" s="26" t="str">
        <f>CONCATENATE(LEFT(ConsumoConcreto[[#This Row],[RecebimentoID]],4),"CNSC",TEXT(ConsumoConcreto[[#This Row],[Ordem]],"0000"),UPPER(LEFT(ConsumoConcreto[[#This Row],[Destino]],3)))</f>
        <v>0184CNSC1138</v>
      </c>
      <c r="B1138" s="1">
        <v>1138</v>
      </c>
      <c r="C1138" s="2" t="s">
        <v>3200</v>
      </c>
      <c r="G1138" s="36"/>
      <c r="H1138" s="2"/>
      <c r="I113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8" s="37">
        <v>36892</v>
      </c>
      <c r="M1138" s="2"/>
      <c r="N1138" s="2"/>
      <c r="O1138" s="2" t="s">
        <v>27</v>
      </c>
      <c r="P1138" s="2" t="s">
        <v>26</v>
      </c>
    </row>
    <row r="1139" spans="1:16" ht="20.100000000000001" customHeight="1" x14ac:dyDescent="0.25">
      <c r="A1139" s="26" t="str">
        <f>CONCATENATE(LEFT(ConsumoConcreto[[#This Row],[RecebimentoID]],4),"CNSC",TEXT(ConsumoConcreto[[#This Row],[Ordem]],"0000"),UPPER(LEFT(ConsumoConcreto[[#This Row],[Destino]],3)))</f>
        <v>0184CNSC1139</v>
      </c>
      <c r="B1139" s="1">
        <v>1139</v>
      </c>
      <c r="C1139" s="2" t="s">
        <v>3201</v>
      </c>
      <c r="G1139" s="36"/>
      <c r="H1139" s="2"/>
      <c r="I113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39" s="37">
        <v>36892</v>
      </c>
      <c r="M1139" s="2"/>
      <c r="N1139" s="2"/>
      <c r="O1139" s="2" t="s">
        <v>27</v>
      </c>
      <c r="P1139" s="2" t="s">
        <v>26</v>
      </c>
    </row>
    <row r="1140" spans="1:16" ht="20.100000000000001" customHeight="1" x14ac:dyDescent="0.25">
      <c r="A1140" s="26" t="str">
        <f>CONCATENATE(LEFT(ConsumoConcreto[[#This Row],[RecebimentoID]],4),"CNSC",TEXT(ConsumoConcreto[[#This Row],[Ordem]],"0000"),UPPER(LEFT(ConsumoConcreto[[#This Row],[Destino]],3)))</f>
        <v>0184CNSC1140</v>
      </c>
      <c r="B1140" s="1">
        <v>1140</v>
      </c>
      <c r="C1140" s="2" t="s">
        <v>3202</v>
      </c>
      <c r="G1140" s="36"/>
      <c r="H1140" s="2"/>
      <c r="I114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0" s="37">
        <v>36892</v>
      </c>
      <c r="M1140" s="2"/>
      <c r="N1140" s="2"/>
      <c r="O1140" s="2" t="s">
        <v>27</v>
      </c>
      <c r="P1140" s="2" t="s">
        <v>26</v>
      </c>
    </row>
    <row r="1141" spans="1:16" ht="20.100000000000001" customHeight="1" x14ac:dyDescent="0.25">
      <c r="A1141" s="26" t="str">
        <f>CONCATENATE(LEFT(ConsumoConcreto[[#This Row],[RecebimentoID]],4),"CNSC",TEXT(ConsumoConcreto[[#This Row],[Ordem]],"0000"),UPPER(LEFT(ConsumoConcreto[[#This Row],[Destino]],3)))</f>
        <v>0184CNSC1141</v>
      </c>
      <c r="B1141" s="1">
        <v>1141</v>
      </c>
      <c r="C1141" s="2" t="s">
        <v>3203</v>
      </c>
      <c r="G1141" s="36"/>
      <c r="H1141" s="2"/>
      <c r="I114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1" s="37">
        <v>36892</v>
      </c>
      <c r="M1141" s="2"/>
      <c r="N1141" s="2"/>
      <c r="O1141" s="2" t="s">
        <v>27</v>
      </c>
      <c r="P1141" s="2" t="s">
        <v>26</v>
      </c>
    </row>
    <row r="1142" spans="1:16" ht="20.100000000000001" customHeight="1" x14ac:dyDescent="0.25">
      <c r="A1142" s="26" t="str">
        <f>CONCATENATE(LEFT(ConsumoConcreto[[#This Row],[RecebimentoID]],4),"CNSC",TEXT(ConsumoConcreto[[#This Row],[Ordem]],"0000"),UPPER(LEFT(ConsumoConcreto[[#This Row],[Destino]],3)))</f>
        <v>0184CNSC1142</v>
      </c>
      <c r="B1142" s="1">
        <v>1142</v>
      </c>
      <c r="C1142" s="2" t="s">
        <v>3204</v>
      </c>
      <c r="G1142" s="36"/>
      <c r="H1142" s="2"/>
      <c r="I114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2" s="37">
        <v>36892</v>
      </c>
      <c r="M1142" s="2"/>
      <c r="N1142" s="2"/>
      <c r="O1142" s="2" t="s">
        <v>27</v>
      </c>
      <c r="P1142" s="2" t="s">
        <v>26</v>
      </c>
    </row>
    <row r="1143" spans="1:16" ht="20.100000000000001" customHeight="1" x14ac:dyDescent="0.25">
      <c r="A1143" s="26" t="str">
        <f>CONCATENATE(LEFT(ConsumoConcreto[[#This Row],[RecebimentoID]],4),"CNSC",TEXT(ConsumoConcreto[[#This Row],[Ordem]],"0000"),UPPER(LEFT(ConsumoConcreto[[#This Row],[Destino]],3)))</f>
        <v>0184CNSC1143</v>
      </c>
      <c r="B1143" s="1">
        <v>1143</v>
      </c>
      <c r="C1143" s="2" t="s">
        <v>3205</v>
      </c>
      <c r="G1143" s="36"/>
      <c r="H1143" s="2"/>
      <c r="I114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3" s="37">
        <v>36892</v>
      </c>
      <c r="M1143" s="2"/>
      <c r="N1143" s="2"/>
      <c r="O1143" s="2" t="s">
        <v>27</v>
      </c>
      <c r="P1143" s="2" t="s">
        <v>26</v>
      </c>
    </row>
    <row r="1144" spans="1:16" ht="20.100000000000001" customHeight="1" x14ac:dyDescent="0.25">
      <c r="A1144" s="26" t="str">
        <f>CONCATENATE(LEFT(ConsumoConcreto[[#This Row],[RecebimentoID]],4),"CNSC",TEXT(ConsumoConcreto[[#This Row],[Ordem]],"0000"),UPPER(LEFT(ConsumoConcreto[[#This Row],[Destino]],3)))</f>
        <v>0184CNSC1144</v>
      </c>
      <c r="B1144" s="1">
        <v>1144</v>
      </c>
      <c r="C1144" s="2" t="s">
        <v>3206</v>
      </c>
      <c r="G1144" s="36"/>
      <c r="H1144" s="2"/>
      <c r="I114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4" s="37">
        <v>36892</v>
      </c>
      <c r="M1144" s="2"/>
      <c r="N1144" s="2"/>
      <c r="O1144" s="2" t="s">
        <v>27</v>
      </c>
      <c r="P1144" s="2" t="s">
        <v>26</v>
      </c>
    </row>
    <row r="1145" spans="1:16" ht="20.100000000000001" customHeight="1" x14ac:dyDescent="0.25">
      <c r="A1145" s="26" t="str">
        <f>CONCATENATE(LEFT(ConsumoConcreto[[#This Row],[RecebimentoID]],4),"CNSC",TEXT(ConsumoConcreto[[#This Row],[Ordem]],"0000"),UPPER(LEFT(ConsumoConcreto[[#This Row],[Destino]],3)))</f>
        <v>0184CNSC1145</v>
      </c>
      <c r="B1145" s="1">
        <v>1145</v>
      </c>
      <c r="C1145" s="2" t="s">
        <v>3207</v>
      </c>
      <c r="G1145" s="36"/>
      <c r="H1145" s="2"/>
      <c r="I114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5" s="37">
        <v>36892</v>
      </c>
      <c r="M1145" s="2"/>
      <c r="N1145" s="2"/>
      <c r="O1145" s="2" t="s">
        <v>27</v>
      </c>
      <c r="P1145" s="2" t="s">
        <v>26</v>
      </c>
    </row>
    <row r="1146" spans="1:16" ht="20.100000000000001" customHeight="1" x14ac:dyDescent="0.25">
      <c r="A1146" s="26" t="str">
        <f>CONCATENATE(LEFT(ConsumoConcreto[[#This Row],[RecebimentoID]],4),"CNSC",TEXT(ConsumoConcreto[[#This Row],[Ordem]],"0000"),UPPER(LEFT(ConsumoConcreto[[#This Row],[Destino]],3)))</f>
        <v>0184CNSC1146</v>
      </c>
      <c r="B1146" s="1">
        <v>1146</v>
      </c>
      <c r="C1146" s="2" t="s">
        <v>3208</v>
      </c>
      <c r="G1146" s="36"/>
      <c r="H1146" s="2"/>
      <c r="I114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6" s="37">
        <v>36892</v>
      </c>
      <c r="M1146" s="2"/>
      <c r="N1146" s="2"/>
      <c r="O1146" s="2" t="s">
        <v>27</v>
      </c>
      <c r="P1146" s="2" t="s">
        <v>26</v>
      </c>
    </row>
    <row r="1147" spans="1:16" ht="20.100000000000001" customHeight="1" x14ac:dyDescent="0.25">
      <c r="A1147" s="26" t="str">
        <f>CONCATENATE(LEFT(ConsumoConcreto[[#This Row],[RecebimentoID]],4),"CNSC",TEXT(ConsumoConcreto[[#This Row],[Ordem]],"0000"),UPPER(LEFT(ConsumoConcreto[[#This Row],[Destino]],3)))</f>
        <v>0184CNSC1147</v>
      </c>
      <c r="B1147" s="1">
        <v>1147</v>
      </c>
      <c r="C1147" s="2" t="s">
        <v>3209</v>
      </c>
      <c r="G1147" s="36"/>
      <c r="H1147" s="2"/>
      <c r="I114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7" s="37">
        <v>36892</v>
      </c>
      <c r="M1147" s="2"/>
      <c r="N1147" s="2"/>
      <c r="O1147" s="2" t="s">
        <v>27</v>
      </c>
      <c r="P1147" s="2" t="s">
        <v>26</v>
      </c>
    </row>
    <row r="1148" spans="1:16" ht="20.100000000000001" customHeight="1" x14ac:dyDescent="0.25">
      <c r="A1148" s="26" t="str">
        <f>CONCATENATE(LEFT(ConsumoConcreto[[#This Row],[RecebimentoID]],4),"CNSC",TEXT(ConsumoConcreto[[#This Row],[Ordem]],"0000"),UPPER(LEFT(ConsumoConcreto[[#This Row],[Destino]],3)))</f>
        <v>0184CNSC1148</v>
      </c>
      <c r="B1148" s="1">
        <v>1148</v>
      </c>
      <c r="C1148" s="2" t="s">
        <v>3210</v>
      </c>
      <c r="G1148" s="36"/>
      <c r="H1148" s="2"/>
      <c r="I114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8" s="37">
        <v>36892</v>
      </c>
      <c r="M1148" s="2"/>
      <c r="N1148" s="2"/>
      <c r="O1148" s="2" t="s">
        <v>27</v>
      </c>
      <c r="P1148" s="2" t="s">
        <v>26</v>
      </c>
    </row>
    <row r="1149" spans="1:16" ht="20.100000000000001" customHeight="1" x14ac:dyDescent="0.25">
      <c r="A1149" s="26" t="str">
        <f>CONCATENATE(LEFT(ConsumoConcreto[[#This Row],[RecebimentoID]],4),"CNSC",TEXT(ConsumoConcreto[[#This Row],[Ordem]],"0000"),UPPER(LEFT(ConsumoConcreto[[#This Row],[Destino]],3)))</f>
        <v>0184CNSC1149</v>
      </c>
      <c r="B1149" s="1">
        <v>1149</v>
      </c>
      <c r="C1149" s="2" t="s">
        <v>3211</v>
      </c>
      <c r="G1149" s="36"/>
      <c r="H1149" s="2"/>
      <c r="I114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49" s="37">
        <v>36892</v>
      </c>
      <c r="M1149" s="2"/>
      <c r="N1149" s="2"/>
      <c r="O1149" s="2" t="s">
        <v>27</v>
      </c>
      <c r="P1149" s="2" t="s">
        <v>26</v>
      </c>
    </row>
    <row r="1150" spans="1:16" ht="20.100000000000001" customHeight="1" x14ac:dyDescent="0.25">
      <c r="A1150" s="26" t="str">
        <f>CONCATENATE(LEFT(ConsumoConcreto[[#This Row],[RecebimentoID]],4),"CNSC",TEXT(ConsumoConcreto[[#This Row],[Ordem]],"0000"),UPPER(LEFT(ConsumoConcreto[[#This Row],[Destino]],3)))</f>
        <v>0184CNSC1150</v>
      </c>
      <c r="B1150" s="1">
        <v>1150</v>
      </c>
      <c r="C1150" s="2" t="s">
        <v>3212</v>
      </c>
      <c r="G1150" s="36"/>
      <c r="H1150" s="2"/>
      <c r="I115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0" s="37">
        <v>36892</v>
      </c>
      <c r="M1150" s="2"/>
      <c r="N1150" s="2"/>
      <c r="O1150" s="2" t="s">
        <v>27</v>
      </c>
      <c r="P1150" s="2" t="s">
        <v>26</v>
      </c>
    </row>
    <row r="1151" spans="1:16" ht="20.100000000000001" customHeight="1" x14ac:dyDescent="0.25">
      <c r="A1151" s="26" t="str">
        <f>CONCATENATE(LEFT(ConsumoConcreto[[#This Row],[RecebimentoID]],4),"CNSC",TEXT(ConsumoConcreto[[#This Row],[Ordem]],"0000"),UPPER(LEFT(ConsumoConcreto[[#This Row],[Destino]],3)))</f>
        <v>0184CNSC1151</v>
      </c>
      <c r="B1151" s="1">
        <v>1151</v>
      </c>
      <c r="C1151" s="2" t="s">
        <v>3213</v>
      </c>
      <c r="G1151" s="36"/>
      <c r="H1151" s="2"/>
      <c r="I115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1" s="37">
        <v>36892</v>
      </c>
      <c r="M1151" s="2"/>
      <c r="N1151" s="2"/>
      <c r="O1151" s="2" t="s">
        <v>27</v>
      </c>
      <c r="P1151" s="2" t="s">
        <v>26</v>
      </c>
    </row>
    <row r="1152" spans="1:16" ht="20.100000000000001" customHeight="1" x14ac:dyDescent="0.25">
      <c r="A1152" s="26" t="str">
        <f>CONCATENATE(LEFT(ConsumoConcreto[[#This Row],[RecebimentoID]],4),"CNSC",TEXT(ConsumoConcreto[[#This Row],[Ordem]],"0000"),UPPER(LEFT(ConsumoConcreto[[#This Row],[Destino]],3)))</f>
        <v>0184CNSC1152</v>
      </c>
      <c r="B1152" s="1">
        <v>1152</v>
      </c>
      <c r="C1152" s="2" t="s">
        <v>3214</v>
      </c>
      <c r="G1152" s="36"/>
      <c r="H1152" s="2"/>
      <c r="I115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2" s="37">
        <v>36892</v>
      </c>
      <c r="M1152" s="2"/>
      <c r="N1152" s="2"/>
      <c r="O1152" s="2" t="s">
        <v>27</v>
      </c>
      <c r="P1152" s="2" t="s">
        <v>26</v>
      </c>
    </row>
    <row r="1153" spans="1:16" ht="20.100000000000001" customHeight="1" x14ac:dyDescent="0.25">
      <c r="A1153" s="26" t="str">
        <f>CONCATENATE(LEFT(ConsumoConcreto[[#This Row],[RecebimentoID]],4),"CNSC",TEXT(ConsumoConcreto[[#This Row],[Ordem]],"0000"),UPPER(LEFT(ConsumoConcreto[[#This Row],[Destino]],3)))</f>
        <v>0184CNSC1153</v>
      </c>
      <c r="B1153" s="1">
        <v>1153</v>
      </c>
      <c r="C1153" s="2" t="s">
        <v>3215</v>
      </c>
      <c r="G1153" s="36"/>
      <c r="H1153" s="2"/>
      <c r="I115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3" s="37">
        <v>36892</v>
      </c>
      <c r="M1153" s="2"/>
      <c r="N1153" s="2"/>
      <c r="O1153" s="2" t="s">
        <v>27</v>
      </c>
      <c r="P1153" s="2" t="s">
        <v>26</v>
      </c>
    </row>
    <row r="1154" spans="1:16" ht="20.100000000000001" customHeight="1" x14ac:dyDescent="0.25">
      <c r="A1154" s="26" t="str">
        <f>CONCATENATE(LEFT(ConsumoConcreto[[#This Row],[RecebimentoID]],4),"CNSC",TEXT(ConsumoConcreto[[#This Row],[Ordem]],"0000"),UPPER(LEFT(ConsumoConcreto[[#This Row],[Destino]],3)))</f>
        <v>0184CNSC1154</v>
      </c>
      <c r="B1154" s="1">
        <v>1154</v>
      </c>
      <c r="C1154" s="2" t="s">
        <v>3216</v>
      </c>
      <c r="G1154" s="36"/>
      <c r="H1154" s="2"/>
      <c r="I115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4" s="37">
        <v>36892</v>
      </c>
      <c r="M1154" s="2"/>
      <c r="N1154" s="2"/>
      <c r="O1154" s="2" t="s">
        <v>27</v>
      </c>
      <c r="P1154" s="2" t="s">
        <v>26</v>
      </c>
    </row>
    <row r="1155" spans="1:16" ht="20.100000000000001" customHeight="1" x14ac:dyDescent="0.25">
      <c r="A1155" s="26" t="str">
        <f>CONCATENATE(LEFT(ConsumoConcreto[[#This Row],[RecebimentoID]],4),"CNSC",TEXT(ConsumoConcreto[[#This Row],[Ordem]],"0000"),UPPER(LEFT(ConsumoConcreto[[#This Row],[Destino]],3)))</f>
        <v>0184CNSC1155</v>
      </c>
      <c r="B1155" s="1">
        <v>1155</v>
      </c>
      <c r="C1155" s="2" t="s">
        <v>3217</v>
      </c>
      <c r="G1155" s="36"/>
      <c r="H1155" s="2"/>
      <c r="I115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5" s="37">
        <v>36892</v>
      </c>
      <c r="M1155" s="2"/>
      <c r="N1155" s="2"/>
      <c r="O1155" s="2" t="s">
        <v>27</v>
      </c>
      <c r="P1155" s="2" t="s">
        <v>26</v>
      </c>
    </row>
    <row r="1156" spans="1:16" ht="20.100000000000001" customHeight="1" x14ac:dyDescent="0.25">
      <c r="A1156" s="26" t="str">
        <f>CONCATENATE(LEFT(ConsumoConcreto[[#This Row],[RecebimentoID]],4),"CNSC",TEXT(ConsumoConcreto[[#This Row],[Ordem]],"0000"),UPPER(LEFT(ConsumoConcreto[[#This Row],[Destino]],3)))</f>
        <v>0184CNSC1156</v>
      </c>
      <c r="B1156" s="1">
        <v>1156</v>
      </c>
      <c r="C1156" s="2" t="s">
        <v>3218</v>
      </c>
      <c r="G1156" s="36"/>
      <c r="H1156" s="2"/>
      <c r="I115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6" s="37">
        <v>36892</v>
      </c>
      <c r="M1156" s="2"/>
      <c r="N1156" s="2"/>
      <c r="O1156" s="2" t="s">
        <v>27</v>
      </c>
      <c r="P1156" s="2" t="s">
        <v>26</v>
      </c>
    </row>
    <row r="1157" spans="1:16" ht="20.100000000000001" customHeight="1" x14ac:dyDescent="0.25">
      <c r="A1157" s="26" t="str">
        <f>CONCATENATE(LEFT(ConsumoConcreto[[#This Row],[RecebimentoID]],4),"CNSC",TEXT(ConsumoConcreto[[#This Row],[Ordem]],"0000"),UPPER(LEFT(ConsumoConcreto[[#This Row],[Destino]],3)))</f>
        <v>0184CNSC1157</v>
      </c>
      <c r="B1157" s="1">
        <v>1157</v>
      </c>
      <c r="C1157" s="2" t="s">
        <v>3219</v>
      </c>
      <c r="G1157" s="36"/>
      <c r="H1157" s="2"/>
      <c r="I115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7" s="37">
        <v>36892</v>
      </c>
      <c r="M1157" s="2"/>
      <c r="N1157" s="2"/>
      <c r="O1157" s="2" t="s">
        <v>27</v>
      </c>
      <c r="P1157" s="2" t="s">
        <v>26</v>
      </c>
    </row>
    <row r="1158" spans="1:16" ht="20.100000000000001" customHeight="1" x14ac:dyDescent="0.25">
      <c r="A1158" s="26" t="str">
        <f>CONCATENATE(LEFT(ConsumoConcreto[[#This Row],[RecebimentoID]],4),"CNSC",TEXT(ConsumoConcreto[[#This Row],[Ordem]],"0000"),UPPER(LEFT(ConsumoConcreto[[#This Row],[Destino]],3)))</f>
        <v>0184CNSC1158</v>
      </c>
      <c r="B1158" s="1">
        <v>1158</v>
      </c>
      <c r="C1158" s="2" t="s">
        <v>3220</v>
      </c>
      <c r="G1158" s="36"/>
      <c r="H1158" s="2"/>
      <c r="I115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8" s="37">
        <v>36892</v>
      </c>
      <c r="M1158" s="2"/>
      <c r="N1158" s="2"/>
      <c r="O1158" s="2" t="s">
        <v>27</v>
      </c>
      <c r="P1158" s="2" t="s">
        <v>26</v>
      </c>
    </row>
    <row r="1159" spans="1:16" ht="20.100000000000001" customHeight="1" x14ac:dyDescent="0.25">
      <c r="A1159" s="26" t="str">
        <f>CONCATENATE(LEFT(ConsumoConcreto[[#This Row],[RecebimentoID]],4),"CNSC",TEXT(ConsumoConcreto[[#This Row],[Ordem]],"0000"),UPPER(LEFT(ConsumoConcreto[[#This Row],[Destino]],3)))</f>
        <v>0184CNSC1159</v>
      </c>
      <c r="B1159" s="1">
        <v>1159</v>
      </c>
      <c r="C1159" s="2" t="s">
        <v>3221</v>
      </c>
      <c r="G1159" s="36"/>
      <c r="H1159" s="2"/>
      <c r="I115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59" s="37">
        <v>36892</v>
      </c>
      <c r="M1159" s="2"/>
      <c r="N1159" s="2"/>
      <c r="O1159" s="2" t="s">
        <v>27</v>
      </c>
      <c r="P1159" s="2" t="s">
        <v>26</v>
      </c>
    </row>
    <row r="1160" spans="1:16" ht="20.100000000000001" customHeight="1" x14ac:dyDescent="0.25">
      <c r="A1160" s="26" t="str">
        <f>CONCATENATE(LEFT(ConsumoConcreto[[#This Row],[RecebimentoID]],4),"CNSC",TEXT(ConsumoConcreto[[#This Row],[Ordem]],"0000"),UPPER(LEFT(ConsumoConcreto[[#This Row],[Destino]],3)))</f>
        <v>0184CNSC1160</v>
      </c>
      <c r="B1160" s="1">
        <v>1160</v>
      </c>
      <c r="C1160" s="2" t="s">
        <v>3222</v>
      </c>
      <c r="G1160" s="36"/>
      <c r="H1160" s="2"/>
      <c r="I116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0" s="37">
        <v>36892</v>
      </c>
      <c r="M1160" s="2"/>
      <c r="N1160" s="2"/>
      <c r="O1160" s="2" t="s">
        <v>27</v>
      </c>
      <c r="P1160" s="2" t="s">
        <v>26</v>
      </c>
    </row>
    <row r="1161" spans="1:16" ht="20.100000000000001" customHeight="1" x14ac:dyDescent="0.25">
      <c r="A1161" s="26" t="str">
        <f>CONCATENATE(LEFT(ConsumoConcreto[[#This Row],[RecebimentoID]],4),"CNSC",TEXT(ConsumoConcreto[[#This Row],[Ordem]],"0000"),UPPER(LEFT(ConsumoConcreto[[#This Row],[Destino]],3)))</f>
        <v>0184CNSC1161</v>
      </c>
      <c r="B1161" s="1">
        <v>1161</v>
      </c>
      <c r="C1161" s="2" t="s">
        <v>3223</v>
      </c>
      <c r="G1161" s="36"/>
      <c r="H1161" s="2"/>
      <c r="I116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1" s="37">
        <v>36892</v>
      </c>
      <c r="M1161" s="2"/>
      <c r="N1161" s="2"/>
      <c r="O1161" s="2" t="s">
        <v>27</v>
      </c>
      <c r="P1161" s="2" t="s">
        <v>26</v>
      </c>
    </row>
    <row r="1162" spans="1:16" ht="20.100000000000001" customHeight="1" x14ac:dyDescent="0.25">
      <c r="A1162" s="26" t="str">
        <f>CONCATENATE(LEFT(ConsumoConcreto[[#This Row],[RecebimentoID]],4),"CNSC",TEXT(ConsumoConcreto[[#This Row],[Ordem]],"0000"),UPPER(LEFT(ConsumoConcreto[[#This Row],[Destino]],3)))</f>
        <v>0184CNSC1162</v>
      </c>
      <c r="B1162" s="1">
        <v>1162</v>
      </c>
      <c r="C1162" s="2" t="s">
        <v>3224</v>
      </c>
      <c r="G1162" s="36"/>
      <c r="H1162" s="2"/>
      <c r="I116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2" s="37">
        <v>36892</v>
      </c>
      <c r="M1162" s="2"/>
      <c r="N1162" s="2"/>
      <c r="O1162" s="2" t="s">
        <v>27</v>
      </c>
      <c r="P1162" s="2" t="s">
        <v>26</v>
      </c>
    </row>
    <row r="1163" spans="1:16" ht="20.100000000000001" customHeight="1" x14ac:dyDescent="0.25">
      <c r="A1163" s="26" t="str">
        <f>CONCATENATE(LEFT(ConsumoConcreto[[#This Row],[RecebimentoID]],4),"CNSC",TEXT(ConsumoConcreto[[#This Row],[Ordem]],"0000"),UPPER(LEFT(ConsumoConcreto[[#This Row],[Destino]],3)))</f>
        <v>0184CNSC1163</v>
      </c>
      <c r="B1163" s="1">
        <v>1163</v>
      </c>
      <c r="C1163" s="2" t="s">
        <v>3225</v>
      </c>
      <c r="G1163" s="36"/>
      <c r="H1163" s="2"/>
      <c r="I116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3" s="37">
        <v>36892</v>
      </c>
      <c r="M1163" s="2"/>
      <c r="N1163" s="2"/>
      <c r="O1163" s="2" t="s">
        <v>27</v>
      </c>
      <c r="P1163" s="2" t="s">
        <v>26</v>
      </c>
    </row>
    <row r="1164" spans="1:16" ht="20.100000000000001" customHeight="1" x14ac:dyDescent="0.25">
      <c r="A1164" s="26" t="str">
        <f>CONCATENATE(LEFT(ConsumoConcreto[[#This Row],[RecebimentoID]],4),"CNSC",TEXT(ConsumoConcreto[[#This Row],[Ordem]],"0000"),UPPER(LEFT(ConsumoConcreto[[#This Row],[Destino]],3)))</f>
        <v>0184CNSC1164</v>
      </c>
      <c r="B1164" s="1">
        <v>1164</v>
      </c>
      <c r="C1164" s="2" t="s">
        <v>3226</v>
      </c>
      <c r="G1164" s="36"/>
      <c r="H1164" s="2"/>
      <c r="I116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4" s="37">
        <v>36892</v>
      </c>
      <c r="M1164" s="2"/>
      <c r="N1164" s="2"/>
      <c r="O1164" s="2" t="s">
        <v>27</v>
      </c>
      <c r="P1164" s="2" t="s">
        <v>26</v>
      </c>
    </row>
    <row r="1165" spans="1:16" ht="20.100000000000001" customHeight="1" x14ac:dyDescent="0.25">
      <c r="A1165" s="26" t="str">
        <f>CONCATENATE(LEFT(ConsumoConcreto[[#This Row],[RecebimentoID]],4),"CNSC",TEXT(ConsumoConcreto[[#This Row],[Ordem]],"0000"),UPPER(LEFT(ConsumoConcreto[[#This Row],[Destino]],3)))</f>
        <v>0184CNSC1165</v>
      </c>
      <c r="B1165" s="1">
        <v>1165</v>
      </c>
      <c r="C1165" s="2" t="s">
        <v>3227</v>
      </c>
      <c r="G1165" s="36"/>
      <c r="H1165" s="2"/>
      <c r="I116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5" s="37">
        <v>36892</v>
      </c>
      <c r="M1165" s="2"/>
      <c r="N1165" s="2"/>
      <c r="O1165" s="2" t="s">
        <v>27</v>
      </c>
      <c r="P1165" s="2" t="s">
        <v>26</v>
      </c>
    </row>
    <row r="1166" spans="1:16" ht="20.100000000000001" customHeight="1" x14ac:dyDescent="0.25">
      <c r="A1166" s="26" t="str">
        <f>CONCATENATE(LEFT(ConsumoConcreto[[#This Row],[RecebimentoID]],4),"CNSC",TEXT(ConsumoConcreto[[#This Row],[Ordem]],"0000"),UPPER(LEFT(ConsumoConcreto[[#This Row],[Destino]],3)))</f>
        <v>0184CNSC1166</v>
      </c>
      <c r="B1166" s="1">
        <v>1166</v>
      </c>
      <c r="C1166" s="2" t="s">
        <v>3228</v>
      </c>
      <c r="G1166" s="36"/>
      <c r="H1166" s="2"/>
      <c r="I116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6" s="37">
        <v>36892</v>
      </c>
      <c r="M1166" s="2"/>
      <c r="N1166" s="2"/>
      <c r="O1166" s="2" t="s">
        <v>27</v>
      </c>
      <c r="P1166" s="2" t="s">
        <v>26</v>
      </c>
    </row>
    <row r="1167" spans="1:16" ht="20.100000000000001" customHeight="1" x14ac:dyDescent="0.25">
      <c r="A1167" s="26" t="str">
        <f>CONCATENATE(LEFT(ConsumoConcreto[[#This Row],[RecebimentoID]],4),"CNSC",TEXT(ConsumoConcreto[[#This Row],[Ordem]],"0000"),UPPER(LEFT(ConsumoConcreto[[#This Row],[Destino]],3)))</f>
        <v>0184CNSC1167</v>
      </c>
      <c r="B1167" s="1">
        <v>1167</v>
      </c>
      <c r="C1167" s="2" t="s">
        <v>3229</v>
      </c>
      <c r="G1167" s="36"/>
      <c r="H1167" s="2"/>
      <c r="I116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7" s="37">
        <v>36892</v>
      </c>
      <c r="M1167" s="2"/>
      <c r="N1167" s="2"/>
      <c r="O1167" s="2" t="s">
        <v>27</v>
      </c>
      <c r="P1167" s="2" t="s">
        <v>26</v>
      </c>
    </row>
    <row r="1168" spans="1:16" ht="20.100000000000001" customHeight="1" x14ac:dyDescent="0.25">
      <c r="A1168" s="26" t="str">
        <f>CONCATENATE(LEFT(ConsumoConcreto[[#This Row],[RecebimentoID]],4),"CNSC",TEXT(ConsumoConcreto[[#This Row],[Ordem]],"0000"),UPPER(LEFT(ConsumoConcreto[[#This Row],[Destino]],3)))</f>
        <v>0184CNSC1168</v>
      </c>
      <c r="B1168" s="1">
        <v>1168</v>
      </c>
      <c r="C1168" s="2" t="s">
        <v>3230</v>
      </c>
      <c r="G1168" s="36"/>
      <c r="H1168" s="2"/>
      <c r="I116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8" s="37">
        <v>36892</v>
      </c>
      <c r="M1168" s="2"/>
      <c r="N1168" s="2"/>
      <c r="O1168" s="2" t="s">
        <v>27</v>
      </c>
      <c r="P1168" s="2" t="s">
        <v>26</v>
      </c>
    </row>
    <row r="1169" spans="1:16" ht="20.100000000000001" customHeight="1" x14ac:dyDescent="0.25">
      <c r="A1169" s="26" t="str">
        <f>CONCATENATE(LEFT(ConsumoConcreto[[#This Row],[RecebimentoID]],4),"CNSC",TEXT(ConsumoConcreto[[#This Row],[Ordem]],"0000"),UPPER(LEFT(ConsumoConcreto[[#This Row],[Destino]],3)))</f>
        <v>0184CNSC1169</v>
      </c>
      <c r="B1169" s="1">
        <v>1169</v>
      </c>
      <c r="C1169" s="2" t="s">
        <v>3231</v>
      </c>
      <c r="G1169" s="36"/>
      <c r="H1169" s="2"/>
      <c r="I116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69" s="37">
        <v>36892</v>
      </c>
      <c r="M1169" s="2"/>
      <c r="N1169" s="2"/>
      <c r="O1169" s="2" t="s">
        <v>27</v>
      </c>
      <c r="P1169" s="2" t="s">
        <v>26</v>
      </c>
    </row>
    <row r="1170" spans="1:16" ht="20.100000000000001" customHeight="1" x14ac:dyDescent="0.25">
      <c r="A1170" s="26" t="str">
        <f>CONCATENATE(LEFT(ConsumoConcreto[[#This Row],[RecebimentoID]],4),"CNSC",TEXT(ConsumoConcreto[[#This Row],[Ordem]],"0000"),UPPER(LEFT(ConsumoConcreto[[#This Row],[Destino]],3)))</f>
        <v>0184CNSC1170</v>
      </c>
      <c r="B1170" s="1">
        <v>1170</v>
      </c>
      <c r="C1170" s="2" t="s">
        <v>3232</v>
      </c>
      <c r="G1170" s="36"/>
      <c r="H1170" s="2"/>
      <c r="I117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0" s="37">
        <v>36892</v>
      </c>
      <c r="M1170" s="2"/>
      <c r="N1170" s="2"/>
      <c r="O1170" s="2" t="s">
        <v>27</v>
      </c>
      <c r="P1170" s="2" t="s">
        <v>26</v>
      </c>
    </row>
    <row r="1171" spans="1:16" ht="20.100000000000001" customHeight="1" x14ac:dyDescent="0.25">
      <c r="A1171" s="26" t="str">
        <f>CONCATENATE(LEFT(ConsumoConcreto[[#This Row],[RecebimentoID]],4),"CNSC",TEXT(ConsumoConcreto[[#This Row],[Ordem]],"0000"),UPPER(LEFT(ConsumoConcreto[[#This Row],[Destino]],3)))</f>
        <v>0184CNSC1171</v>
      </c>
      <c r="B1171" s="1">
        <v>1171</v>
      </c>
      <c r="C1171" s="2" t="s">
        <v>3233</v>
      </c>
      <c r="G1171" s="36"/>
      <c r="H1171" s="2"/>
      <c r="I117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1" s="37">
        <v>36892</v>
      </c>
      <c r="M1171" s="2"/>
      <c r="N1171" s="2"/>
      <c r="O1171" s="2" t="s">
        <v>27</v>
      </c>
      <c r="P1171" s="2" t="s">
        <v>26</v>
      </c>
    </row>
    <row r="1172" spans="1:16" ht="20.100000000000001" customHeight="1" x14ac:dyDescent="0.25">
      <c r="A1172" s="26" t="str">
        <f>CONCATENATE(LEFT(ConsumoConcreto[[#This Row],[RecebimentoID]],4),"CNSC",TEXT(ConsumoConcreto[[#This Row],[Ordem]],"0000"),UPPER(LEFT(ConsumoConcreto[[#This Row],[Destino]],3)))</f>
        <v>0184CNSC1172</v>
      </c>
      <c r="B1172" s="1">
        <v>1172</v>
      </c>
      <c r="C1172" s="2" t="s">
        <v>3234</v>
      </c>
      <c r="G1172" s="36"/>
      <c r="H1172" s="2"/>
      <c r="I117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2" s="37">
        <v>36892</v>
      </c>
      <c r="M1172" s="2"/>
      <c r="N1172" s="2"/>
      <c r="O1172" s="2" t="s">
        <v>27</v>
      </c>
      <c r="P1172" s="2" t="s">
        <v>26</v>
      </c>
    </row>
    <row r="1173" spans="1:16" ht="20.100000000000001" customHeight="1" x14ac:dyDescent="0.25">
      <c r="A1173" s="26" t="str">
        <f>CONCATENATE(LEFT(ConsumoConcreto[[#This Row],[RecebimentoID]],4),"CNSC",TEXT(ConsumoConcreto[[#This Row],[Ordem]],"0000"),UPPER(LEFT(ConsumoConcreto[[#This Row],[Destino]],3)))</f>
        <v>0184CNSC1173</v>
      </c>
      <c r="B1173" s="1">
        <v>1173</v>
      </c>
      <c r="C1173" s="2" t="s">
        <v>3235</v>
      </c>
      <c r="G1173" s="36"/>
      <c r="H1173" s="2"/>
      <c r="I117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3" s="37">
        <v>36892</v>
      </c>
      <c r="M1173" s="2"/>
      <c r="N1173" s="2"/>
      <c r="O1173" s="2" t="s">
        <v>27</v>
      </c>
      <c r="P1173" s="2" t="s">
        <v>26</v>
      </c>
    </row>
    <row r="1174" spans="1:16" ht="20.100000000000001" customHeight="1" x14ac:dyDescent="0.25">
      <c r="A1174" s="26" t="str">
        <f>CONCATENATE(LEFT(ConsumoConcreto[[#This Row],[RecebimentoID]],4),"CNSC",TEXT(ConsumoConcreto[[#This Row],[Ordem]],"0000"),UPPER(LEFT(ConsumoConcreto[[#This Row],[Destino]],3)))</f>
        <v>0184CNSC1174</v>
      </c>
      <c r="B1174" s="1">
        <v>1174</v>
      </c>
      <c r="C1174" s="2" t="s">
        <v>3236</v>
      </c>
      <c r="G1174" s="36"/>
      <c r="H1174" s="2"/>
      <c r="I117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4" s="37">
        <v>36892</v>
      </c>
      <c r="M1174" s="2"/>
      <c r="N1174" s="2"/>
      <c r="O1174" s="2" t="s">
        <v>27</v>
      </c>
      <c r="P1174" s="2" t="s">
        <v>26</v>
      </c>
    </row>
    <row r="1175" spans="1:16" ht="20.100000000000001" customHeight="1" x14ac:dyDescent="0.25">
      <c r="A1175" s="26" t="str">
        <f>CONCATENATE(LEFT(ConsumoConcreto[[#This Row],[RecebimentoID]],4),"CNSC",TEXT(ConsumoConcreto[[#This Row],[Ordem]],"0000"),UPPER(LEFT(ConsumoConcreto[[#This Row],[Destino]],3)))</f>
        <v>0184CNSC1175</v>
      </c>
      <c r="B1175" s="1">
        <v>1175</v>
      </c>
      <c r="C1175" s="2" t="s">
        <v>3237</v>
      </c>
      <c r="G1175" s="36"/>
      <c r="H1175" s="2"/>
      <c r="I117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5" s="37">
        <v>36892</v>
      </c>
      <c r="M1175" s="2"/>
      <c r="N1175" s="2"/>
      <c r="O1175" s="2" t="s">
        <v>27</v>
      </c>
      <c r="P1175" s="2" t="s">
        <v>26</v>
      </c>
    </row>
    <row r="1176" spans="1:16" ht="20.100000000000001" customHeight="1" x14ac:dyDescent="0.25">
      <c r="A1176" s="26" t="str">
        <f>CONCATENATE(LEFT(ConsumoConcreto[[#This Row],[RecebimentoID]],4),"CNSC",TEXT(ConsumoConcreto[[#This Row],[Ordem]],"0000"),UPPER(LEFT(ConsumoConcreto[[#This Row],[Destino]],3)))</f>
        <v>0184CNSC1176</v>
      </c>
      <c r="B1176" s="1">
        <v>1176</v>
      </c>
      <c r="C1176" s="2" t="s">
        <v>3238</v>
      </c>
      <c r="G1176" s="36"/>
      <c r="H1176" s="2"/>
      <c r="I117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6" s="37">
        <v>36892</v>
      </c>
      <c r="M1176" s="2"/>
      <c r="N1176" s="2"/>
      <c r="O1176" s="2" t="s">
        <v>27</v>
      </c>
      <c r="P1176" s="2" t="s">
        <v>26</v>
      </c>
    </row>
    <row r="1177" spans="1:16" ht="20.100000000000001" customHeight="1" x14ac:dyDescent="0.25">
      <c r="A1177" s="26" t="str">
        <f>CONCATENATE(LEFT(ConsumoConcreto[[#This Row],[RecebimentoID]],4),"CNSC",TEXT(ConsumoConcreto[[#This Row],[Ordem]],"0000"),UPPER(LEFT(ConsumoConcreto[[#This Row],[Destino]],3)))</f>
        <v>0184CNSC1177</v>
      </c>
      <c r="B1177" s="1">
        <v>1177</v>
      </c>
      <c r="C1177" s="2" t="s">
        <v>3239</v>
      </c>
      <c r="G1177" s="36"/>
      <c r="H1177" s="2"/>
      <c r="I117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7" s="37">
        <v>36892</v>
      </c>
      <c r="M1177" s="2"/>
      <c r="N1177" s="2"/>
      <c r="O1177" s="2" t="s">
        <v>27</v>
      </c>
      <c r="P1177" s="2" t="s">
        <v>26</v>
      </c>
    </row>
    <row r="1178" spans="1:16" ht="20.100000000000001" customHeight="1" x14ac:dyDescent="0.25">
      <c r="A1178" s="26" t="str">
        <f>CONCATENATE(LEFT(ConsumoConcreto[[#This Row],[RecebimentoID]],4),"CNSC",TEXT(ConsumoConcreto[[#This Row],[Ordem]],"0000"),UPPER(LEFT(ConsumoConcreto[[#This Row],[Destino]],3)))</f>
        <v>0184CNSC1178</v>
      </c>
      <c r="B1178" s="1">
        <v>1178</v>
      </c>
      <c r="C1178" s="2" t="s">
        <v>3240</v>
      </c>
      <c r="G1178" s="36"/>
      <c r="H1178" s="2"/>
      <c r="I117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8" s="37">
        <v>36892</v>
      </c>
      <c r="M1178" s="2"/>
      <c r="N1178" s="2"/>
      <c r="O1178" s="2" t="s">
        <v>27</v>
      </c>
      <c r="P1178" s="2" t="s">
        <v>26</v>
      </c>
    </row>
    <row r="1179" spans="1:16" ht="20.100000000000001" customHeight="1" x14ac:dyDescent="0.25">
      <c r="A1179" s="26" t="str">
        <f>CONCATENATE(LEFT(ConsumoConcreto[[#This Row],[RecebimentoID]],4),"CNSC",TEXT(ConsumoConcreto[[#This Row],[Ordem]],"0000"),UPPER(LEFT(ConsumoConcreto[[#This Row],[Destino]],3)))</f>
        <v>0184CNSC1179</v>
      </c>
      <c r="B1179" s="1">
        <v>1179</v>
      </c>
      <c r="C1179" s="2" t="s">
        <v>3241</v>
      </c>
      <c r="G1179" s="36"/>
      <c r="H1179" s="2"/>
      <c r="I117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79" s="37">
        <v>36892</v>
      </c>
      <c r="M1179" s="2"/>
      <c r="N1179" s="2"/>
      <c r="O1179" s="2" t="s">
        <v>27</v>
      </c>
      <c r="P1179" s="2" t="s">
        <v>26</v>
      </c>
    </row>
    <row r="1180" spans="1:16" ht="20.100000000000001" customHeight="1" x14ac:dyDescent="0.25">
      <c r="A1180" s="26" t="str">
        <f>CONCATENATE(LEFT(ConsumoConcreto[[#This Row],[RecebimentoID]],4),"CNSC",TEXT(ConsumoConcreto[[#This Row],[Ordem]],"0000"),UPPER(LEFT(ConsumoConcreto[[#This Row],[Destino]],3)))</f>
        <v>0184CNSC1180</v>
      </c>
      <c r="B1180" s="1">
        <v>1180</v>
      </c>
      <c r="C1180" s="2" t="s">
        <v>3242</v>
      </c>
      <c r="G1180" s="36"/>
      <c r="H1180" s="2"/>
      <c r="I118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0" s="37">
        <v>36892</v>
      </c>
      <c r="M1180" s="2"/>
      <c r="N1180" s="2"/>
      <c r="O1180" s="2" t="s">
        <v>27</v>
      </c>
      <c r="P1180" s="2" t="s">
        <v>26</v>
      </c>
    </row>
    <row r="1181" spans="1:16" ht="20.100000000000001" customHeight="1" x14ac:dyDescent="0.25">
      <c r="A1181" s="26" t="str">
        <f>CONCATENATE(LEFT(ConsumoConcreto[[#This Row],[RecebimentoID]],4),"CNSC",TEXT(ConsumoConcreto[[#This Row],[Ordem]],"0000"),UPPER(LEFT(ConsumoConcreto[[#This Row],[Destino]],3)))</f>
        <v>0184CNSC1181</v>
      </c>
      <c r="B1181" s="1">
        <v>1181</v>
      </c>
      <c r="C1181" s="2" t="s">
        <v>3243</v>
      </c>
      <c r="G1181" s="36"/>
      <c r="H1181" s="2"/>
      <c r="I118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1" s="37">
        <v>36892</v>
      </c>
      <c r="M1181" s="2"/>
      <c r="N1181" s="2"/>
      <c r="O1181" s="2" t="s">
        <v>27</v>
      </c>
      <c r="P1181" s="2" t="s">
        <v>26</v>
      </c>
    </row>
    <row r="1182" spans="1:16" ht="20.100000000000001" customHeight="1" x14ac:dyDescent="0.25">
      <c r="A1182" s="26" t="str">
        <f>CONCATENATE(LEFT(ConsumoConcreto[[#This Row],[RecebimentoID]],4),"CNSC",TEXT(ConsumoConcreto[[#This Row],[Ordem]],"0000"),UPPER(LEFT(ConsumoConcreto[[#This Row],[Destino]],3)))</f>
        <v>0184CNSC1182</v>
      </c>
      <c r="B1182" s="1">
        <v>1182</v>
      </c>
      <c r="C1182" s="2" t="s">
        <v>3244</v>
      </c>
      <c r="G1182" s="36"/>
      <c r="H1182" s="2"/>
      <c r="I118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2" s="37">
        <v>36892</v>
      </c>
      <c r="M1182" s="2"/>
      <c r="N1182" s="2"/>
      <c r="O1182" s="2" t="s">
        <v>27</v>
      </c>
      <c r="P1182" s="2" t="s">
        <v>26</v>
      </c>
    </row>
    <row r="1183" spans="1:16" ht="20.100000000000001" customHeight="1" x14ac:dyDescent="0.25">
      <c r="A1183" s="26" t="str">
        <f>CONCATENATE(LEFT(ConsumoConcreto[[#This Row],[RecebimentoID]],4),"CNSC",TEXT(ConsumoConcreto[[#This Row],[Ordem]],"0000"),UPPER(LEFT(ConsumoConcreto[[#This Row],[Destino]],3)))</f>
        <v>0184CNSC1183</v>
      </c>
      <c r="B1183" s="1">
        <v>1183</v>
      </c>
      <c r="C1183" s="2" t="s">
        <v>3245</v>
      </c>
      <c r="G1183" s="36"/>
      <c r="H1183" s="2"/>
      <c r="I118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3" s="37">
        <v>36892</v>
      </c>
      <c r="M1183" s="2"/>
      <c r="N1183" s="2"/>
      <c r="O1183" s="2" t="s">
        <v>27</v>
      </c>
      <c r="P1183" s="2" t="s">
        <v>26</v>
      </c>
    </row>
    <row r="1184" spans="1:16" ht="20.100000000000001" customHeight="1" x14ac:dyDescent="0.25">
      <c r="A1184" s="26" t="str">
        <f>CONCATENATE(LEFT(ConsumoConcreto[[#This Row],[RecebimentoID]],4),"CNSC",TEXT(ConsumoConcreto[[#This Row],[Ordem]],"0000"),UPPER(LEFT(ConsumoConcreto[[#This Row],[Destino]],3)))</f>
        <v>0184CNSC1184</v>
      </c>
      <c r="B1184" s="1">
        <v>1184</v>
      </c>
      <c r="C1184" s="2" t="s">
        <v>3246</v>
      </c>
      <c r="G1184" s="36"/>
      <c r="H1184" s="2"/>
      <c r="I118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4" s="37">
        <v>36892</v>
      </c>
      <c r="M1184" s="2"/>
      <c r="N1184" s="2"/>
      <c r="O1184" s="2" t="s">
        <v>27</v>
      </c>
      <c r="P1184" s="2" t="s">
        <v>26</v>
      </c>
    </row>
    <row r="1185" spans="1:16" ht="20.100000000000001" customHeight="1" x14ac:dyDescent="0.25">
      <c r="A1185" s="26" t="str">
        <f>CONCATENATE(LEFT(ConsumoConcreto[[#This Row],[RecebimentoID]],4),"CNSC",TEXT(ConsumoConcreto[[#This Row],[Ordem]],"0000"),UPPER(LEFT(ConsumoConcreto[[#This Row],[Destino]],3)))</f>
        <v>0184CNSC1185</v>
      </c>
      <c r="B1185" s="1">
        <v>1185</v>
      </c>
      <c r="C1185" s="2" t="s">
        <v>3247</v>
      </c>
      <c r="G1185" s="36"/>
      <c r="H1185" s="2"/>
      <c r="I118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5" s="37">
        <v>36892</v>
      </c>
      <c r="M1185" s="2"/>
      <c r="N1185" s="2"/>
      <c r="O1185" s="2" t="s">
        <v>27</v>
      </c>
      <c r="P1185" s="2" t="s">
        <v>26</v>
      </c>
    </row>
    <row r="1186" spans="1:16" ht="20.100000000000001" customHeight="1" x14ac:dyDescent="0.25">
      <c r="A1186" s="26" t="str">
        <f>CONCATENATE(LEFT(ConsumoConcreto[[#This Row],[RecebimentoID]],4),"CNSC",TEXT(ConsumoConcreto[[#This Row],[Ordem]],"0000"),UPPER(LEFT(ConsumoConcreto[[#This Row],[Destino]],3)))</f>
        <v>0184CNSC1186</v>
      </c>
      <c r="B1186" s="1">
        <v>1186</v>
      </c>
      <c r="C1186" s="2" t="s">
        <v>3248</v>
      </c>
      <c r="G1186" s="36"/>
      <c r="H1186" s="2"/>
      <c r="I118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6" s="37">
        <v>36892</v>
      </c>
      <c r="M1186" s="2"/>
      <c r="N1186" s="2"/>
      <c r="O1186" s="2" t="s">
        <v>27</v>
      </c>
      <c r="P1186" s="2" t="s">
        <v>26</v>
      </c>
    </row>
    <row r="1187" spans="1:16" ht="20.100000000000001" customHeight="1" x14ac:dyDescent="0.25">
      <c r="A1187" s="26" t="str">
        <f>CONCATENATE(LEFT(ConsumoConcreto[[#This Row],[RecebimentoID]],4),"CNSC",TEXT(ConsumoConcreto[[#This Row],[Ordem]],"0000"),UPPER(LEFT(ConsumoConcreto[[#This Row],[Destino]],3)))</f>
        <v>0184CNSC1187</v>
      </c>
      <c r="B1187" s="1">
        <v>1187</v>
      </c>
      <c r="C1187" s="2" t="s">
        <v>3249</v>
      </c>
      <c r="G1187" s="36"/>
      <c r="H1187" s="2"/>
      <c r="I118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7" s="37">
        <v>36892</v>
      </c>
      <c r="M1187" s="2"/>
      <c r="N1187" s="2"/>
      <c r="O1187" s="2" t="s">
        <v>27</v>
      </c>
      <c r="P1187" s="2" t="s">
        <v>26</v>
      </c>
    </row>
    <row r="1188" spans="1:16" ht="20.100000000000001" customHeight="1" x14ac:dyDescent="0.25">
      <c r="A1188" s="26" t="str">
        <f>CONCATENATE(LEFT(ConsumoConcreto[[#This Row],[RecebimentoID]],4),"CNSC",TEXT(ConsumoConcreto[[#This Row],[Ordem]],"0000"),UPPER(LEFT(ConsumoConcreto[[#This Row],[Destino]],3)))</f>
        <v>0184CNSC1188</v>
      </c>
      <c r="B1188" s="1">
        <v>1188</v>
      </c>
      <c r="C1188" s="2" t="s">
        <v>3250</v>
      </c>
      <c r="G1188" s="36"/>
      <c r="H1188" s="2"/>
      <c r="I118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8" s="37">
        <v>36892</v>
      </c>
      <c r="M1188" s="2"/>
      <c r="N1188" s="2"/>
      <c r="O1188" s="2" t="s">
        <v>27</v>
      </c>
      <c r="P1188" s="2" t="s">
        <v>26</v>
      </c>
    </row>
    <row r="1189" spans="1:16" ht="20.100000000000001" customHeight="1" x14ac:dyDescent="0.25">
      <c r="A1189" s="26" t="str">
        <f>CONCATENATE(LEFT(ConsumoConcreto[[#This Row],[RecebimentoID]],4),"CNSC",TEXT(ConsumoConcreto[[#This Row],[Ordem]],"0000"),UPPER(LEFT(ConsumoConcreto[[#This Row],[Destino]],3)))</f>
        <v>0184CNSC1189</v>
      </c>
      <c r="B1189" s="1">
        <v>1189</v>
      </c>
      <c r="C1189" s="2" t="s">
        <v>3251</v>
      </c>
      <c r="G1189" s="36"/>
      <c r="H1189" s="2"/>
      <c r="I118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89" s="37">
        <v>36892</v>
      </c>
      <c r="M1189" s="2"/>
      <c r="N1189" s="2"/>
      <c r="O1189" s="2" t="s">
        <v>27</v>
      </c>
      <c r="P1189" s="2" t="s">
        <v>26</v>
      </c>
    </row>
    <row r="1190" spans="1:16" ht="20.100000000000001" customHeight="1" x14ac:dyDescent="0.25">
      <c r="A1190" s="26" t="str">
        <f>CONCATENATE(LEFT(ConsumoConcreto[[#This Row],[RecebimentoID]],4),"CNSC",TEXT(ConsumoConcreto[[#This Row],[Ordem]],"0000"),UPPER(LEFT(ConsumoConcreto[[#This Row],[Destino]],3)))</f>
        <v>0184CNSC1190</v>
      </c>
      <c r="B1190" s="1">
        <v>1190</v>
      </c>
      <c r="C1190" s="2" t="s">
        <v>3252</v>
      </c>
      <c r="G1190" s="36"/>
      <c r="H1190" s="2"/>
      <c r="I119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0" s="37">
        <v>36892</v>
      </c>
      <c r="M1190" s="2"/>
      <c r="N1190" s="2"/>
      <c r="O1190" s="2" t="s">
        <v>27</v>
      </c>
      <c r="P1190" s="2" t="s">
        <v>26</v>
      </c>
    </row>
    <row r="1191" spans="1:16" ht="20.100000000000001" customHeight="1" x14ac:dyDescent="0.25">
      <c r="A1191" s="26" t="str">
        <f>CONCATENATE(LEFT(ConsumoConcreto[[#This Row],[RecebimentoID]],4),"CNSC",TEXT(ConsumoConcreto[[#This Row],[Ordem]],"0000"),UPPER(LEFT(ConsumoConcreto[[#This Row],[Destino]],3)))</f>
        <v>0184CNSC1191</v>
      </c>
      <c r="B1191" s="1">
        <v>1191</v>
      </c>
      <c r="C1191" s="2" t="s">
        <v>3253</v>
      </c>
      <c r="G1191" s="36"/>
      <c r="H1191" s="2"/>
      <c r="I119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1" s="37">
        <v>36892</v>
      </c>
      <c r="M1191" s="2"/>
      <c r="N1191" s="2"/>
      <c r="O1191" s="2" t="s">
        <v>27</v>
      </c>
      <c r="P1191" s="2" t="s">
        <v>26</v>
      </c>
    </row>
    <row r="1192" spans="1:16" ht="20.100000000000001" customHeight="1" x14ac:dyDescent="0.25">
      <c r="A1192" s="26" t="str">
        <f>CONCATENATE(LEFT(ConsumoConcreto[[#This Row],[RecebimentoID]],4),"CNSC",TEXT(ConsumoConcreto[[#This Row],[Ordem]],"0000"),UPPER(LEFT(ConsumoConcreto[[#This Row],[Destino]],3)))</f>
        <v>0184CNSC1192</v>
      </c>
      <c r="B1192" s="1">
        <v>1192</v>
      </c>
      <c r="C1192" s="2" t="s">
        <v>3254</v>
      </c>
      <c r="G1192" s="36"/>
      <c r="H1192" s="2"/>
      <c r="I119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2" s="37">
        <v>36892</v>
      </c>
      <c r="M1192" s="2"/>
      <c r="N1192" s="2"/>
      <c r="O1192" s="2" t="s">
        <v>27</v>
      </c>
      <c r="P1192" s="2" t="s">
        <v>26</v>
      </c>
    </row>
    <row r="1193" spans="1:16" ht="20.100000000000001" customHeight="1" x14ac:dyDescent="0.25">
      <c r="A1193" s="26" t="str">
        <f>CONCATENATE(LEFT(ConsumoConcreto[[#This Row],[RecebimentoID]],4),"CNSC",TEXT(ConsumoConcreto[[#This Row],[Ordem]],"0000"),UPPER(LEFT(ConsumoConcreto[[#This Row],[Destino]],3)))</f>
        <v>0184CNSC1193</v>
      </c>
      <c r="B1193" s="1">
        <v>1193</v>
      </c>
      <c r="C1193" s="2" t="s">
        <v>3255</v>
      </c>
      <c r="G1193" s="36"/>
      <c r="H1193" s="2"/>
      <c r="I119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3" s="37">
        <v>36892</v>
      </c>
      <c r="M1193" s="2"/>
      <c r="N1193" s="2"/>
      <c r="O1193" s="2" t="s">
        <v>27</v>
      </c>
      <c r="P1193" s="2" t="s">
        <v>26</v>
      </c>
    </row>
    <row r="1194" spans="1:16" ht="20.100000000000001" customHeight="1" x14ac:dyDescent="0.25">
      <c r="A1194" s="26" t="str">
        <f>CONCATENATE(LEFT(ConsumoConcreto[[#This Row],[RecebimentoID]],4),"CNSC",TEXT(ConsumoConcreto[[#This Row],[Ordem]],"0000"),UPPER(LEFT(ConsumoConcreto[[#This Row],[Destino]],3)))</f>
        <v>0184CNSC1194</v>
      </c>
      <c r="B1194" s="1">
        <v>1194</v>
      </c>
      <c r="C1194" s="2" t="s">
        <v>3256</v>
      </c>
      <c r="G1194" s="36"/>
      <c r="H1194" s="2"/>
      <c r="I119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4" s="37">
        <v>36892</v>
      </c>
      <c r="M1194" s="2"/>
      <c r="N1194" s="2"/>
      <c r="O1194" s="2" t="s">
        <v>27</v>
      </c>
      <c r="P1194" s="2" t="s">
        <v>26</v>
      </c>
    </row>
    <row r="1195" spans="1:16" ht="20.100000000000001" customHeight="1" x14ac:dyDescent="0.25">
      <c r="A1195" s="26" t="str">
        <f>CONCATENATE(LEFT(ConsumoConcreto[[#This Row],[RecebimentoID]],4),"CNSC",TEXT(ConsumoConcreto[[#This Row],[Ordem]],"0000"),UPPER(LEFT(ConsumoConcreto[[#This Row],[Destino]],3)))</f>
        <v>0184CNSC1195</v>
      </c>
      <c r="B1195" s="1">
        <v>1195</v>
      </c>
      <c r="C1195" s="2" t="s">
        <v>3257</v>
      </c>
      <c r="G1195" s="36"/>
      <c r="H1195" s="2"/>
      <c r="I1195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5" s="37">
        <v>36892</v>
      </c>
      <c r="M1195" s="2"/>
      <c r="N1195" s="2"/>
      <c r="O1195" s="2" t="s">
        <v>27</v>
      </c>
      <c r="P1195" s="2" t="s">
        <v>26</v>
      </c>
    </row>
    <row r="1196" spans="1:16" ht="20.100000000000001" customHeight="1" x14ac:dyDescent="0.25">
      <c r="A1196" s="26" t="str">
        <f>CONCATENATE(LEFT(ConsumoConcreto[[#This Row],[RecebimentoID]],4),"CNSC",TEXT(ConsumoConcreto[[#This Row],[Ordem]],"0000"),UPPER(LEFT(ConsumoConcreto[[#This Row],[Destino]],3)))</f>
        <v>0184CNSC1196</v>
      </c>
      <c r="B1196" s="1">
        <v>1196</v>
      </c>
      <c r="C1196" s="2" t="s">
        <v>3258</v>
      </c>
      <c r="G1196" s="36"/>
      <c r="H1196" s="2"/>
      <c r="I1196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6" s="37">
        <v>36892</v>
      </c>
      <c r="M1196" s="2"/>
      <c r="N1196" s="2"/>
      <c r="O1196" s="2" t="s">
        <v>27</v>
      </c>
      <c r="P1196" s="2" t="s">
        <v>26</v>
      </c>
    </row>
    <row r="1197" spans="1:16" ht="20.100000000000001" customHeight="1" x14ac:dyDescent="0.25">
      <c r="A1197" s="26" t="str">
        <f>CONCATENATE(LEFT(ConsumoConcreto[[#This Row],[RecebimentoID]],4),"CNSC",TEXT(ConsumoConcreto[[#This Row],[Ordem]],"0000"),UPPER(LEFT(ConsumoConcreto[[#This Row],[Destino]],3)))</f>
        <v>0184CNSC1197</v>
      </c>
      <c r="B1197" s="1">
        <v>1197</v>
      </c>
      <c r="C1197" s="2" t="s">
        <v>3259</v>
      </c>
      <c r="G1197" s="36"/>
      <c r="H1197" s="2"/>
      <c r="I1197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7" s="37">
        <v>36892</v>
      </c>
      <c r="M1197" s="2"/>
      <c r="N1197" s="2"/>
      <c r="O1197" s="2" t="s">
        <v>27</v>
      </c>
      <c r="P1197" s="2" t="s">
        <v>26</v>
      </c>
    </row>
    <row r="1198" spans="1:16" ht="20.100000000000001" customHeight="1" x14ac:dyDescent="0.25">
      <c r="A1198" s="26" t="str">
        <f>CONCATENATE(LEFT(ConsumoConcreto[[#This Row],[RecebimentoID]],4),"CNSC",TEXT(ConsumoConcreto[[#This Row],[Ordem]],"0000"),UPPER(LEFT(ConsumoConcreto[[#This Row],[Destino]],3)))</f>
        <v>0184CNSC1198</v>
      </c>
      <c r="B1198" s="1">
        <v>1198</v>
      </c>
      <c r="C1198" s="2" t="s">
        <v>3260</v>
      </c>
      <c r="G1198" s="36"/>
      <c r="H1198" s="2"/>
      <c r="I1198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8" s="37">
        <v>36892</v>
      </c>
      <c r="M1198" s="2"/>
      <c r="N1198" s="2"/>
      <c r="O1198" s="2" t="s">
        <v>27</v>
      </c>
      <c r="P1198" s="2" t="s">
        <v>26</v>
      </c>
    </row>
    <row r="1199" spans="1:16" ht="20.100000000000001" customHeight="1" x14ac:dyDescent="0.25">
      <c r="A1199" s="26" t="str">
        <f>CONCATENATE(LEFT(ConsumoConcreto[[#This Row],[RecebimentoID]],4),"CNSC",TEXT(ConsumoConcreto[[#This Row],[Ordem]],"0000"),UPPER(LEFT(ConsumoConcreto[[#This Row],[Destino]],3)))</f>
        <v>0184CNSC1199</v>
      </c>
      <c r="B1199" s="1">
        <v>1199</v>
      </c>
      <c r="C1199" s="2" t="s">
        <v>3261</v>
      </c>
      <c r="G1199" s="36"/>
      <c r="H1199" s="2"/>
      <c r="I1199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199" s="37">
        <v>36892</v>
      </c>
      <c r="M1199" s="2"/>
      <c r="N1199" s="2"/>
      <c r="O1199" s="2" t="s">
        <v>27</v>
      </c>
      <c r="P1199" s="2" t="s">
        <v>26</v>
      </c>
    </row>
    <row r="1200" spans="1:16" ht="20.100000000000001" customHeight="1" x14ac:dyDescent="0.25">
      <c r="A1200" s="26" t="str">
        <f>CONCATENATE(LEFT(ConsumoConcreto[[#This Row],[RecebimentoID]],4),"CNSC",TEXT(ConsumoConcreto[[#This Row],[Ordem]],"0000"),UPPER(LEFT(ConsumoConcreto[[#This Row],[Destino]],3)))</f>
        <v>0184CNSC1200</v>
      </c>
      <c r="B1200" s="1">
        <v>1200</v>
      </c>
      <c r="C1200" s="2" t="s">
        <v>3262</v>
      </c>
      <c r="G1200" s="36"/>
      <c r="H1200" s="2"/>
      <c r="I1200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200" s="37">
        <v>36892</v>
      </c>
      <c r="M1200" s="2"/>
      <c r="N1200" s="2"/>
      <c r="O1200" s="2" t="s">
        <v>27</v>
      </c>
      <c r="P1200" s="2" t="s">
        <v>26</v>
      </c>
    </row>
    <row r="1201" spans="1:16" ht="20.100000000000001" customHeight="1" x14ac:dyDescent="0.25">
      <c r="A1201" s="26" t="str">
        <f>CONCATENATE(LEFT(ConsumoConcreto[[#This Row],[RecebimentoID]],4),"CNSC",TEXT(ConsumoConcreto[[#This Row],[Ordem]],"0000"),UPPER(LEFT(ConsumoConcreto[[#This Row],[Destino]],3)))</f>
        <v>0184CNSC1201</v>
      </c>
      <c r="B1201" s="1">
        <v>1201</v>
      </c>
      <c r="C1201" s="2" t="s">
        <v>3263</v>
      </c>
      <c r="G1201" s="36"/>
      <c r="H1201" s="2"/>
      <c r="I1201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201" s="37">
        <v>36892</v>
      </c>
      <c r="M1201" s="2"/>
      <c r="N1201" s="2"/>
      <c r="O1201" s="2" t="s">
        <v>27</v>
      </c>
      <c r="P1201" s="2" t="s">
        <v>26</v>
      </c>
    </row>
    <row r="1202" spans="1:16" ht="20.100000000000001" customHeight="1" x14ac:dyDescent="0.25">
      <c r="A1202" s="26" t="str">
        <f>CONCATENATE(LEFT(ConsumoConcreto[[#This Row],[RecebimentoID]],4),"CNSC",TEXT(ConsumoConcreto[[#This Row],[Ordem]],"0000"),UPPER(LEFT(ConsumoConcreto[[#This Row],[Destino]],3)))</f>
        <v>0184CNSC1202</v>
      </c>
      <c r="B1202" s="1">
        <v>1202</v>
      </c>
      <c r="C1202" s="2" t="s">
        <v>3264</v>
      </c>
      <c r="G1202" s="36"/>
      <c r="H1202" s="2"/>
      <c r="I1202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202" s="37">
        <v>36892</v>
      </c>
      <c r="M1202" s="2"/>
      <c r="N1202" s="2"/>
      <c r="O1202" s="2" t="s">
        <v>27</v>
      </c>
      <c r="P1202" s="2" t="s">
        <v>26</v>
      </c>
    </row>
    <row r="1203" spans="1:16" ht="20.100000000000001" customHeight="1" x14ac:dyDescent="0.25">
      <c r="A1203" s="26" t="str">
        <f>CONCATENATE(LEFT(ConsumoConcreto[[#This Row],[RecebimentoID]],4),"CNSC",TEXT(ConsumoConcreto[[#This Row],[Ordem]],"0000"),UPPER(LEFT(ConsumoConcreto[[#This Row],[Destino]],3)))</f>
        <v>0184CNSC1203</v>
      </c>
      <c r="B1203" s="1">
        <v>1203</v>
      </c>
      <c r="C1203" s="2" t="s">
        <v>3265</v>
      </c>
      <c r="G1203" s="36"/>
      <c r="H1203" s="2"/>
      <c r="I1203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203" s="37">
        <v>36892</v>
      </c>
      <c r="M1203" s="2"/>
      <c r="N1203" s="2"/>
      <c r="O1203" s="2" t="s">
        <v>27</v>
      </c>
      <c r="P1203" s="2" t="s">
        <v>26</v>
      </c>
    </row>
    <row r="1204" spans="1:16" ht="20.100000000000001" customHeight="1" x14ac:dyDescent="0.25">
      <c r="A1204" s="26" t="str">
        <f>CONCATENATE(LEFT(ConsumoConcreto[[#This Row],[RecebimentoID]],4),"CNSC",TEXT(ConsumoConcreto[[#This Row],[Ordem]],"0000"),UPPER(LEFT(ConsumoConcreto[[#This Row],[Destino]],3)))</f>
        <v>0184CNSC1204</v>
      </c>
      <c r="B1204" s="1">
        <v>1204</v>
      </c>
      <c r="C1204" s="2" t="s">
        <v>3266</v>
      </c>
      <c r="G1204" s="36"/>
      <c r="H1204" s="2"/>
      <c r="I1204" s="30" t="e">
        <f>IFERROR(VLOOKUP(CONCATENATE(VLOOKUP(
CONCATENATE(ConsumoConcreto[[#This Row],[Bloco ou Quadra]],ConsumoConcreto[[#This Row],[Unidade]]),
validConcreto!$F$1:$I$501,4,FALSE),
ConsumoConcreto[[#This Row],[Destino]]),validConcreto!$K$1:$N$7,4,FALSE),0)/
COUNTIFS(ConsumoConcreto[Bloco ou Quadra],ConsumoConcreto[[#This Row],[Bloco ou Quadra]],ConsumoConcreto[Unidade],ConsumoConcreto[[#This Row],[Unidade]],ConsumoConcreto[Destino],ConsumoConcreto[[#This Row],[Destino]])</f>
        <v>#DIV/0!</v>
      </c>
      <c r="L1204" s="37">
        <v>36892</v>
      </c>
      <c r="M1204" s="2"/>
      <c r="N1204" s="2"/>
      <c r="O1204" s="2" t="s">
        <v>27</v>
      </c>
      <c r="P1204" s="2" t="s">
        <v>26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BEFFF-20E5-4F7C-A2B7-B77A1BF09F29}">
  <sheetPr codeName="Planilha3">
    <tabColor theme="4"/>
  </sheetPr>
  <dimension ref="A1:H7"/>
  <sheetViews>
    <sheetView workbookViewId="0">
      <selection activeCell="B6" sqref="B6"/>
    </sheetView>
  </sheetViews>
  <sheetFormatPr defaultColWidth="15.7109375" defaultRowHeight="20.100000000000001" customHeight="1" x14ac:dyDescent="0.25"/>
  <cols>
    <col min="1" max="1" width="17.7109375" style="1" bestFit="1" customWidth="1"/>
    <col min="2" max="3" width="17.7109375" style="1" customWidth="1"/>
    <col min="4" max="4" width="8.42578125" style="18" bestFit="1" customWidth="1"/>
    <col min="5" max="5" width="19.28515625" style="9" bestFit="1" customWidth="1"/>
    <col min="6" max="6" width="19.28515625" style="9" customWidth="1"/>
    <col min="7" max="16384" width="15.7109375" style="1"/>
  </cols>
  <sheetData>
    <row r="1" spans="1:8" s="3" customFormat="1" ht="20.100000000000001" customHeight="1" x14ac:dyDescent="0.25">
      <c r="A1" s="17" t="s">
        <v>2</v>
      </c>
      <c r="B1" s="28" t="s">
        <v>3267</v>
      </c>
      <c r="C1" s="4" t="s">
        <v>1950</v>
      </c>
      <c r="D1" s="8" t="s">
        <v>3268</v>
      </c>
      <c r="E1" s="8" t="s">
        <v>3269</v>
      </c>
      <c r="F1" s="8" t="s">
        <v>3270</v>
      </c>
      <c r="G1" s="7" t="s">
        <v>13</v>
      </c>
      <c r="H1" s="7" t="s">
        <v>18</v>
      </c>
    </row>
    <row r="2" spans="1:8" ht="20.100000000000001" customHeight="1" x14ac:dyDescent="0.25">
      <c r="A2" s="18">
        <v>0</v>
      </c>
      <c r="B2" s="26" t="str">
        <f>CONCATENATE(LEFT(RecebimentoConcreto5[[#This Row],[ConsumoID]],4),"RSTC",TEXT(RecebimentoConcreto5[[#This Row],[Ordem]],"0000"),RecebimentoConcreto5[[#This Row],[FCK]])</f>
        <v>RSTC0000</v>
      </c>
      <c r="D2" s="5"/>
      <c r="G2" s="5"/>
      <c r="H2" s="5"/>
    </row>
    <row r="3" spans="1:8" ht="20.100000000000001" customHeight="1" x14ac:dyDescent="0.25">
      <c r="A3" s="18">
        <v>1</v>
      </c>
      <c r="B3" s="26" t="str">
        <f>CONCATENATE(LEFT(RecebimentoConcreto5[[#This Row],[ConsumoID]],4),"RSTC",TEXT(RecebimentoConcreto5[[#This Row],[Ordem]],"0000"),RecebimentoConcreto5[[#This Row],[FCK]])</f>
        <v>0184RSTC0001FCK1</v>
      </c>
      <c r="C3" s="1" t="s">
        <v>3319</v>
      </c>
      <c r="D3" s="5" t="s">
        <v>3320</v>
      </c>
      <c r="E3" s="9" t="s">
        <v>3321</v>
      </c>
      <c r="F3" s="9" t="b">
        <v>1</v>
      </c>
      <c r="G3" s="5">
        <v>45099.511157407411</v>
      </c>
      <c r="H3" s="5" t="s">
        <v>27</v>
      </c>
    </row>
    <row r="4" spans="1:8" ht="20.100000000000001" customHeight="1" x14ac:dyDescent="0.25">
      <c r="A4" s="18">
        <v>2</v>
      </c>
      <c r="B4" s="26" t="str">
        <f>CONCATENATE(LEFT(RecebimentoConcreto5[[#This Row],[ConsumoID]],4),"RSTC",TEXT(RecebimentoConcreto5[[#This Row],[Ordem]],"0000"),RecebimentoConcreto5[[#This Row],[FCK]])</f>
        <v>0184RSTC0002FCK1</v>
      </c>
      <c r="C4" s="1" t="s">
        <v>3322</v>
      </c>
      <c r="D4" s="5" t="s">
        <v>3320</v>
      </c>
      <c r="E4" s="9" t="s">
        <v>3323</v>
      </c>
      <c r="F4" s="9" t="b">
        <v>0</v>
      </c>
      <c r="G4" s="5">
        <v>45103.631458333337</v>
      </c>
      <c r="H4" s="5" t="s">
        <v>3317</v>
      </c>
    </row>
    <row r="5" spans="1:8" ht="20.100000000000001" customHeight="1" x14ac:dyDescent="0.25">
      <c r="A5" s="18">
        <v>3</v>
      </c>
      <c r="B5" s="26" t="str">
        <f>CONCATENATE(LEFT(RecebimentoConcreto5[[#This Row],[ConsumoID]],4),"RSTC",TEXT(RecebimentoConcreto5[[#This Row],[Ordem]],"0000"),RecebimentoConcreto5[[#This Row],[FCK]])</f>
        <v>0184RSTC0003FCK3</v>
      </c>
      <c r="C5" s="1" t="s">
        <v>3322</v>
      </c>
      <c r="D5" s="5" t="s">
        <v>3324</v>
      </c>
      <c r="E5" s="9" t="s">
        <v>3325</v>
      </c>
      <c r="F5" s="9" t="b">
        <v>0</v>
      </c>
      <c r="G5" s="5">
        <v>45103.631736111114</v>
      </c>
      <c r="H5" s="5" t="s">
        <v>3317</v>
      </c>
    </row>
    <row r="6" spans="1:8" ht="20.100000000000001" customHeight="1" x14ac:dyDescent="0.25">
      <c r="A6" s="18">
        <v>4</v>
      </c>
      <c r="B6" s="26" t="str">
        <f>CONCATENATE(LEFT(RecebimentoConcreto5[[#This Row],[ConsumoID]],4),"RSTC",TEXT(RecebimentoConcreto5[[#This Row],[Ordem]],"0000"),RecebimentoConcreto5[[#This Row],[FCK]])</f>
        <v>0184RSTC0004FCK7</v>
      </c>
      <c r="C6" s="1" t="s">
        <v>3322</v>
      </c>
      <c r="D6" s="5" t="s">
        <v>3326</v>
      </c>
      <c r="E6" s="9" t="s">
        <v>3327</v>
      </c>
      <c r="F6" s="9" t="b">
        <v>0</v>
      </c>
      <c r="G6" s="5">
        <v>45103.632013888891</v>
      </c>
      <c r="H6" s="5" t="s">
        <v>3317</v>
      </c>
    </row>
    <row r="7" spans="1:8" ht="20.100000000000001" customHeight="1" x14ac:dyDescent="0.25">
      <c r="A7" s="18">
        <v>5</v>
      </c>
      <c r="B7" s="26" t="str">
        <f>CONCATENATE(LEFT(RecebimentoConcreto5[[#This Row],[ConsumoID]],4),"RSTC",TEXT(RecebimentoConcreto5[[#This Row],[Ordem]],"0000"),RecebimentoConcreto5[[#This Row],[FCK]])</f>
        <v>0184RSTC0005FCK28</v>
      </c>
      <c r="C7" s="1" t="s">
        <v>3322</v>
      </c>
      <c r="D7" s="5" t="s">
        <v>3328</v>
      </c>
      <c r="E7" s="9" t="s">
        <v>3329</v>
      </c>
      <c r="F7" s="9" t="b">
        <v>0</v>
      </c>
      <c r="G7" s="5">
        <v>45103.632222222222</v>
      </c>
      <c r="H7" s="5" t="s">
        <v>3317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84256-351D-4227-911E-385334717246}">
  <sheetPr codeName="Planilha5">
    <tabColor theme="4" tint="-0.249977111117893"/>
  </sheetPr>
  <dimension ref="A1:O501"/>
  <sheetViews>
    <sheetView topLeftCell="E1" workbookViewId="0">
      <selection activeCell="B6" sqref="B6"/>
    </sheetView>
  </sheetViews>
  <sheetFormatPr defaultColWidth="15.7109375" defaultRowHeight="20.100000000000001" customHeight="1" x14ac:dyDescent="0.25"/>
  <cols>
    <col min="1" max="1" width="30.85546875" style="11" bestFit="1" customWidth="1"/>
    <col min="2" max="2" width="15.7109375" style="11"/>
    <col min="3" max="3" width="18" style="11" bestFit="1" customWidth="1"/>
    <col min="4" max="4" width="15.7109375" style="11"/>
    <col min="5" max="5" width="15.7109375" style="15"/>
    <col min="6" max="6" width="9.85546875" bestFit="1" customWidth="1"/>
    <col min="7" max="7" width="4.42578125" style="19" bestFit="1" customWidth="1"/>
    <col min="8" max="8" width="6.7109375" style="15" bestFit="1" customWidth="1"/>
    <col min="9" max="9" width="4.28515625" style="15" bestFit="1" customWidth="1"/>
    <col min="10" max="10" width="15.7109375" style="15"/>
    <col min="11" max="11" width="29.85546875" style="11" bestFit="1" customWidth="1"/>
    <col min="12" max="12" width="25" style="11" bestFit="1" customWidth="1"/>
    <col min="13" max="13" width="5.5703125" style="15" bestFit="1" customWidth="1"/>
    <col min="14" max="14" width="11.140625" style="34" bestFit="1" customWidth="1"/>
    <col min="15" max="15" width="12.140625" style="11" bestFit="1" customWidth="1"/>
    <col min="16" max="16384" width="15.7109375" style="11"/>
  </cols>
  <sheetData>
    <row r="1" spans="1:15" s="10" customFormat="1" ht="20.100000000000001" customHeight="1" x14ac:dyDescent="0.25">
      <c r="A1" s="10" t="s">
        <v>14</v>
      </c>
      <c r="C1" s="10" t="s">
        <v>3271</v>
      </c>
      <c r="E1" s="14"/>
      <c r="F1" s="14" t="s">
        <v>3272</v>
      </c>
      <c r="G1" s="10" t="s">
        <v>3273</v>
      </c>
      <c r="H1" s="10" t="s">
        <v>3274</v>
      </c>
      <c r="I1" s="10" t="s">
        <v>3275</v>
      </c>
      <c r="K1" s="10" t="s">
        <v>3276</v>
      </c>
      <c r="L1" s="10" t="s">
        <v>3277</v>
      </c>
      <c r="M1" s="14" t="s">
        <v>3275</v>
      </c>
      <c r="N1" s="33" t="s">
        <v>1954</v>
      </c>
      <c r="O1" s="10" t="s">
        <v>3275</v>
      </c>
    </row>
    <row r="2" spans="1:15" ht="20.100000000000001" customHeight="1" x14ac:dyDescent="0.25">
      <c r="A2" s="11" t="s">
        <v>3278</v>
      </c>
      <c r="C2" s="11" t="s">
        <v>3279</v>
      </c>
      <c r="F2" s="15" t="str">
        <f t="shared" ref="F2:F65" si="0">CONCATENATE(H2,G2)</f>
        <v>A1</v>
      </c>
      <c r="G2" s="11">
        <v>1</v>
      </c>
      <c r="H2" s="11" t="s">
        <v>1961</v>
      </c>
      <c r="I2" s="11">
        <v>1</v>
      </c>
      <c r="K2" s="11" t="str">
        <f t="shared" ref="K2:K21" si="1">CONCATENATE(M2,L2)</f>
        <v>1Parede</v>
      </c>
      <c r="L2" s="11" t="s">
        <v>1965</v>
      </c>
      <c r="M2" s="15">
        <v>1</v>
      </c>
      <c r="N2" s="34">
        <v>13.96</v>
      </c>
      <c r="O2" s="11" t="s">
        <v>26</v>
      </c>
    </row>
    <row r="3" spans="1:15" ht="20.100000000000001" customHeight="1" x14ac:dyDescent="0.25">
      <c r="A3" s="11" t="s">
        <v>3280</v>
      </c>
      <c r="C3" s="11" t="s">
        <v>3281</v>
      </c>
      <c r="F3" s="15" t="str">
        <f t="shared" si="0"/>
        <v>A2</v>
      </c>
      <c r="G3" s="11">
        <v>2</v>
      </c>
      <c r="H3" s="11" t="s">
        <v>1961</v>
      </c>
      <c r="I3" s="11">
        <v>1</v>
      </c>
      <c r="K3" s="11" t="str">
        <f t="shared" si="1"/>
        <v>1Pilar</v>
      </c>
      <c r="L3" s="11" t="s">
        <v>1962</v>
      </c>
      <c r="M3" s="15">
        <v>1</v>
      </c>
      <c r="N3" s="34">
        <v>0.1</v>
      </c>
      <c r="O3" s="11" t="s">
        <v>26</v>
      </c>
    </row>
    <row r="4" spans="1:15" ht="20.100000000000001" customHeight="1" x14ac:dyDescent="0.25">
      <c r="A4" s="11" t="s">
        <v>3282</v>
      </c>
      <c r="C4" s="11" t="s">
        <v>21</v>
      </c>
      <c r="F4" s="15" t="str">
        <f t="shared" si="0"/>
        <v>A3</v>
      </c>
      <c r="G4" s="11">
        <v>3</v>
      </c>
      <c r="H4" s="11" t="s">
        <v>1961</v>
      </c>
      <c r="I4" s="11">
        <v>1</v>
      </c>
      <c r="K4" s="11" t="str">
        <f t="shared" si="1"/>
        <v>1Radier</v>
      </c>
      <c r="L4" s="11" t="s">
        <v>1968</v>
      </c>
      <c r="M4" s="15">
        <v>1</v>
      </c>
      <c r="N4" s="34">
        <v>5.22</v>
      </c>
      <c r="O4" s="11" t="s">
        <v>26</v>
      </c>
    </row>
    <row r="5" spans="1:15" ht="20.100000000000001" customHeight="1" x14ac:dyDescent="0.25">
      <c r="A5" s="11" t="s">
        <v>3283</v>
      </c>
      <c r="F5" s="15" t="str">
        <f t="shared" si="0"/>
        <v>A4</v>
      </c>
      <c r="G5" s="11">
        <v>4</v>
      </c>
      <c r="H5" s="11" t="s">
        <v>1961</v>
      </c>
      <c r="I5" s="11">
        <v>1</v>
      </c>
      <c r="K5" s="11" t="str">
        <f t="shared" si="1"/>
        <v>2Parede</v>
      </c>
      <c r="L5" s="11" t="s">
        <v>1965</v>
      </c>
      <c r="M5" s="15">
        <v>2</v>
      </c>
      <c r="N5" s="34">
        <v>17.940000000000001</v>
      </c>
      <c r="O5" s="11" t="s">
        <v>26</v>
      </c>
    </row>
    <row r="6" spans="1:15" ht="20.100000000000001" customHeight="1" x14ac:dyDescent="0.25">
      <c r="A6" s="11" t="s">
        <v>3284</v>
      </c>
      <c r="F6" s="15" t="str">
        <f t="shared" si="0"/>
        <v>A5</v>
      </c>
      <c r="G6" s="11">
        <v>5</v>
      </c>
      <c r="H6" s="11" t="s">
        <v>1961</v>
      </c>
      <c r="I6" s="11">
        <v>1</v>
      </c>
      <c r="K6" s="11" t="str">
        <f t="shared" si="1"/>
        <v>2Pilar</v>
      </c>
      <c r="L6" s="11" t="s">
        <v>1962</v>
      </c>
      <c r="M6" s="15">
        <v>2</v>
      </c>
      <c r="N6" s="34">
        <v>0.1</v>
      </c>
      <c r="O6" s="11" t="s">
        <v>26</v>
      </c>
    </row>
    <row r="7" spans="1:15" ht="20.100000000000001" customHeight="1" x14ac:dyDescent="0.25">
      <c r="A7" s="11" t="s">
        <v>3285</v>
      </c>
      <c r="F7" s="15" t="str">
        <f t="shared" si="0"/>
        <v>A6</v>
      </c>
      <c r="G7" s="11">
        <v>6</v>
      </c>
      <c r="H7" s="11" t="s">
        <v>1961</v>
      </c>
      <c r="I7" s="11">
        <v>1</v>
      </c>
      <c r="K7" s="11" t="str">
        <f t="shared" si="1"/>
        <v>2Radier</v>
      </c>
      <c r="L7" s="11" t="s">
        <v>1968</v>
      </c>
      <c r="M7" s="15">
        <v>2</v>
      </c>
      <c r="N7" s="34">
        <v>6.38</v>
      </c>
      <c r="O7" s="11" t="s">
        <v>26</v>
      </c>
    </row>
    <row r="8" spans="1:15" ht="20.100000000000001" customHeight="1" x14ac:dyDescent="0.25">
      <c r="A8" s="11" t="s">
        <v>3286</v>
      </c>
      <c r="F8" s="15" t="str">
        <f t="shared" si="0"/>
        <v>A7</v>
      </c>
      <c r="G8" s="11">
        <v>7</v>
      </c>
      <c r="H8" s="11" t="s">
        <v>1961</v>
      </c>
      <c r="I8" s="11">
        <v>2</v>
      </c>
      <c r="K8" s="11" t="str">
        <f t="shared" si="1"/>
        <v>ÚnicoCalçada</v>
      </c>
      <c r="L8" s="11" t="s">
        <v>3287</v>
      </c>
      <c r="M8" s="15" t="s">
        <v>3288</v>
      </c>
      <c r="N8" s="34">
        <v>0</v>
      </c>
      <c r="O8" s="11" t="s">
        <v>3289</v>
      </c>
    </row>
    <row r="9" spans="1:15" ht="20.100000000000001" customHeight="1" x14ac:dyDescent="0.25">
      <c r="A9" s="11" t="s">
        <v>3290</v>
      </c>
      <c r="F9" s="15" t="str">
        <f t="shared" si="0"/>
        <v>A8</v>
      </c>
      <c r="G9" s="11">
        <v>8</v>
      </c>
      <c r="H9" s="11" t="s">
        <v>1961</v>
      </c>
      <c r="I9" s="11">
        <v>2</v>
      </c>
      <c r="K9" s="11" t="str">
        <f t="shared" si="1"/>
        <v>ÚnicoSarjeta</v>
      </c>
      <c r="L9" s="11" t="s">
        <v>3291</v>
      </c>
      <c r="M9" s="15" t="s">
        <v>3288</v>
      </c>
      <c r="N9" s="34">
        <v>0</v>
      </c>
      <c r="O9" s="11" t="s">
        <v>3289</v>
      </c>
    </row>
    <row r="10" spans="1:15" ht="20.100000000000001" customHeight="1" x14ac:dyDescent="0.25">
      <c r="A10" s="11" t="s">
        <v>3292</v>
      </c>
      <c r="F10" s="15" t="str">
        <f t="shared" si="0"/>
        <v>B1</v>
      </c>
      <c r="G10" s="11">
        <v>1</v>
      </c>
      <c r="H10" s="11" t="s">
        <v>1970</v>
      </c>
      <c r="I10" s="11">
        <v>1</v>
      </c>
      <c r="K10" s="11" t="str">
        <f t="shared" si="1"/>
        <v>ÚnicoPoços de Visita</v>
      </c>
      <c r="L10" s="11" t="s">
        <v>3293</v>
      </c>
      <c r="M10" s="15" t="s">
        <v>3288</v>
      </c>
      <c r="N10" s="34">
        <v>0</v>
      </c>
      <c r="O10" s="11" t="s">
        <v>3289</v>
      </c>
    </row>
    <row r="11" spans="1:15" ht="20.100000000000001" customHeight="1" x14ac:dyDescent="0.25">
      <c r="A11" s="11" t="s">
        <v>3294</v>
      </c>
      <c r="F11" s="15" t="str">
        <f t="shared" si="0"/>
        <v>B2</v>
      </c>
      <c r="G11" s="11">
        <v>2</v>
      </c>
      <c r="H11" s="11" t="s">
        <v>1970</v>
      </c>
      <c r="I11" s="11">
        <v>1</v>
      </c>
      <c r="K11" s="11" t="str">
        <f t="shared" si="1"/>
        <v>ÚnicoCaixa de Recepção</v>
      </c>
      <c r="L11" s="11" t="s">
        <v>3295</v>
      </c>
      <c r="M11" s="15" t="s">
        <v>3288</v>
      </c>
      <c r="N11" s="34">
        <v>0</v>
      </c>
      <c r="O11" s="11" t="s">
        <v>3289</v>
      </c>
    </row>
    <row r="12" spans="1:15" ht="20.100000000000001" customHeight="1" x14ac:dyDescent="0.25">
      <c r="A12" s="11" t="s">
        <v>3296</v>
      </c>
      <c r="F12" s="15" t="str">
        <f t="shared" si="0"/>
        <v>B3</v>
      </c>
      <c r="G12" s="11">
        <v>3</v>
      </c>
      <c r="H12" s="11" t="s">
        <v>1970</v>
      </c>
      <c r="I12" s="11">
        <v>1</v>
      </c>
      <c r="K12" s="11" t="str">
        <f t="shared" si="1"/>
        <v>ÚnicoCanal de Drenagem</v>
      </c>
      <c r="L12" s="11" t="s">
        <v>3297</v>
      </c>
      <c r="M12" s="15" t="s">
        <v>3288</v>
      </c>
      <c r="N12" s="34">
        <v>0</v>
      </c>
      <c r="O12" s="11" t="s">
        <v>3289</v>
      </c>
    </row>
    <row r="13" spans="1:15" ht="20.100000000000001" customHeight="1" x14ac:dyDescent="0.25">
      <c r="F13" s="15" t="str">
        <f t="shared" si="0"/>
        <v>B4</v>
      </c>
      <c r="G13" s="11">
        <v>4</v>
      </c>
      <c r="H13" s="11" t="s">
        <v>1970</v>
      </c>
      <c r="I13" s="11">
        <v>1</v>
      </c>
      <c r="K13" s="11" t="str">
        <f t="shared" si="1"/>
        <v>ÚnicoAla de Recepção</v>
      </c>
      <c r="L13" s="11" t="s">
        <v>3298</v>
      </c>
      <c r="M13" s="15" t="s">
        <v>3288</v>
      </c>
      <c r="N13" s="34">
        <v>0</v>
      </c>
      <c r="O13" s="11" t="s">
        <v>3289</v>
      </c>
    </row>
    <row r="14" spans="1:15" ht="20.100000000000001" customHeight="1" x14ac:dyDescent="0.25">
      <c r="F14" s="15" t="str">
        <f t="shared" si="0"/>
        <v>B5</v>
      </c>
      <c r="G14" s="11">
        <v>5</v>
      </c>
      <c r="H14" s="11" t="s">
        <v>1970</v>
      </c>
      <c r="I14" s="11">
        <v>1</v>
      </c>
      <c r="K14" s="11" t="str">
        <f t="shared" si="1"/>
        <v>ÚnicoCaixa de Inspeção</v>
      </c>
      <c r="L14" s="11" t="s">
        <v>3299</v>
      </c>
      <c r="M14" s="15" t="s">
        <v>3288</v>
      </c>
      <c r="N14" s="34">
        <v>0</v>
      </c>
      <c r="O14" s="11" t="s">
        <v>3289</v>
      </c>
    </row>
    <row r="15" spans="1:15" ht="20.100000000000001" customHeight="1" x14ac:dyDescent="0.25">
      <c r="F15" s="15" t="str">
        <f t="shared" si="0"/>
        <v>B6</v>
      </c>
      <c r="G15" s="11">
        <v>6</v>
      </c>
      <c r="H15" s="11" t="s">
        <v>1970</v>
      </c>
      <c r="I15" s="11">
        <v>1</v>
      </c>
      <c r="K15" s="11" t="str">
        <f t="shared" si="1"/>
        <v>ÚnicoAcesso a EEE</v>
      </c>
      <c r="L15" s="11" t="s">
        <v>3300</v>
      </c>
      <c r="M15" s="15" t="s">
        <v>3288</v>
      </c>
      <c r="N15" s="34">
        <v>0</v>
      </c>
      <c r="O15" s="11" t="s">
        <v>3289</v>
      </c>
    </row>
    <row r="16" spans="1:15" ht="20.100000000000001" customHeight="1" x14ac:dyDescent="0.25">
      <c r="F16" s="15" t="str">
        <f t="shared" si="0"/>
        <v>B7</v>
      </c>
      <c r="G16" s="11">
        <v>7</v>
      </c>
      <c r="H16" s="11" t="s">
        <v>1970</v>
      </c>
      <c r="I16" s="11">
        <v>1</v>
      </c>
      <c r="K16" s="11" t="str">
        <f t="shared" si="1"/>
        <v>ÚnicoReservatório</v>
      </c>
      <c r="L16" s="11" t="s">
        <v>3301</v>
      </c>
      <c r="M16" s="15" t="s">
        <v>3288</v>
      </c>
      <c r="N16" s="34">
        <v>0</v>
      </c>
      <c r="O16" s="11" t="s">
        <v>3302</v>
      </c>
    </row>
    <row r="17" spans="6:15" ht="20.100000000000001" customHeight="1" x14ac:dyDescent="0.25">
      <c r="F17" s="15" t="str">
        <f t="shared" si="0"/>
        <v>B8</v>
      </c>
      <c r="G17" s="11">
        <v>8</v>
      </c>
      <c r="H17" s="11" t="s">
        <v>1970</v>
      </c>
      <c r="I17" s="11">
        <v>1</v>
      </c>
      <c r="K17" s="11" t="str">
        <f t="shared" si="1"/>
        <v>ÚnicoGuarita</v>
      </c>
      <c r="L17" s="11" t="s">
        <v>3303</v>
      </c>
      <c r="M17" s="15" t="s">
        <v>3288</v>
      </c>
      <c r="N17" s="34">
        <v>0</v>
      </c>
      <c r="O17" s="11" t="s">
        <v>3302</v>
      </c>
    </row>
    <row r="18" spans="6:15" ht="20.100000000000001" customHeight="1" x14ac:dyDescent="0.25">
      <c r="F18" s="15" t="str">
        <f t="shared" si="0"/>
        <v>B9</v>
      </c>
      <c r="G18" s="11">
        <v>9</v>
      </c>
      <c r="H18" s="11" t="s">
        <v>1970</v>
      </c>
      <c r="I18" s="11">
        <v>1</v>
      </c>
      <c r="K18" s="11" t="str">
        <f t="shared" si="1"/>
        <v>ÚnicoSalão de Festa</v>
      </c>
      <c r="L18" s="11" t="s">
        <v>3304</v>
      </c>
      <c r="M18" s="15" t="s">
        <v>3288</v>
      </c>
      <c r="N18" s="34">
        <v>0</v>
      </c>
      <c r="O18" s="11" t="s">
        <v>3302</v>
      </c>
    </row>
    <row r="19" spans="6:15" ht="20.100000000000001" customHeight="1" x14ac:dyDescent="0.25">
      <c r="F19" s="15" t="str">
        <f t="shared" si="0"/>
        <v>B10</v>
      </c>
      <c r="G19" s="11">
        <v>10</v>
      </c>
      <c r="H19" s="11" t="s">
        <v>1970</v>
      </c>
      <c r="I19" s="11">
        <v>1</v>
      </c>
      <c r="K19" s="11" t="str">
        <f t="shared" si="1"/>
        <v>ÚnicoChurrasqueira Dupla</v>
      </c>
      <c r="L19" s="11" t="s">
        <v>3305</v>
      </c>
      <c r="M19" s="15" t="s">
        <v>3288</v>
      </c>
      <c r="N19" s="34">
        <v>0</v>
      </c>
      <c r="O19" s="11" t="s">
        <v>3302</v>
      </c>
    </row>
    <row r="20" spans="6:15" ht="20.100000000000001" customHeight="1" x14ac:dyDescent="0.25">
      <c r="F20" s="15" t="str">
        <f t="shared" si="0"/>
        <v>B11</v>
      </c>
      <c r="G20" s="11">
        <v>11</v>
      </c>
      <c r="H20" s="11" t="s">
        <v>1970</v>
      </c>
      <c r="I20" s="11">
        <v>1</v>
      </c>
      <c r="K20" s="11" t="str">
        <f t="shared" si="1"/>
        <v>ÚnicoQuiosque Gourmet</v>
      </c>
      <c r="L20" s="11" t="s">
        <v>3306</v>
      </c>
      <c r="M20" s="15" t="s">
        <v>3288</v>
      </c>
      <c r="N20" s="34">
        <v>0</v>
      </c>
      <c r="O20" s="11" t="s">
        <v>3302</v>
      </c>
    </row>
    <row r="21" spans="6:15" ht="20.100000000000001" customHeight="1" x14ac:dyDescent="0.25">
      <c r="F21" s="15" t="str">
        <f t="shared" si="0"/>
        <v>B12</v>
      </c>
      <c r="G21" s="11">
        <v>12</v>
      </c>
      <c r="H21" s="11" t="s">
        <v>1970</v>
      </c>
      <c r="I21" s="11">
        <v>1</v>
      </c>
      <c r="K21" s="11" t="str">
        <f t="shared" si="1"/>
        <v>ÚnicoChurrasqueria com Pergolado</v>
      </c>
      <c r="L21" s="11" t="s">
        <v>3307</v>
      </c>
      <c r="M21" s="15" t="s">
        <v>3288</v>
      </c>
      <c r="N21" s="34">
        <v>0</v>
      </c>
      <c r="O21" s="11" t="s">
        <v>3302</v>
      </c>
    </row>
    <row r="22" spans="6:15" ht="20.100000000000001" customHeight="1" x14ac:dyDescent="0.25">
      <c r="F22" s="15" t="str">
        <f t="shared" si="0"/>
        <v>B13</v>
      </c>
      <c r="G22" s="11">
        <v>13</v>
      </c>
      <c r="H22" s="11" t="s">
        <v>1970</v>
      </c>
      <c r="I22" s="11">
        <v>1</v>
      </c>
    </row>
    <row r="23" spans="6:15" ht="20.100000000000001" customHeight="1" x14ac:dyDescent="0.25">
      <c r="F23" s="15" t="str">
        <f t="shared" si="0"/>
        <v>B14</v>
      </c>
      <c r="G23" s="11">
        <v>14</v>
      </c>
      <c r="H23" s="11" t="s">
        <v>1970</v>
      </c>
      <c r="I23" s="11">
        <v>1</v>
      </c>
    </row>
    <row r="24" spans="6:15" ht="20.100000000000001" customHeight="1" x14ac:dyDescent="0.25">
      <c r="F24" s="15" t="str">
        <f t="shared" si="0"/>
        <v>B15</v>
      </c>
      <c r="G24" s="11">
        <v>15</v>
      </c>
      <c r="H24" s="11" t="s">
        <v>1970</v>
      </c>
      <c r="I24" s="11">
        <v>1</v>
      </c>
    </row>
    <row r="25" spans="6:15" ht="20.100000000000001" customHeight="1" x14ac:dyDescent="0.25">
      <c r="F25" s="15" t="str">
        <f t="shared" si="0"/>
        <v>B16</v>
      </c>
      <c r="G25" s="11">
        <v>16</v>
      </c>
      <c r="H25" s="11" t="s">
        <v>1970</v>
      </c>
      <c r="I25" s="11">
        <v>1</v>
      </c>
    </row>
    <row r="26" spans="6:15" ht="20.100000000000001" customHeight="1" x14ac:dyDescent="0.25">
      <c r="F26" s="15" t="str">
        <f t="shared" si="0"/>
        <v>B17</v>
      </c>
      <c r="G26" s="11">
        <v>17</v>
      </c>
      <c r="H26" s="11" t="s">
        <v>1970</v>
      </c>
      <c r="I26" s="11">
        <v>1</v>
      </c>
    </row>
    <row r="27" spans="6:15" ht="20.100000000000001" customHeight="1" x14ac:dyDescent="0.25">
      <c r="F27" s="15" t="str">
        <f t="shared" si="0"/>
        <v>B18</v>
      </c>
      <c r="G27" s="11">
        <v>18</v>
      </c>
      <c r="H27" s="11" t="s">
        <v>1970</v>
      </c>
      <c r="I27" s="11">
        <v>1</v>
      </c>
    </row>
    <row r="28" spans="6:15" ht="20.100000000000001" customHeight="1" x14ac:dyDescent="0.25">
      <c r="F28" s="15" t="str">
        <f t="shared" si="0"/>
        <v>B19</v>
      </c>
      <c r="G28" s="11">
        <v>19</v>
      </c>
      <c r="H28" s="11" t="s">
        <v>1970</v>
      </c>
      <c r="I28" s="11">
        <v>1</v>
      </c>
    </row>
    <row r="29" spans="6:15" ht="20.100000000000001" customHeight="1" x14ac:dyDescent="0.25">
      <c r="F29" s="15" t="str">
        <f t="shared" si="0"/>
        <v>B20</v>
      </c>
      <c r="G29" s="11">
        <v>20</v>
      </c>
      <c r="H29" s="11" t="s">
        <v>1970</v>
      </c>
      <c r="I29" s="11">
        <v>1</v>
      </c>
    </row>
    <row r="30" spans="6:15" ht="20.100000000000001" customHeight="1" x14ac:dyDescent="0.25">
      <c r="F30" s="15" t="str">
        <f t="shared" si="0"/>
        <v>B21</v>
      </c>
      <c r="G30" s="11">
        <v>21</v>
      </c>
      <c r="H30" s="11" t="s">
        <v>1970</v>
      </c>
      <c r="I30" s="11">
        <v>2</v>
      </c>
    </row>
    <row r="31" spans="6:15" ht="20.100000000000001" customHeight="1" x14ac:dyDescent="0.25">
      <c r="F31" s="15" t="str">
        <f t="shared" si="0"/>
        <v>B22</v>
      </c>
      <c r="G31" s="11">
        <v>22</v>
      </c>
      <c r="H31" s="11" t="s">
        <v>1970</v>
      </c>
      <c r="I31" s="11">
        <v>2</v>
      </c>
    </row>
    <row r="32" spans="6:15" ht="20.100000000000001" customHeight="1" x14ac:dyDescent="0.25">
      <c r="F32" s="15" t="str">
        <f t="shared" si="0"/>
        <v>B23</v>
      </c>
      <c r="G32" s="11">
        <v>23</v>
      </c>
      <c r="H32" s="11" t="s">
        <v>1970</v>
      </c>
      <c r="I32" s="11">
        <v>2</v>
      </c>
    </row>
    <row r="33" spans="6:9" ht="20.100000000000001" customHeight="1" x14ac:dyDescent="0.25">
      <c r="F33" s="15" t="str">
        <f t="shared" si="0"/>
        <v>B24</v>
      </c>
      <c r="G33" s="11">
        <v>24</v>
      </c>
      <c r="H33" s="11" t="s">
        <v>1970</v>
      </c>
      <c r="I33" s="11">
        <v>1</v>
      </c>
    </row>
    <row r="34" spans="6:9" ht="20.100000000000001" customHeight="1" x14ac:dyDescent="0.25">
      <c r="F34" s="15" t="str">
        <f t="shared" si="0"/>
        <v>C1</v>
      </c>
      <c r="G34" s="11">
        <v>1</v>
      </c>
      <c r="H34" s="11" t="s">
        <v>1975</v>
      </c>
      <c r="I34" s="11">
        <v>1</v>
      </c>
    </row>
    <row r="35" spans="6:9" ht="20.100000000000001" customHeight="1" x14ac:dyDescent="0.25">
      <c r="F35" s="15" t="str">
        <f t="shared" si="0"/>
        <v>C2</v>
      </c>
      <c r="G35" s="11">
        <v>2</v>
      </c>
      <c r="H35" s="11" t="s">
        <v>1975</v>
      </c>
      <c r="I35" s="11">
        <v>1</v>
      </c>
    </row>
    <row r="36" spans="6:9" ht="20.100000000000001" customHeight="1" x14ac:dyDescent="0.25">
      <c r="F36" s="15" t="str">
        <f t="shared" si="0"/>
        <v>C3</v>
      </c>
      <c r="G36" s="11">
        <v>3</v>
      </c>
      <c r="H36" s="11" t="s">
        <v>1975</v>
      </c>
      <c r="I36" s="11">
        <v>1</v>
      </c>
    </row>
    <row r="37" spans="6:9" ht="20.100000000000001" customHeight="1" x14ac:dyDescent="0.25">
      <c r="F37" s="15" t="str">
        <f t="shared" si="0"/>
        <v>C4</v>
      </c>
      <c r="G37" s="11">
        <v>4</v>
      </c>
      <c r="H37" s="11" t="s">
        <v>1975</v>
      </c>
      <c r="I37" s="11">
        <v>1</v>
      </c>
    </row>
    <row r="38" spans="6:9" ht="20.100000000000001" customHeight="1" x14ac:dyDescent="0.25">
      <c r="F38" s="15" t="str">
        <f t="shared" si="0"/>
        <v>C5</v>
      </c>
      <c r="G38" s="11">
        <v>5</v>
      </c>
      <c r="H38" s="11" t="s">
        <v>1975</v>
      </c>
      <c r="I38" s="11">
        <v>1</v>
      </c>
    </row>
    <row r="39" spans="6:9" ht="20.100000000000001" customHeight="1" x14ac:dyDescent="0.25">
      <c r="F39" s="15" t="str">
        <f t="shared" si="0"/>
        <v>C6</v>
      </c>
      <c r="G39" s="11">
        <v>6</v>
      </c>
      <c r="H39" s="11" t="s">
        <v>1975</v>
      </c>
      <c r="I39" s="11">
        <v>1</v>
      </c>
    </row>
    <row r="40" spans="6:9" ht="20.100000000000001" customHeight="1" x14ac:dyDescent="0.25">
      <c r="F40" s="15" t="str">
        <f t="shared" si="0"/>
        <v>C7</v>
      </c>
      <c r="G40" s="11">
        <v>7</v>
      </c>
      <c r="H40" s="11" t="s">
        <v>1975</v>
      </c>
      <c r="I40" s="11">
        <v>1</v>
      </c>
    </row>
    <row r="41" spans="6:9" ht="20.100000000000001" customHeight="1" x14ac:dyDescent="0.25">
      <c r="F41" s="15" t="str">
        <f t="shared" si="0"/>
        <v>C8</v>
      </c>
      <c r="G41" s="11">
        <v>8</v>
      </c>
      <c r="H41" s="11" t="s">
        <v>1975</v>
      </c>
      <c r="I41" s="11">
        <v>1</v>
      </c>
    </row>
    <row r="42" spans="6:9" ht="20.100000000000001" customHeight="1" x14ac:dyDescent="0.25">
      <c r="F42" s="15" t="str">
        <f t="shared" si="0"/>
        <v>C9</v>
      </c>
      <c r="G42" s="11">
        <v>9</v>
      </c>
      <c r="H42" s="11" t="s">
        <v>1975</v>
      </c>
      <c r="I42" s="11">
        <v>1</v>
      </c>
    </row>
    <row r="43" spans="6:9" ht="20.100000000000001" customHeight="1" x14ac:dyDescent="0.25">
      <c r="F43" s="15" t="str">
        <f t="shared" si="0"/>
        <v>C10</v>
      </c>
      <c r="G43" s="11">
        <v>10</v>
      </c>
      <c r="H43" s="11" t="s">
        <v>1975</v>
      </c>
      <c r="I43" s="11">
        <v>1</v>
      </c>
    </row>
    <row r="44" spans="6:9" ht="20.100000000000001" customHeight="1" x14ac:dyDescent="0.25">
      <c r="F44" s="15" t="str">
        <f t="shared" si="0"/>
        <v>C11</v>
      </c>
      <c r="G44" s="11">
        <v>11</v>
      </c>
      <c r="H44" s="11" t="s">
        <v>1975</v>
      </c>
      <c r="I44" s="11">
        <v>1</v>
      </c>
    </row>
    <row r="45" spans="6:9" ht="20.100000000000001" customHeight="1" x14ac:dyDescent="0.25">
      <c r="F45" s="15" t="str">
        <f t="shared" si="0"/>
        <v>C12</v>
      </c>
      <c r="G45" s="11">
        <v>12</v>
      </c>
      <c r="H45" s="11" t="s">
        <v>1975</v>
      </c>
      <c r="I45" s="11">
        <v>1</v>
      </c>
    </row>
    <row r="46" spans="6:9" ht="20.100000000000001" customHeight="1" x14ac:dyDescent="0.25">
      <c r="F46" s="15" t="str">
        <f t="shared" si="0"/>
        <v>C13</v>
      </c>
      <c r="G46" s="11">
        <v>13</v>
      </c>
      <c r="H46" s="11" t="s">
        <v>1975</v>
      </c>
      <c r="I46" s="11">
        <v>1</v>
      </c>
    </row>
    <row r="47" spans="6:9" ht="20.100000000000001" customHeight="1" x14ac:dyDescent="0.25">
      <c r="F47" s="15" t="str">
        <f t="shared" si="0"/>
        <v>C14</v>
      </c>
      <c r="G47" s="11">
        <v>14</v>
      </c>
      <c r="H47" s="11" t="s">
        <v>1975</v>
      </c>
      <c r="I47" s="11">
        <v>1</v>
      </c>
    </row>
    <row r="48" spans="6:9" ht="20.100000000000001" customHeight="1" x14ac:dyDescent="0.25">
      <c r="F48" s="15" t="str">
        <f t="shared" si="0"/>
        <v>C15</v>
      </c>
      <c r="G48" s="11">
        <v>15</v>
      </c>
      <c r="H48" s="11" t="s">
        <v>1975</v>
      </c>
      <c r="I48" s="11">
        <v>1</v>
      </c>
    </row>
    <row r="49" spans="6:9" ht="20.100000000000001" customHeight="1" x14ac:dyDescent="0.25">
      <c r="F49" s="15" t="str">
        <f t="shared" si="0"/>
        <v>C16</v>
      </c>
      <c r="G49" s="11">
        <v>16</v>
      </c>
      <c r="H49" s="11" t="s">
        <v>1975</v>
      </c>
      <c r="I49" s="11">
        <v>1</v>
      </c>
    </row>
    <row r="50" spans="6:9" ht="20.100000000000001" customHeight="1" x14ac:dyDescent="0.25">
      <c r="F50" s="15" t="str">
        <f t="shared" si="0"/>
        <v>C17</v>
      </c>
      <c r="G50" s="11">
        <v>17</v>
      </c>
      <c r="H50" s="11" t="s">
        <v>1975</v>
      </c>
      <c r="I50" s="11">
        <v>1</v>
      </c>
    </row>
    <row r="51" spans="6:9" ht="20.100000000000001" customHeight="1" x14ac:dyDescent="0.25">
      <c r="F51" s="15" t="str">
        <f t="shared" si="0"/>
        <v>C18</v>
      </c>
      <c r="G51" s="11">
        <v>18</v>
      </c>
      <c r="H51" s="11" t="s">
        <v>1975</v>
      </c>
      <c r="I51" s="11">
        <v>1</v>
      </c>
    </row>
    <row r="52" spans="6:9" ht="20.100000000000001" customHeight="1" x14ac:dyDescent="0.25">
      <c r="F52" s="15" t="str">
        <f t="shared" si="0"/>
        <v>C19</v>
      </c>
      <c r="G52" s="11">
        <v>19</v>
      </c>
      <c r="H52" s="11" t="s">
        <v>1975</v>
      </c>
      <c r="I52" s="11">
        <v>1</v>
      </c>
    </row>
    <row r="53" spans="6:9" ht="20.100000000000001" customHeight="1" x14ac:dyDescent="0.25">
      <c r="F53" s="15" t="str">
        <f t="shared" si="0"/>
        <v>C20</v>
      </c>
      <c r="G53" s="11">
        <v>20</v>
      </c>
      <c r="H53" s="11" t="s">
        <v>1975</v>
      </c>
      <c r="I53" s="11">
        <v>1</v>
      </c>
    </row>
    <row r="54" spans="6:9" ht="20.100000000000001" customHeight="1" x14ac:dyDescent="0.25">
      <c r="F54" s="15" t="str">
        <f t="shared" si="0"/>
        <v>C21</v>
      </c>
      <c r="G54" s="11">
        <v>21</v>
      </c>
      <c r="H54" s="11" t="s">
        <v>1975</v>
      </c>
      <c r="I54" s="11">
        <v>1</v>
      </c>
    </row>
    <row r="55" spans="6:9" ht="20.100000000000001" customHeight="1" x14ac:dyDescent="0.25">
      <c r="F55" s="15" t="str">
        <f t="shared" si="0"/>
        <v>C22</v>
      </c>
      <c r="G55" s="11">
        <v>22</v>
      </c>
      <c r="H55" s="11" t="s">
        <v>1975</v>
      </c>
      <c r="I55" s="11">
        <v>1</v>
      </c>
    </row>
    <row r="56" spans="6:9" ht="20.100000000000001" customHeight="1" x14ac:dyDescent="0.25">
      <c r="F56" s="15" t="str">
        <f t="shared" si="0"/>
        <v>C23</v>
      </c>
      <c r="G56" s="11">
        <v>23</v>
      </c>
      <c r="H56" s="11" t="s">
        <v>1975</v>
      </c>
      <c r="I56" s="11">
        <v>1</v>
      </c>
    </row>
    <row r="57" spans="6:9" ht="20.100000000000001" customHeight="1" x14ac:dyDescent="0.25">
      <c r="F57" s="15" t="str">
        <f t="shared" si="0"/>
        <v>C24</v>
      </c>
      <c r="G57" s="11">
        <v>24</v>
      </c>
      <c r="H57" s="11" t="s">
        <v>1975</v>
      </c>
      <c r="I57" s="11">
        <v>1</v>
      </c>
    </row>
    <row r="58" spans="6:9" ht="20.100000000000001" customHeight="1" x14ac:dyDescent="0.25">
      <c r="F58" s="15" t="str">
        <f t="shared" si="0"/>
        <v>C25</v>
      </c>
      <c r="G58" s="11">
        <v>25</v>
      </c>
      <c r="H58" s="11" t="s">
        <v>1975</v>
      </c>
      <c r="I58" s="11">
        <v>1</v>
      </c>
    </row>
    <row r="59" spans="6:9" ht="20.100000000000001" customHeight="1" x14ac:dyDescent="0.25">
      <c r="F59" s="15" t="str">
        <f t="shared" si="0"/>
        <v>C26</v>
      </c>
      <c r="G59" s="11">
        <v>26</v>
      </c>
      <c r="H59" s="11" t="s">
        <v>1975</v>
      </c>
      <c r="I59" s="11">
        <v>1</v>
      </c>
    </row>
    <row r="60" spans="6:9" ht="20.100000000000001" customHeight="1" x14ac:dyDescent="0.25">
      <c r="F60" s="15" t="str">
        <f t="shared" si="0"/>
        <v>C27</v>
      </c>
      <c r="G60" s="11">
        <v>27</v>
      </c>
      <c r="H60" s="11" t="s">
        <v>1975</v>
      </c>
      <c r="I60" s="11">
        <v>2</v>
      </c>
    </row>
    <row r="61" spans="6:9" ht="20.100000000000001" customHeight="1" x14ac:dyDescent="0.25">
      <c r="F61" s="15" t="str">
        <f t="shared" si="0"/>
        <v>C28</v>
      </c>
      <c r="G61" s="11">
        <v>28</v>
      </c>
      <c r="H61" s="11" t="s">
        <v>1975</v>
      </c>
      <c r="I61" s="11">
        <v>2</v>
      </c>
    </row>
    <row r="62" spans="6:9" ht="20.100000000000001" customHeight="1" x14ac:dyDescent="0.25">
      <c r="F62" s="15" t="str">
        <f t="shared" si="0"/>
        <v>C29</v>
      </c>
      <c r="G62" s="11">
        <v>29</v>
      </c>
      <c r="H62" s="11" t="s">
        <v>1975</v>
      </c>
      <c r="I62" s="11">
        <v>2</v>
      </c>
    </row>
    <row r="63" spans="6:9" ht="20.100000000000001" customHeight="1" x14ac:dyDescent="0.25">
      <c r="F63" s="15" t="str">
        <f t="shared" si="0"/>
        <v>C30</v>
      </c>
      <c r="G63" s="11">
        <v>30</v>
      </c>
      <c r="H63" s="11" t="s">
        <v>1975</v>
      </c>
      <c r="I63" s="11">
        <v>2</v>
      </c>
    </row>
    <row r="64" spans="6:9" ht="20.100000000000001" customHeight="1" x14ac:dyDescent="0.25">
      <c r="F64" s="15" t="str">
        <f t="shared" si="0"/>
        <v>D1</v>
      </c>
      <c r="G64" s="11">
        <v>1</v>
      </c>
      <c r="H64" s="11" t="s">
        <v>1979</v>
      </c>
      <c r="I64" s="11">
        <v>1</v>
      </c>
    </row>
    <row r="65" spans="6:9" ht="20.100000000000001" customHeight="1" x14ac:dyDescent="0.25">
      <c r="F65" s="15" t="str">
        <f t="shared" si="0"/>
        <v>D2</v>
      </c>
      <c r="G65" s="11">
        <v>2</v>
      </c>
      <c r="H65" s="11" t="s">
        <v>1979</v>
      </c>
      <c r="I65" s="11">
        <v>1</v>
      </c>
    </row>
    <row r="66" spans="6:9" ht="20.100000000000001" customHeight="1" x14ac:dyDescent="0.25">
      <c r="F66" s="15" t="str">
        <f t="shared" ref="F66:F129" si="2">CONCATENATE(H66,G66)</f>
        <v>D3</v>
      </c>
      <c r="G66" s="11">
        <v>3</v>
      </c>
      <c r="H66" s="11" t="s">
        <v>1979</v>
      </c>
      <c r="I66" s="11">
        <v>1</v>
      </c>
    </row>
    <row r="67" spans="6:9" ht="20.100000000000001" customHeight="1" x14ac:dyDescent="0.25">
      <c r="F67" s="15" t="str">
        <f t="shared" si="2"/>
        <v>D4</v>
      </c>
      <c r="G67" s="11">
        <v>4</v>
      </c>
      <c r="H67" s="11" t="s">
        <v>1979</v>
      </c>
      <c r="I67" s="11">
        <v>1</v>
      </c>
    </row>
    <row r="68" spans="6:9" ht="20.100000000000001" customHeight="1" x14ac:dyDescent="0.25">
      <c r="F68" s="15" t="str">
        <f t="shared" si="2"/>
        <v>D5</v>
      </c>
      <c r="G68" s="11">
        <v>5</v>
      </c>
      <c r="H68" s="11" t="s">
        <v>1979</v>
      </c>
      <c r="I68" s="11">
        <v>1</v>
      </c>
    </row>
    <row r="69" spans="6:9" ht="20.100000000000001" customHeight="1" x14ac:dyDescent="0.25">
      <c r="F69" s="15" t="str">
        <f t="shared" si="2"/>
        <v>D6</v>
      </c>
      <c r="G69" s="11">
        <v>6</v>
      </c>
      <c r="H69" s="11" t="s">
        <v>1979</v>
      </c>
      <c r="I69" s="11">
        <v>1</v>
      </c>
    </row>
    <row r="70" spans="6:9" ht="20.100000000000001" customHeight="1" x14ac:dyDescent="0.25">
      <c r="F70" s="15" t="str">
        <f t="shared" si="2"/>
        <v>D7</v>
      </c>
      <c r="G70" s="11">
        <v>7</v>
      </c>
      <c r="H70" s="11" t="s">
        <v>1979</v>
      </c>
      <c r="I70" s="11">
        <v>1</v>
      </c>
    </row>
    <row r="71" spans="6:9" ht="20.100000000000001" customHeight="1" x14ac:dyDescent="0.25">
      <c r="F71" s="15" t="str">
        <f t="shared" si="2"/>
        <v>D8</v>
      </c>
      <c r="G71" s="11">
        <v>8</v>
      </c>
      <c r="H71" s="11" t="s">
        <v>1979</v>
      </c>
      <c r="I71" s="11">
        <v>1</v>
      </c>
    </row>
    <row r="72" spans="6:9" ht="20.100000000000001" customHeight="1" x14ac:dyDescent="0.25">
      <c r="F72" s="15" t="str">
        <f t="shared" si="2"/>
        <v>D9</v>
      </c>
      <c r="G72" s="11">
        <v>9</v>
      </c>
      <c r="H72" s="11" t="s">
        <v>1979</v>
      </c>
      <c r="I72" s="11">
        <v>1</v>
      </c>
    </row>
    <row r="73" spans="6:9" ht="20.100000000000001" customHeight="1" x14ac:dyDescent="0.25">
      <c r="F73" s="15" t="str">
        <f t="shared" si="2"/>
        <v>D10</v>
      </c>
      <c r="G73" s="11">
        <v>10</v>
      </c>
      <c r="H73" s="11" t="s">
        <v>1979</v>
      </c>
      <c r="I73" s="11">
        <v>1</v>
      </c>
    </row>
    <row r="74" spans="6:9" ht="20.100000000000001" customHeight="1" x14ac:dyDescent="0.25">
      <c r="F74" s="15" t="str">
        <f t="shared" si="2"/>
        <v>D11</v>
      </c>
      <c r="G74" s="11">
        <v>11</v>
      </c>
      <c r="H74" s="11" t="s">
        <v>1979</v>
      </c>
      <c r="I74" s="11">
        <v>1</v>
      </c>
    </row>
    <row r="75" spans="6:9" ht="20.100000000000001" customHeight="1" x14ac:dyDescent="0.25">
      <c r="F75" s="15" t="str">
        <f t="shared" si="2"/>
        <v>D12</v>
      </c>
      <c r="G75" s="11">
        <v>12</v>
      </c>
      <c r="H75" s="11" t="s">
        <v>1979</v>
      </c>
      <c r="I75" s="11">
        <v>1</v>
      </c>
    </row>
    <row r="76" spans="6:9" ht="20.100000000000001" customHeight="1" x14ac:dyDescent="0.25">
      <c r="F76" s="15" t="str">
        <f t="shared" si="2"/>
        <v>D13</v>
      </c>
      <c r="G76" s="11">
        <v>13</v>
      </c>
      <c r="H76" s="11" t="s">
        <v>1979</v>
      </c>
      <c r="I76" s="11">
        <v>1</v>
      </c>
    </row>
    <row r="77" spans="6:9" ht="20.100000000000001" customHeight="1" x14ac:dyDescent="0.25">
      <c r="F77" s="15" t="str">
        <f t="shared" si="2"/>
        <v>D14</v>
      </c>
      <c r="G77" s="11">
        <v>14</v>
      </c>
      <c r="H77" s="11" t="s">
        <v>1979</v>
      </c>
      <c r="I77" s="11">
        <v>1</v>
      </c>
    </row>
    <row r="78" spans="6:9" ht="20.100000000000001" customHeight="1" x14ac:dyDescent="0.25">
      <c r="F78" s="15" t="str">
        <f t="shared" si="2"/>
        <v>D15</v>
      </c>
      <c r="G78" s="11">
        <v>15</v>
      </c>
      <c r="H78" s="11" t="s">
        <v>1979</v>
      </c>
      <c r="I78" s="11">
        <v>1</v>
      </c>
    </row>
    <row r="79" spans="6:9" ht="20.100000000000001" customHeight="1" x14ac:dyDescent="0.25">
      <c r="F79" s="15" t="str">
        <f t="shared" si="2"/>
        <v>D16</v>
      </c>
      <c r="G79" s="11">
        <v>16</v>
      </c>
      <c r="H79" s="11" t="s">
        <v>1979</v>
      </c>
      <c r="I79" s="11">
        <v>1</v>
      </c>
    </row>
    <row r="80" spans="6:9" ht="20.100000000000001" customHeight="1" x14ac:dyDescent="0.25">
      <c r="F80" s="15" t="str">
        <f t="shared" si="2"/>
        <v>D17</v>
      </c>
      <c r="G80" s="11">
        <v>17</v>
      </c>
      <c r="H80" s="11" t="s">
        <v>1979</v>
      </c>
      <c r="I80" s="11">
        <v>1</v>
      </c>
    </row>
    <row r="81" spans="6:9" ht="20.100000000000001" customHeight="1" x14ac:dyDescent="0.25">
      <c r="F81" s="15" t="str">
        <f t="shared" si="2"/>
        <v>D18</v>
      </c>
      <c r="G81" s="11">
        <v>18</v>
      </c>
      <c r="H81" s="11" t="s">
        <v>1979</v>
      </c>
      <c r="I81" s="11">
        <v>1</v>
      </c>
    </row>
    <row r="82" spans="6:9" ht="20.100000000000001" customHeight="1" x14ac:dyDescent="0.25">
      <c r="F82" s="15" t="str">
        <f t="shared" si="2"/>
        <v>D19</v>
      </c>
      <c r="G82" s="11">
        <v>19</v>
      </c>
      <c r="H82" s="11" t="s">
        <v>1979</v>
      </c>
      <c r="I82" s="11">
        <v>1</v>
      </c>
    </row>
    <row r="83" spans="6:9" ht="20.100000000000001" customHeight="1" x14ac:dyDescent="0.25">
      <c r="F83" s="15" t="str">
        <f t="shared" si="2"/>
        <v>D20</v>
      </c>
      <c r="G83" s="11">
        <v>20</v>
      </c>
      <c r="H83" s="11" t="s">
        <v>1979</v>
      </c>
      <c r="I83" s="11">
        <v>1</v>
      </c>
    </row>
    <row r="84" spans="6:9" ht="20.100000000000001" customHeight="1" x14ac:dyDescent="0.25">
      <c r="F84" s="15" t="str">
        <f t="shared" si="2"/>
        <v>D21</v>
      </c>
      <c r="G84" s="11">
        <v>21</v>
      </c>
      <c r="H84" s="11" t="s">
        <v>1979</v>
      </c>
      <c r="I84" s="11">
        <v>1</v>
      </c>
    </row>
    <row r="85" spans="6:9" ht="20.100000000000001" customHeight="1" x14ac:dyDescent="0.25">
      <c r="F85" s="15" t="str">
        <f t="shared" si="2"/>
        <v>D22</v>
      </c>
      <c r="G85" s="11">
        <v>22</v>
      </c>
      <c r="H85" s="11" t="s">
        <v>1979</v>
      </c>
      <c r="I85" s="11">
        <v>1</v>
      </c>
    </row>
    <row r="86" spans="6:9" ht="20.100000000000001" customHeight="1" x14ac:dyDescent="0.25">
      <c r="F86" s="15" t="str">
        <f t="shared" si="2"/>
        <v>D23</v>
      </c>
      <c r="G86" s="11">
        <v>23</v>
      </c>
      <c r="H86" s="11" t="s">
        <v>1979</v>
      </c>
      <c r="I86" s="11">
        <v>1</v>
      </c>
    </row>
    <row r="87" spans="6:9" ht="20.100000000000001" customHeight="1" x14ac:dyDescent="0.25">
      <c r="F87" s="15" t="str">
        <f t="shared" si="2"/>
        <v>D24</v>
      </c>
      <c r="G87" s="11">
        <v>24</v>
      </c>
      <c r="H87" s="11" t="s">
        <v>1979</v>
      </c>
      <c r="I87" s="11">
        <v>1</v>
      </c>
    </row>
    <row r="88" spans="6:9" ht="20.100000000000001" customHeight="1" x14ac:dyDescent="0.25">
      <c r="F88" s="15" t="str">
        <f t="shared" si="2"/>
        <v>D25</v>
      </c>
      <c r="G88" s="11">
        <v>25</v>
      </c>
      <c r="H88" s="11" t="s">
        <v>1979</v>
      </c>
      <c r="I88" s="11">
        <v>1</v>
      </c>
    </row>
    <row r="89" spans="6:9" ht="20.100000000000001" customHeight="1" x14ac:dyDescent="0.25">
      <c r="F89" s="15" t="str">
        <f t="shared" si="2"/>
        <v>D26</v>
      </c>
      <c r="G89" s="11">
        <v>26</v>
      </c>
      <c r="H89" s="11" t="s">
        <v>1979</v>
      </c>
      <c r="I89" s="11">
        <v>1</v>
      </c>
    </row>
    <row r="90" spans="6:9" ht="20.100000000000001" customHeight="1" x14ac:dyDescent="0.25">
      <c r="F90" s="15" t="str">
        <f t="shared" si="2"/>
        <v>D27</v>
      </c>
      <c r="G90" s="11">
        <v>27</v>
      </c>
      <c r="H90" s="11" t="s">
        <v>1979</v>
      </c>
      <c r="I90" s="11">
        <v>1</v>
      </c>
    </row>
    <row r="91" spans="6:9" ht="20.100000000000001" customHeight="1" x14ac:dyDescent="0.25">
      <c r="F91" s="15" t="str">
        <f t="shared" si="2"/>
        <v>D28</v>
      </c>
      <c r="G91" s="11">
        <v>28</v>
      </c>
      <c r="H91" s="11" t="s">
        <v>1979</v>
      </c>
      <c r="I91" s="11">
        <v>1</v>
      </c>
    </row>
    <row r="92" spans="6:9" ht="20.100000000000001" customHeight="1" x14ac:dyDescent="0.25">
      <c r="F92" s="15" t="str">
        <f t="shared" si="2"/>
        <v>D29</v>
      </c>
      <c r="G92" s="11">
        <v>29</v>
      </c>
      <c r="H92" s="11" t="s">
        <v>1979</v>
      </c>
      <c r="I92" s="11">
        <v>2</v>
      </c>
    </row>
    <row r="93" spans="6:9" ht="20.100000000000001" customHeight="1" x14ac:dyDescent="0.25">
      <c r="F93" s="15" t="str">
        <f t="shared" si="2"/>
        <v>D30</v>
      </c>
      <c r="G93" s="11">
        <v>30</v>
      </c>
      <c r="H93" s="11" t="s">
        <v>1979</v>
      </c>
      <c r="I93" s="11">
        <v>2</v>
      </c>
    </row>
    <row r="94" spans="6:9" ht="20.100000000000001" customHeight="1" x14ac:dyDescent="0.25">
      <c r="F94" s="15" t="str">
        <f t="shared" si="2"/>
        <v>D31</v>
      </c>
      <c r="G94" s="11">
        <v>31</v>
      </c>
      <c r="H94" s="11" t="s">
        <v>1979</v>
      </c>
      <c r="I94" s="11">
        <v>2</v>
      </c>
    </row>
    <row r="95" spans="6:9" ht="20.100000000000001" customHeight="1" x14ac:dyDescent="0.25">
      <c r="F95" s="15" t="str">
        <f t="shared" si="2"/>
        <v>D32</v>
      </c>
      <c r="G95" s="11">
        <v>32</v>
      </c>
      <c r="H95" s="11" t="s">
        <v>1979</v>
      </c>
      <c r="I95" s="11">
        <v>2</v>
      </c>
    </row>
    <row r="96" spans="6:9" ht="20.100000000000001" customHeight="1" x14ac:dyDescent="0.25">
      <c r="F96" s="15" t="str">
        <f t="shared" si="2"/>
        <v>E1</v>
      </c>
      <c r="G96" s="11">
        <v>1</v>
      </c>
      <c r="H96" s="11" t="s">
        <v>1985</v>
      </c>
      <c r="I96" s="11">
        <v>1</v>
      </c>
    </row>
    <row r="97" spans="6:9" ht="20.100000000000001" customHeight="1" x14ac:dyDescent="0.25">
      <c r="F97" s="15" t="str">
        <f t="shared" si="2"/>
        <v>E2</v>
      </c>
      <c r="G97" s="11">
        <v>2</v>
      </c>
      <c r="H97" s="11" t="s">
        <v>1985</v>
      </c>
      <c r="I97" s="11">
        <v>2</v>
      </c>
    </row>
    <row r="98" spans="6:9" ht="20.100000000000001" customHeight="1" x14ac:dyDescent="0.25">
      <c r="F98" s="15" t="str">
        <f t="shared" si="2"/>
        <v>E3</v>
      </c>
      <c r="G98" s="11">
        <v>3</v>
      </c>
      <c r="H98" s="11" t="s">
        <v>1985</v>
      </c>
      <c r="I98" s="11">
        <v>1</v>
      </c>
    </row>
    <row r="99" spans="6:9" ht="20.100000000000001" customHeight="1" x14ac:dyDescent="0.25">
      <c r="F99" s="15" t="str">
        <f t="shared" si="2"/>
        <v>E4</v>
      </c>
      <c r="G99" s="11">
        <v>4</v>
      </c>
      <c r="H99" s="11" t="s">
        <v>1985</v>
      </c>
      <c r="I99" s="11">
        <v>2</v>
      </c>
    </row>
    <row r="100" spans="6:9" ht="20.100000000000001" customHeight="1" x14ac:dyDescent="0.25">
      <c r="F100" s="15" t="str">
        <f t="shared" si="2"/>
        <v>E5</v>
      </c>
      <c r="G100" s="11">
        <v>5</v>
      </c>
      <c r="H100" s="11" t="s">
        <v>1985</v>
      </c>
      <c r="I100" s="11">
        <v>1</v>
      </c>
    </row>
    <row r="101" spans="6:9" ht="20.100000000000001" customHeight="1" x14ac:dyDescent="0.25">
      <c r="F101" s="15" t="str">
        <f t="shared" si="2"/>
        <v>E6</v>
      </c>
      <c r="G101" s="11">
        <v>6</v>
      </c>
      <c r="H101" s="11" t="s">
        <v>1985</v>
      </c>
      <c r="I101" s="11">
        <v>2</v>
      </c>
    </row>
    <row r="102" spans="6:9" ht="20.100000000000001" customHeight="1" x14ac:dyDescent="0.25">
      <c r="F102" s="15" t="str">
        <f t="shared" si="2"/>
        <v>E7</v>
      </c>
      <c r="G102" s="11">
        <v>7</v>
      </c>
      <c r="H102" s="11" t="s">
        <v>1985</v>
      </c>
      <c r="I102" s="11">
        <v>1</v>
      </c>
    </row>
    <row r="103" spans="6:9" ht="20.100000000000001" customHeight="1" x14ac:dyDescent="0.25">
      <c r="F103" s="15" t="str">
        <f t="shared" si="2"/>
        <v>E8</v>
      </c>
      <c r="G103" s="11">
        <v>8</v>
      </c>
      <c r="H103" s="11" t="s">
        <v>1985</v>
      </c>
      <c r="I103" s="11">
        <v>2</v>
      </c>
    </row>
    <row r="104" spans="6:9" ht="20.100000000000001" customHeight="1" x14ac:dyDescent="0.25">
      <c r="F104" s="15" t="str">
        <f t="shared" si="2"/>
        <v>E9</v>
      </c>
      <c r="G104" s="11">
        <v>9</v>
      </c>
      <c r="H104" s="11" t="s">
        <v>1985</v>
      </c>
      <c r="I104" s="11">
        <v>1</v>
      </c>
    </row>
    <row r="105" spans="6:9" ht="20.100000000000001" customHeight="1" x14ac:dyDescent="0.25">
      <c r="F105" s="15" t="str">
        <f t="shared" si="2"/>
        <v>E10</v>
      </c>
      <c r="G105" s="11">
        <v>10</v>
      </c>
      <c r="H105" s="11" t="s">
        <v>1985</v>
      </c>
      <c r="I105" s="11">
        <v>2</v>
      </c>
    </row>
    <row r="106" spans="6:9" ht="20.100000000000001" customHeight="1" x14ac:dyDescent="0.25">
      <c r="F106" s="15" t="str">
        <f t="shared" si="2"/>
        <v>E11</v>
      </c>
      <c r="G106" s="11">
        <v>11</v>
      </c>
      <c r="H106" s="11" t="s">
        <v>1985</v>
      </c>
      <c r="I106" s="11">
        <v>1</v>
      </c>
    </row>
    <row r="107" spans="6:9" ht="20.100000000000001" customHeight="1" x14ac:dyDescent="0.25">
      <c r="F107" s="15" t="str">
        <f t="shared" si="2"/>
        <v>E12</v>
      </c>
      <c r="G107" s="11">
        <v>12</v>
      </c>
      <c r="H107" s="11" t="s">
        <v>1985</v>
      </c>
      <c r="I107" s="11">
        <v>2</v>
      </c>
    </row>
    <row r="108" spans="6:9" ht="20.100000000000001" customHeight="1" x14ac:dyDescent="0.25">
      <c r="F108" s="15" t="str">
        <f t="shared" si="2"/>
        <v>E13</v>
      </c>
      <c r="G108" s="11">
        <v>13</v>
      </c>
      <c r="H108" s="11" t="s">
        <v>1985</v>
      </c>
      <c r="I108" s="11">
        <v>1</v>
      </c>
    </row>
    <row r="109" spans="6:9" ht="20.100000000000001" customHeight="1" x14ac:dyDescent="0.25">
      <c r="F109" s="15" t="str">
        <f t="shared" si="2"/>
        <v>E14</v>
      </c>
      <c r="G109" s="11">
        <v>14</v>
      </c>
      <c r="H109" s="11" t="s">
        <v>1985</v>
      </c>
      <c r="I109" s="11">
        <v>2</v>
      </c>
    </row>
    <row r="110" spans="6:9" ht="20.100000000000001" customHeight="1" x14ac:dyDescent="0.25">
      <c r="F110" s="15" t="str">
        <f t="shared" si="2"/>
        <v>E15</v>
      </c>
      <c r="G110" s="11">
        <v>15</v>
      </c>
      <c r="H110" s="11" t="s">
        <v>1985</v>
      </c>
      <c r="I110" s="11">
        <v>1</v>
      </c>
    </row>
    <row r="111" spans="6:9" ht="20.100000000000001" customHeight="1" x14ac:dyDescent="0.25">
      <c r="F111" s="15" t="str">
        <f t="shared" si="2"/>
        <v>E16</v>
      </c>
      <c r="G111" s="11">
        <v>16</v>
      </c>
      <c r="H111" s="11" t="s">
        <v>1985</v>
      </c>
      <c r="I111" s="11">
        <v>2</v>
      </c>
    </row>
    <row r="112" spans="6:9" ht="20.100000000000001" customHeight="1" x14ac:dyDescent="0.25">
      <c r="F112" s="15" t="str">
        <f t="shared" si="2"/>
        <v>E17</v>
      </c>
      <c r="G112" s="11">
        <v>17</v>
      </c>
      <c r="H112" s="11" t="s">
        <v>1985</v>
      </c>
      <c r="I112" s="11">
        <v>1</v>
      </c>
    </row>
    <row r="113" spans="6:9" ht="20.100000000000001" customHeight="1" x14ac:dyDescent="0.25">
      <c r="F113" s="15" t="str">
        <f t="shared" si="2"/>
        <v>F1</v>
      </c>
      <c r="G113" s="11">
        <v>1</v>
      </c>
      <c r="H113" s="11" t="s">
        <v>1989</v>
      </c>
      <c r="I113" s="11">
        <v>2</v>
      </c>
    </row>
    <row r="114" spans="6:9" ht="20.100000000000001" customHeight="1" x14ac:dyDescent="0.25">
      <c r="F114" s="15" t="str">
        <f t="shared" si="2"/>
        <v>F2</v>
      </c>
      <c r="G114" s="11">
        <v>2</v>
      </c>
      <c r="H114" s="11" t="s">
        <v>1989</v>
      </c>
      <c r="I114" s="11">
        <v>1</v>
      </c>
    </row>
    <row r="115" spans="6:9" ht="20.100000000000001" customHeight="1" x14ac:dyDescent="0.25">
      <c r="F115" s="15" t="str">
        <f t="shared" si="2"/>
        <v>F3</v>
      </c>
      <c r="G115" s="11">
        <v>3</v>
      </c>
      <c r="H115" s="11" t="s">
        <v>1989</v>
      </c>
      <c r="I115" s="11">
        <v>2</v>
      </c>
    </row>
    <row r="116" spans="6:9" ht="20.100000000000001" customHeight="1" x14ac:dyDescent="0.25">
      <c r="F116" s="15" t="str">
        <f t="shared" si="2"/>
        <v>F4</v>
      </c>
      <c r="G116" s="11">
        <v>4</v>
      </c>
      <c r="H116" s="11" t="s">
        <v>1989</v>
      </c>
      <c r="I116" s="11">
        <v>1</v>
      </c>
    </row>
    <row r="117" spans="6:9" ht="20.100000000000001" customHeight="1" x14ac:dyDescent="0.25">
      <c r="F117" s="15" t="str">
        <f t="shared" si="2"/>
        <v>F5</v>
      </c>
      <c r="G117" s="11">
        <v>5</v>
      </c>
      <c r="H117" s="11" t="s">
        <v>1989</v>
      </c>
      <c r="I117" s="11">
        <v>2</v>
      </c>
    </row>
    <row r="118" spans="6:9" ht="20.100000000000001" customHeight="1" x14ac:dyDescent="0.25">
      <c r="F118" s="15" t="str">
        <f t="shared" si="2"/>
        <v>F6</v>
      </c>
      <c r="G118" s="11">
        <v>6</v>
      </c>
      <c r="H118" s="11" t="s">
        <v>1989</v>
      </c>
      <c r="I118" s="11">
        <v>1</v>
      </c>
    </row>
    <row r="119" spans="6:9" ht="20.100000000000001" customHeight="1" x14ac:dyDescent="0.25">
      <c r="F119" s="15" t="str">
        <f t="shared" si="2"/>
        <v>F7</v>
      </c>
      <c r="G119" s="11">
        <v>7</v>
      </c>
      <c r="H119" s="11" t="s">
        <v>1989</v>
      </c>
      <c r="I119" s="11">
        <v>2</v>
      </c>
    </row>
    <row r="120" spans="6:9" ht="20.100000000000001" customHeight="1" x14ac:dyDescent="0.25">
      <c r="F120" s="15" t="str">
        <f t="shared" si="2"/>
        <v>F8</v>
      </c>
      <c r="G120" s="11">
        <v>8</v>
      </c>
      <c r="H120" s="11" t="s">
        <v>1989</v>
      </c>
      <c r="I120" s="11">
        <v>1</v>
      </c>
    </row>
    <row r="121" spans="6:9" ht="20.100000000000001" customHeight="1" x14ac:dyDescent="0.25">
      <c r="F121" s="15" t="str">
        <f t="shared" si="2"/>
        <v>F9</v>
      </c>
      <c r="G121" s="11">
        <v>9</v>
      </c>
      <c r="H121" s="11" t="s">
        <v>1989</v>
      </c>
      <c r="I121" s="11">
        <v>2</v>
      </c>
    </row>
    <row r="122" spans="6:9" ht="20.100000000000001" customHeight="1" x14ac:dyDescent="0.25">
      <c r="F122" s="15" t="str">
        <f t="shared" si="2"/>
        <v>F10</v>
      </c>
      <c r="G122" s="11">
        <v>10</v>
      </c>
      <c r="H122" s="11" t="s">
        <v>1989</v>
      </c>
      <c r="I122" s="11">
        <v>1</v>
      </c>
    </row>
    <row r="123" spans="6:9" ht="20.100000000000001" customHeight="1" x14ac:dyDescent="0.25">
      <c r="F123" s="15" t="str">
        <f t="shared" si="2"/>
        <v>F11</v>
      </c>
      <c r="G123" s="11">
        <v>11</v>
      </c>
      <c r="H123" s="11" t="s">
        <v>1989</v>
      </c>
      <c r="I123" s="11">
        <v>2</v>
      </c>
    </row>
    <row r="124" spans="6:9" ht="20.100000000000001" customHeight="1" x14ac:dyDescent="0.25">
      <c r="F124" s="15" t="str">
        <f t="shared" si="2"/>
        <v>F12</v>
      </c>
      <c r="G124" s="11">
        <v>12</v>
      </c>
      <c r="H124" s="11" t="s">
        <v>1989</v>
      </c>
      <c r="I124" s="11">
        <v>1</v>
      </c>
    </row>
    <row r="125" spans="6:9" ht="20.100000000000001" customHeight="1" x14ac:dyDescent="0.25">
      <c r="F125" s="15" t="str">
        <f t="shared" si="2"/>
        <v>F13</v>
      </c>
      <c r="G125" s="11">
        <v>13</v>
      </c>
      <c r="H125" s="11" t="s">
        <v>1989</v>
      </c>
      <c r="I125" s="11">
        <v>2</v>
      </c>
    </row>
    <row r="126" spans="6:9" ht="20.100000000000001" customHeight="1" x14ac:dyDescent="0.25">
      <c r="F126" s="15" t="str">
        <f t="shared" si="2"/>
        <v>F14</v>
      </c>
      <c r="G126" s="11">
        <v>14</v>
      </c>
      <c r="H126" s="11" t="s">
        <v>1989</v>
      </c>
      <c r="I126" s="11">
        <v>1</v>
      </c>
    </row>
    <row r="127" spans="6:9" ht="20.100000000000001" customHeight="1" x14ac:dyDescent="0.25">
      <c r="F127" s="15" t="str">
        <f t="shared" si="2"/>
        <v>G1</v>
      </c>
      <c r="G127" s="11">
        <v>1</v>
      </c>
      <c r="H127" s="11" t="s">
        <v>1992</v>
      </c>
      <c r="I127" s="11">
        <v>1</v>
      </c>
    </row>
    <row r="128" spans="6:9" ht="20.100000000000001" customHeight="1" x14ac:dyDescent="0.25">
      <c r="F128" s="15" t="str">
        <f t="shared" si="2"/>
        <v>G2</v>
      </c>
      <c r="G128" s="11">
        <v>2</v>
      </c>
      <c r="H128" s="11" t="s">
        <v>1992</v>
      </c>
      <c r="I128" s="11">
        <v>2</v>
      </c>
    </row>
    <row r="129" spans="6:9" ht="20.100000000000001" customHeight="1" x14ac:dyDescent="0.25">
      <c r="F129" s="15" t="str">
        <f t="shared" si="2"/>
        <v>G3</v>
      </c>
      <c r="G129" s="11">
        <v>3</v>
      </c>
      <c r="H129" s="11" t="s">
        <v>1992</v>
      </c>
      <c r="I129" s="11">
        <v>2</v>
      </c>
    </row>
    <row r="130" spans="6:9" ht="20.100000000000001" customHeight="1" x14ac:dyDescent="0.25">
      <c r="F130" s="15" t="str">
        <f t="shared" ref="F130:F193" si="3">CONCATENATE(H130,G130)</f>
        <v>G4</v>
      </c>
      <c r="G130" s="11">
        <v>4</v>
      </c>
      <c r="H130" s="11" t="s">
        <v>1992</v>
      </c>
      <c r="I130" s="11">
        <v>1</v>
      </c>
    </row>
    <row r="131" spans="6:9" ht="20.100000000000001" customHeight="1" x14ac:dyDescent="0.25">
      <c r="F131" s="15" t="str">
        <f t="shared" si="3"/>
        <v>G5</v>
      </c>
      <c r="G131" s="11">
        <v>5</v>
      </c>
      <c r="H131" s="11" t="s">
        <v>1992</v>
      </c>
      <c r="I131" s="11">
        <v>1</v>
      </c>
    </row>
    <row r="132" spans="6:9" ht="20.100000000000001" customHeight="1" x14ac:dyDescent="0.25">
      <c r="F132" s="15" t="str">
        <f t="shared" si="3"/>
        <v>G6</v>
      </c>
      <c r="G132" s="11">
        <v>6</v>
      </c>
      <c r="H132" s="11" t="s">
        <v>1992</v>
      </c>
      <c r="I132" s="11">
        <v>1</v>
      </c>
    </row>
    <row r="133" spans="6:9" ht="20.100000000000001" customHeight="1" x14ac:dyDescent="0.25">
      <c r="F133" s="15" t="str">
        <f t="shared" si="3"/>
        <v>G7</v>
      </c>
      <c r="G133" s="11">
        <v>7</v>
      </c>
      <c r="H133" s="11" t="s">
        <v>1992</v>
      </c>
      <c r="I133" s="11">
        <v>1</v>
      </c>
    </row>
    <row r="134" spans="6:9" ht="20.100000000000001" customHeight="1" x14ac:dyDescent="0.25">
      <c r="F134" s="15" t="str">
        <f t="shared" si="3"/>
        <v>G8</v>
      </c>
      <c r="G134" s="11">
        <v>8</v>
      </c>
      <c r="H134" s="11" t="s">
        <v>1992</v>
      </c>
      <c r="I134" s="11">
        <v>1</v>
      </c>
    </row>
    <row r="135" spans="6:9" ht="20.100000000000001" customHeight="1" x14ac:dyDescent="0.25">
      <c r="F135" s="15" t="str">
        <f t="shared" si="3"/>
        <v>G9</v>
      </c>
      <c r="G135" s="11">
        <v>9</v>
      </c>
      <c r="H135" s="11" t="s">
        <v>1992</v>
      </c>
      <c r="I135" s="11">
        <v>1</v>
      </c>
    </row>
    <row r="136" spans="6:9" ht="20.100000000000001" customHeight="1" x14ac:dyDescent="0.25">
      <c r="F136" s="15" t="str">
        <f t="shared" si="3"/>
        <v>G10</v>
      </c>
      <c r="G136" s="11">
        <v>10</v>
      </c>
      <c r="H136" s="11" t="s">
        <v>1992</v>
      </c>
      <c r="I136" s="11">
        <v>1</v>
      </c>
    </row>
    <row r="137" spans="6:9" ht="20.100000000000001" customHeight="1" x14ac:dyDescent="0.25">
      <c r="F137" s="15" t="str">
        <f t="shared" si="3"/>
        <v>G11</v>
      </c>
      <c r="G137" s="11">
        <v>11</v>
      </c>
      <c r="H137" s="11" t="s">
        <v>1992</v>
      </c>
      <c r="I137" s="11">
        <v>1</v>
      </c>
    </row>
    <row r="138" spans="6:9" ht="20.100000000000001" customHeight="1" x14ac:dyDescent="0.25">
      <c r="F138" s="15" t="str">
        <f t="shared" si="3"/>
        <v>G12</v>
      </c>
      <c r="G138" s="11">
        <v>12</v>
      </c>
      <c r="H138" s="11" t="s">
        <v>1992</v>
      </c>
      <c r="I138" s="11">
        <v>1</v>
      </c>
    </row>
    <row r="139" spans="6:9" ht="20.100000000000001" customHeight="1" x14ac:dyDescent="0.25">
      <c r="F139" s="15" t="str">
        <f t="shared" si="3"/>
        <v>G13</v>
      </c>
      <c r="G139" s="11">
        <v>13</v>
      </c>
      <c r="H139" s="11" t="s">
        <v>1992</v>
      </c>
      <c r="I139" s="11">
        <v>1</v>
      </c>
    </row>
    <row r="140" spans="6:9" ht="20.100000000000001" customHeight="1" x14ac:dyDescent="0.25">
      <c r="F140" s="15" t="str">
        <f t="shared" si="3"/>
        <v>G14</v>
      </c>
      <c r="G140" s="11">
        <v>14</v>
      </c>
      <c r="H140" s="11" t="s">
        <v>1992</v>
      </c>
      <c r="I140" s="11">
        <v>2</v>
      </c>
    </row>
    <row r="141" spans="6:9" ht="20.100000000000001" customHeight="1" x14ac:dyDescent="0.25">
      <c r="F141" s="15" t="str">
        <f t="shared" si="3"/>
        <v>G15</v>
      </c>
      <c r="G141" s="11">
        <v>15</v>
      </c>
      <c r="H141" s="11" t="s">
        <v>1992</v>
      </c>
      <c r="I141" s="11">
        <v>2</v>
      </c>
    </row>
    <row r="142" spans="6:9" ht="20.100000000000001" customHeight="1" x14ac:dyDescent="0.25">
      <c r="F142" s="15" t="str">
        <f t="shared" si="3"/>
        <v>H1</v>
      </c>
      <c r="G142" s="11">
        <v>1</v>
      </c>
      <c r="H142" s="11" t="s">
        <v>1995</v>
      </c>
      <c r="I142" s="11">
        <v>1</v>
      </c>
    </row>
    <row r="143" spans="6:9" ht="20.100000000000001" customHeight="1" x14ac:dyDescent="0.25">
      <c r="F143" s="15" t="str">
        <f t="shared" si="3"/>
        <v>H2</v>
      </c>
      <c r="G143" s="11">
        <v>2</v>
      </c>
      <c r="H143" s="11" t="s">
        <v>1995</v>
      </c>
      <c r="I143" s="11">
        <v>2</v>
      </c>
    </row>
    <row r="144" spans="6:9" ht="20.100000000000001" customHeight="1" x14ac:dyDescent="0.25">
      <c r="F144" s="15" t="str">
        <f t="shared" si="3"/>
        <v>H3</v>
      </c>
      <c r="G144" s="11">
        <v>3</v>
      </c>
      <c r="H144" s="11" t="s">
        <v>1995</v>
      </c>
      <c r="I144" s="11">
        <v>1</v>
      </c>
    </row>
    <row r="145" spans="6:9" ht="20.100000000000001" customHeight="1" x14ac:dyDescent="0.25">
      <c r="F145" s="15" t="str">
        <f t="shared" si="3"/>
        <v>H4</v>
      </c>
      <c r="G145" s="11">
        <v>4</v>
      </c>
      <c r="H145" s="11" t="s">
        <v>1995</v>
      </c>
      <c r="I145" s="11">
        <v>2</v>
      </c>
    </row>
    <row r="146" spans="6:9" ht="20.100000000000001" customHeight="1" x14ac:dyDescent="0.25">
      <c r="F146" s="15" t="str">
        <f t="shared" si="3"/>
        <v>H5</v>
      </c>
      <c r="G146" s="11">
        <v>5</v>
      </c>
      <c r="H146" s="11" t="s">
        <v>1995</v>
      </c>
      <c r="I146" s="11">
        <v>1</v>
      </c>
    </row>
    <row r="147" spans="6:9" ht="20.100000000000001" customHeight="1" x14ac:dyDescent="0.25">
      <c r="F147" s="15" t="str">
        <f t="shared" si="3"/>
        <v>H6</v>
      </c>
      <c r="G147" s="11">
        <v>6</v>
      </c>
      <c r="H147" s="11" t="s">
        <v>1995</v>
      </c>
      <c r="I147" s="11">
        <v>2</v>
      </c>
    </row>
    <row r="148" spans="6:9" ht="20.100000000000001" customHeight="1" x14ac:dyDescent="0.25">
      <c r="F148" s="15" t="str">
        <f t="shared" si="3"/>
        <v>H7</v>
      </c>
      <c r="G148" s="11">
        <v>7</v>
      </c>
      <c r="H148" s="11" t="s">
        <v>1995</v>
      </c>
      <c r="I148" s="11">
        <v>1</v>
      </c>
    </row>
    <row r="149" spans="6:9" ht="20.100000000000001" customHeight="1" x14ac:dyDescent="0.25">
      <c r="F149" s="15" t="str">
        <f t="shared" si="3"/>
        <v>H8</v>
      </c>
      <c r="G149" s="11">
        <v>8</v>
      </c>
      <c r="H149" s="11" t="s">
        <v>1995</v>
      </c>
      <c r="I149" s="11">
        <v>2</v>
      </c>
    </row>
    <row r="150" spans="6:9" ht="20.100000000000001" customHeight="1" x14ac:dyDescent="0.25">
      <c r="F150" s="15" t="str">
        <f t="shared" si="3"/>
        <v>H9</v>
      </c>
      <c r="G150" s="11">
        <v>9</v>
      </c>
      <c r="H150" s="11" t="s">
        <v>1995</v>
      </c>
      <c r="I150" s="11">
        <v>1</v>
      </c>
    </row>
    <row r="151" spans="6:9" ht="20.100000000000001" customHeight="1" x14ac:dyDescent="0.25">
      <c r="F151" s="15" t="str">
        <f t="shared" si="3"/>
        <v>H10</v>
      </c>
      <c r="G151" s="11">
        <v>10</v>
      </c>
      <c r="H151" s="11" t="s">
        <v>1995</v>
      </c>
      <c r="I151" s="11">
        <v>2</v>
      </c>
    </row>
    <row r="152" spans="6:9" ht="20.100000000000001" customHeight="1" x14ac:dyDescent="0.25">
      <c r="F152" s="15" t="str">
        <f t="shared" si="3"/>
        <v>H11</v>
      </c>
      <c r="G152" s="11">
        <v>11</v>
      </c>
      <c r="H152" s="11" t="s">
        <v>1995</v>
      </c>
      <c r="I152" s="11">
        <v>1</v>
      </c>
    </row>
    <row r="153" spans="6:9" ht="20.100000000000001" customHeight="1" x14ac:dyDescent="0.25">
      <c r="F153" s="15" t="str">
        <f t="shared" si="3"/>
        <v>H12</v>
      </c>
      <c r="G153" s="11">
        <v>12</v>
      </c>
      <c r="H153" s="11" t="s">
        <v>1995</v>
      </c>
      <c r="I153" s="11">
        <v>2</v>
      </c>
    </row>
    <row r="154" spans="6:9" ht="20.100000000000001" customHeight="1" x14ac:dyDescent="0.25">
      <c r="F154" s="15" t="str">
        <f t="shared" si="3"/>
        <v>H13</v>
      </c>
      <c r="G154" s="11">
        <v>13</v>
      </c>
      <c r="H154" s="11" t="s">
        <v>1995</v>
      </c>
      <c r="I154" s="11">
        <v>1</v>
      </c>
    </row>
    <row r="155" spans="6:9" ht="20.100000000000001" customHeight="1" x14ac:dyDescent="0.25">
      <c r="F155" s="15" t="str">
        <f t="shared" si="3"/>
        <v>H14</v>
      </c>
      <c r="G155" s="11">
        <v>14</v>
      </c>
      <c r="H155" s="11" t="s">
        <v>1995</v>
      </c>
      <c r="I155" s="11">
        <v>2</v>
      </c>
    </row>
    <row r="156" spans="6:9" ht="20.100000000000001" customHeight="1" x14ac:dyDescent="0.25">
      <c r="F156" s="15" t="str">
        <f t="shared" si="3"/>
        <v>H15</v>
      </c>
      <c r="G156" s="11">
        <v>15</v>
      </c>
      <c r="H156" s="11" t="s">
        <v>1995</v>
      </c>
      <c r="I156" s="11">
        <v>1</v>
      </c>
    </row>
    <row r="157" spans="6:9" ht="20.100000000000001" customHeight="1" x14ac:dyDescent="0.25">
      <c r="F157" s="15" t="str">
        <f t="shared" si="3"/>
        <v>H16</v>
      </c>
      <c r="G157" s="11">
        <v>16</v>
      </c>
      <c r="H157" s="11" t="s">
        <v>1995</v>
      </c>
      <c r="I157" s="11">
        <v>2</v>
      </c>
    </row>
    <row r="158" spans="6:9" ht="20.100000000000001" customHeight="1" x14ac:dyDescent="0.25">
      <c r="F158" s="15" t="str">
        <f t="shared" si="3"/>
        <v>H17</v>
      </c>
      <c r="G158" s="11">
        <v>17</v>
      </c>
      <c r="H158" s="11" t="s">
        <v>1995</v>
      </c>
      <c r="I158" s="11">
        <v>1</v>
      </c>
    </row>
    <row r="159" spans="6:9" ht="20.100000000000001" customHeight="1" x14ac:dyDescent="0.25">
      <c r="F159" s="15" t="str">
        <f t="shared" si="3"/>
        <v>I1</v>
      </c>
      <c r="G159" s="11">
        <v>1</v>
      </c>
      <c r="H159" s="11" t="s">
        <v>1999</v>
      </c>
      <c r="I159" s="11">
        <v>2</v>
      </c>
    </row>
    <row r="160" spans="6:9" ht="20.100000000000001" customHeight="1" x14ac:dyDescent="0.25">
      <c r="F160" s="15" t="str">
        <f t="shared" si="3"/>
        <v>I2</v>
      </c>
      <c r="G160" s="11">
        <v>2</v>
      </c>
      <c r="H160" s="11" t="s">
        <v>1999</v>
      </c>
      <c r="I160" s="11">
        <v>1</v>
      </c>
    </row>
    <row r="161" spans="6:9" ht="20.100000000000001" customHeight="1" x14ac:dyDescent="0.25">
      <c r="F161" s="15" t="str">
        <f t="shared" si="3"/>
        <v>I3</v>
      </c>
      <c r="G161" s="11">
        <v>3</v>
      </c>
      <c r="H161" s="11" t="s">
        <v>1999</v>
      </c>
      <c r="I161" s="11">
        <v>2</v>
      </c>
    </row>
    <row r="162" spans="6:9" ht="20.100000000000001" customHeight="1" x14ac:dyDescent="0.25">
      <c r="F162" s="15" t="str">
        <f t="shared" si="3"/>
        <v>I4</v>
      </c>
      <c r="G162" s="11">
        <v>4</v>
      </c>
      <c r="H162" s="11" t="s">
        <v>1999</v>
      </c>
      <c r="I162" s="11">
        <v>1</v>
      </c>
    </row>
    <row r="163" spans="6:9" ht="20.100000000000001" customHeight="1" x14ac:dyDescent="0.25">
      <c r="F163" s="15" t="str">
        <f t="shared" si="3"/>
        <v>I5</v>
      </c>
      <c r="G163" s="11">
        <v>5</v>
      </c>
      <c r="H163" s="11" t="s">
        <v>1999</v>
      </c>
      <c r="I163" s="11">
        <v>2</v>
      </c>
    </row>
    <row r="164" spans="6:9" ht="20.100000000000001" customHeight="1" x14ac:dyDescent="0.25">
      <c r="F164" s="15" t="str">
        <f t="shared" si="3"/>
        <v>I6</v>
      </c>
      <c r="G164" s="11">
        <v>6</v>
      </c>
      <c r="H164" s="11" t="s">
        <v>1999</v>
      </c>
      <c r="I164" s="11">
        <v>1</v>
      </c>
    </row>
    <row r="165" spans="6:9" ht="20.100000000000001" customHeight="1" x14ac:dyDescent="0.25">
      <c r="F165" s="15" t="str">
        <f t="shared" si="3"/>
        <v>I7</v>
      </c>
      <c r="G165" s="11">
        <v>7</v>
      </c>
      <c r="H165" s="11" t="s">
        <v>1999</v>
      </c>
      <c r="I165" s="11">
        <v>2</v>
      </c>
    </row>
    <row r="166" spans="6:9" ht="20.100000000000001" customHeight="1" x14ac:dyDescent="0.25">
      <c r="F166" s="15" t="str">
        <f t="shared" si="3"/>
        <v>I8</v>
      </c>
      <c r="G166" s="11">
        <v>8</v>
      </c>
      <c r="H166" s="11" t="s">
        <v>1999</v>
      </c>
      <c r="I166" s="11">
        <v>1</v>
      </c>
    </row>
    <row r="167" spans="6:9" ht="20.100000000000001" customHeight="1" x14ac:dyDescent="0.25">
      <c r="F167" s="15" t="str">
        <f t="shared" si="3"/>
        <v>I9</v>
      </c>
      <c r="G167" s="11">
        <v>9</v>
      </c>
      <c r="H167" s="11" t="s">
        <v>1999</v>
      </c>
      <c r="I167" s="11">
        <v>2</v>
      </c>
    </row>
    <row r="168" spans="6:9" ht="20.100000000000001" customHeight="1" x14ac:dyDescent="0.25">
      <c r="F168" s="15" t="str">
        <f t="shared" si="3"/>
        <v>I10</v>
      </c>
      <c r="G168" s="11">
        <v>10</v>
      </c>
      <c r="H168" s="11" t="s">
        <v>1999</v>
      </c>
      <c r="I168" s="11">
        <v>1</v>
      </c>
    </row>
    <row r="169" spans="6:9" ht="20.100000000000001" customHeight="1" x14ac:dyDescent="0.25">
      <c r="F169" s="15" t="str">
        <f t="shared" si="3"/>
        <v>I11</v>
      </c>
      <c r="G169" s="11">
        <v>11</v>
      </c>
      <c r="H169" s="11" t="s">
        <v>1999</v>
      </c>
      <c r="I169" s="11">
        <v>2</v>
      </c>
    </row>
    <row r="170" spans="6:9" ht="20.100000000000001" customHeight="1" x14ac:dyDescent="0.25">
      <c r="F170" s="15" t="str">
        <f t="shared" si="3"/>
        <v>I12</v>
      </c>
      <c r="G170" s="11">
        <v>12</v>
      </c>
      <c r="H170" s="11" t="s">
        <v>1999</v>
      </c>
      <c r="I170" s="11">
        <v>1</v>
      </c>
    </row>
    <row r="171" spans="6:9" ht="20.100000000000001" customHeight="1" x14ac:dyDescent="0.25">
      <c r="F171" s="15" t="str">
        <f t="shared" si="3"/>
        <v>I13</v>
      </c>
      <c r="G171" s="11">
        <v>13</v>
      </c>
      <c r="H171" s="11" t="s">
        <v>1999</v>
      </c>
      <c r="I171" s="11">
        <v>2</v>
      </c>
    </row>
    <row r="172" spans="6:9" ht="20.100000000000001" customHeight="1" x14ac:dyDescent="0.25">
      <c r="F172" s="15" t="str">
        <f t="shared" si="3"/>
        <v>I14</v>
      </c>
      <c r="G172" s="11">
        <v>14</v>
      </c>
      <c r="H172" s="11" t="s">
        <v>1999</v>
      </c>
      <c r="I172" s="11">
        <v>1</v>
      </c>
    </row>
    <row r="173" spans="6:9" ht="20.100000000000001" customHeight="1" x14ac:dyDescent="0.25">
      <c r="F173" s="15" t="str">
        <f t="shared" si="3"/>
        <v>J1</v>
      </c>
      <c r="G173" s="11">
        <v>1</v>
      </c>
      <c r="H173" s="11" t="s">
        <v>2002</v>
      </c>
      <c r="I173" s="11">
        <v>2</v>
      </c>
    </row>
    <row r="174" spans="6:9" ht="20.100000000000001" customHeight="1" x14ac:dyDescent="0.25">
      <c r="F174" s="15" t="str">
        <f t="shared" si="3"/>
        <v>J2</v>
      </c>
      <c r="G174" s="11">
        <v>2</v>
      </c>
      <c r="H174" s="11" t="s">
        <v>2002</v>
      </c>
      <c r="I174" s="11">
        <v>2</v>
      </c>
    </row>
    <row r="175" spans="6:9" ht="20.100000000000001" customHeight="1" x14ac:dyDescent="0.25">
      <c r="F175" s="15" t="str">
        <f t="shared" si="3"/>
        <v>J3</v>
      </c>
      <c r="G175" s="11">
        <v>3</v>
      </c>
      <c r="H175" s="11" t="s">
        <v>2002</v>
      </c>
      <c r="I175" s="11">
        <v>2</v>
      </c>
    </row>
    <row r="176" spans="6:9" ht="20.100000000000001" customHeight="1" x14ac:dyDescent="0.25">
      <c r="F176" s="15" t="str">
        <f t="shared" si="3"/>
        <v>J4</v>
      </c>
      <c r="G176" s="11">
        <v>4</v>
      </c>
      <c r="H176" s="11" t="s">
        <v>2002</v>
      </c>
      <c r="I176" s="11">
        <v>2</v>
      </c>
    </row>
    <row r="177" spans="6:9" ht="20.100000000000001" customHeight="1" x14ac:dyDescent="0.25">
      <c r="F177" s="15" t="str">
        <f t="shared" si="3"/>
        <v>J5</v>
      </c>
      <c r="G177" s="11">
        <v>5</v>
      </c>
      <c r="H177" s="11" t="s">
        <v>2002</v>
      </c>
      <c r="I177" s="11">
        <v>2</v>
      </c>
    </row>
    <row r="178" spans="6:9" ht="20.100000000000001" customHeight="1" x14ac:dyDescent="0.25">
      <c r="F178" s="15" t="str">
        <f t="shared" si="3"/>
        <v>J6</v>
      </c>
      <c r="G178" s="11">
        <v>6</v>
      </c>
      <c r="H178" s="11" t="s">
        <v>2002</v>
      </c>
      <c r="I178" s="11">
        <v>1</v>
      </c>
    </row>
    <row r="179" spans="6:9" ht="20.100000000000001" customHeight="1" x14ac:dyDescent="0.25">
      <c r="F179" s="15" t="str">
        <f t="shared" si="3"/>
        <v>J7</v>
      </c>
      <c r="G179" s="11">
        <v>7</v>
      </c>
      <c r="H179" s="11" t="s">
        <v>2002</v>
      </c>
      <c r="I179" s="11">
        <v>2</v>
      </c>
    </row>
    <row r="180" spans="6:9" ht="20.100000000000001" customHeight="1" x14ac:dyDescent="0.25">
      <c r="F180" s="15" t="str">
        <f t="shared" si="3"/>
        <v>J8</v>
      </c>
      <c r="G180" s="11">
        <v>8</v>
      </c>
      <c r="H180" s="11" t="s">
        <v>2002</v>
      </c>
      <c r="I180" s="11">
        <v>1</v>
      </c>
    </row>
    <row r="181" spans="6:9" ht="20.100000000000001" customHeight="1" x14ac:dyDescent="0.25">
      <c r="F181" s="15" t="str">
        <f t="shared" si="3"/>
        <v>J9</v>
      </c>
      <c r="G181" s="11">
        <v>9</v>
      </c>
      <c r="H181" s="11" t="s">
        <v>2002</v>
      </c>
      <c r="I181" s="11">
        <v>2</v>
      </c>
    </row>
    <row r="182" spans="6:9" ht="20.100000000000001" customHeight="1" x14ac:dyDescent="0.25">
      <c r="F182" s="15" t="str">
        <f t="shared" si="3"/>
        <v>J10</v>
      </c>
      <c r="G182" s="11">
        <v>10</v>
      </c>
      <c r="H182" s="11" t="s">
        <v>2002</v>
      </c>
      <c r="I182" s="11">
        <v>1</v>
      </c>
    </row>
    <row r="183" spans="6:9" ht="20.100000000000001" customHeight="1" x14ac:dyDescent="0.25">
      <c r="F183" s="15" t="str">
        <f t="shared" si="3"/>
        <v>J11</v>
      </c>
      <c r="G183" s="11">
        <v>11</v>
      </c>
      <c r="H183" s="11" t="s">
        <v>2002</v>
      </c>
      <c r="I183" s="11">
        <v>2</v>
      </c>
    </row>
    <row r="184" spans="6:9" ht="20.100000000000001" customHeight="1" x14ac:dyDescent="0.25">
      <c r="F184" s="15" t="str">
        <f t="shared" si="3"/>
        <v>J12</v>
      </c>
      <c r="G184" s="11">
        <v>12</v>
      </c>
      <c r="H184" s="11" t="s">
        <v>2002</v>
      </c>
      <c r="I184" s="11">
        <v>2</v>
      </c>
    </row>
    <row r="185" spans="6:9" ht="20.100000000000001" customHeight="1" x14ac:dyDescent="0.25">
      <c r="F185" s="15" t="str">
        <f t="shared" si="3"/>
        <v>J13</v>
      </c>
      <c r="G185" s="11">
        <v>13</v>
      </c>
      <c r="H185" s="11" t="s">
        <v>2002</v>
      </c>
      <c r="I185" s="11">
        <v>2</v>
      </c>
    </row>
    <row r="186" spans="6:9" ht="20.100000000000001" customHeight="1" x14ac:dyDescent="0.25">
      <c r="F186" s="15" t="str">
        <f t="shared" si="3"/>
        <v>J14</v>
      </c>
      <c r="G186" s="11">
        <v>14</v>
      </c>
      <c r="H186" s="11" t="s">
        <v>2002</v>
      </c>
      <c r="I186" s="11">
        <v>2</v>
      </c>
    </row>
    <row r="187" spans="6:9" ht="20.100000000000001" customHeight="1" x14ac:dyDescent="0.25">
      <c r="F187" s="15" t="str">
        <f t="shared" si="3"/>
        <v>K1</v>
      </c>
      <c r="G187" s="11">
        <v>1</v>
      </c>
      <c r="H187" s="11" t="s">
        <v>2005</v>
      </c>
      <c r="I187" s="11">
        <v>2</v>
      </c>
    </row>
    <row r="188" spans="6:9" ht="20.100000000000001" customHeight="1" x14ac:dyDescent="0.25">
      <c r="F188" s="15" t="str">
        <f t="shared" si="3"/>
        <v>K2</v>
      </c>
      <c r="G188" s="11">
        <v>2</v>
      </c>
      <c r="H188" s="11" t="s">
        <v>2005</v>
      </c>
      <c r="I188" s="11">
        <v>2</v>
      </c>
    </row>
    <row r="189" spans="6:9" ht="20.100000000000001" customHeight="1" x14ac:dyDescent="0.25">
      <c r="F189" s="15" t="str">
        <f t="shared" si="3"/>
        <v>K3</v>
      </c>
      <c r="G189" s="11">
        <v>3</v>
      </c>
      <c r="H189" s="11" t="s">
        <v>2005</v>
      </c>
      <c r="I189" s="11">
        <v>2</v>
      </c>
    </row>
    <row r="190" spans="6:9" ht="20.100000000000001" customHeight="1" x14ac:dyDescent="0.25">
      <c r="F190" s="15" t="str">
        <f t="shared" si="3"/>
        <v>K4</v>
      </c>
      <c r="G190" s="11">
        <v>4</v>
      </c>
      <c r="H190" s="11" t="s">
        <v>2005</v>
      </c>
      <c r="I190" s="11">
        <v>1</v>
      </c>
    </row>
    <row r="191" spans="6:9" ht="20.100000000000001" customHeight="1" x14ac:dyDescent="0.25">
      <c r="F191" s="15" t="str">
        <f t="shared" si="3"/>
        <v>K5</v>
      </c>
      <c r="G191" s="11">
        <v>5</v>
      </c>
      <c r="H191" s="11" t="s">
        <v>2005</v>
      </c>
      <c r="I191" s="11">
        <v>2</v>
      </c>
    </row>
    <row r="192" spans="6:9" ht="20.100000000000001" customHeight="1" x14ac:dyDescent="0.25">
      <c r="F192" s="15" t="str">
        <f t="shared" si="3"/>
        <v>K6</v>
      </c>
      <c r="G192" s="11">
        <v>6</v>
      </c>
      <c r="H192" s="11" t="s">
        <v>2005</v>
      </c>
      <c r="I192" s="11">
        <v>1</v>
      </c>
    </row>
    <row r="193" spans="6:9" ht="20.100000000000001" customHeight="1" x14ac:dyDescent="0.25">
      <c r="F193" s="15" t="str">
        <f t="shared" si="3"/>
        <v>K7</v>
      </c>
      <c r="G193" s="11">
        <v>7</v>
      </c>
      <c r="H193" s="11" t="s">
        <v>2005</v>
      </c>
      <c r="I193" s="11">
        <v>2</v>
      </c>
    </row>
    <row r="194" spans="6:9" ht="20.100000000000001" customHeight="1" x14ac:dyDescent="0.25">
      <c r="F194" s="15" t="str">
        <f t="shared" ref="F194:F257" si="4">CONCATENATE(H194,G194)</f>
        <v>K8</v>
      </c>
      <c r="G194" s="11">
        <v>8</v>
      </c>
      <c r="H194" s="11" t="s">
        <v>2005</v>
      </c>
      <c r="I194" s="11">
        <v>1</v>
      </c>
    </row>
    <row r="195" spans="6:9" ht="20.100000000000001" customHeight="1" x14ac:dyDescent="0.25">
      <c r="F195" s="15" t="str">
        <f t="shared" si="4"/>
        <v>K9</v>
      </c>
      <c r="G195" s="11">
        <v>9</v>
      </c>
      <c r="H195" s="11" t="s">
        <v>2005</v>
      </c>
      <c r="I195" s="11">
        <v>2</v>
      </c>
    </row>
    <row r="196" spans="6:9" ht="20.100000000000001" customHeight="1" x14ac:dyDescent="0.25">
      <c r="F196" s="15" t="str">
        <f t="shared" si="4"/>
        <v>K10</v>
      </c>
      <c r="G196" s="11">
        <v>10</v>
      </c>
      <c r="H196" s="11" t="s">
        <v>2005</v>
      </c>
      <c r="I196" s="11">
        <v>1</v>
      </c>
    </row>
    <row r="197" spans="6:9" ht="20.100000000000001" customHeight="1" x14ac:dyDescent="0.25">
      <c r="F197" s="15" t="str">
        <f t="shared" si="4"/>
        <v>K11</v>
      </c>
      <c r="G197" s="11">
        <v>11</v>
      </c>
      <c r="H197" s="11" t="s">
        <v>2005</v>
      </c>
      <c r="I197" s="11">
        <v>2</v>
      </c>
    </row>
    <row r="198" spans="6:9" ht="20.100000000000001" customHeight="1" x14ac:dyDescent="0.25">
      <c r="F198" s="15" t="str">
        <f t="shared" si="4"/>
        <v>K12</v>
      </c>
      <c r="G198" s="11">
        <v>12</v>
      </c>
      <c r="H198" s="11" t="s">
        <v>2005</v>
      </c>
      <c r="I198" s="11">
        <v>1</v>
      </c>
    </row>
    <row r="199" spans="6:9" ht="20.100000000000001" customHeight="1" x14ac:dyDescent="0.25">
      <c r="F199" s="15" t="str">
        <f t="shared" si="4"/>
        <v>K13</v>
      </c>
      <c r="G199" s="11">
        <v>13</v>
      </c>
      <c r="H199" s="11" t="s">
        <v>2005</v>
      </c>
      <c r="I199" s="11">
        <v>2</v>
      </c>
    </row>
    <row r="200" spans="6:9" ht="20.100000000000001" customHeight="1" x14ac:dyDescent="0.25">
      <c r="F200" s="15" t="str">
        <f t="shared" si="4"/>
        <v>K14</v>
      </c>
      <c r="G200" s="11">
        <v>14</v>
      </c>
      <c r="H200" s="11" t="s">
        <v>2005</v>
      </c>
      <c r="I200" s="11">
        <v>1</v>
      </c>
    </row>
    <row r="201" spans="6:9" ht="20.100000000000001" customHeight="1" x14ac:dyDescent="0.25">
      <c r="F201" s="15" t="str">
        <f t="shared" si="4"/>
        <v>K15</v>
      </c>
      <c r="G201" s="11">
        <v>15</v>
      </c>
      <c r="H201" s="11" t="s">
        <v>2005</v>
      </c>
      <c r="I201" s="11">
        <v>2</v>
      </c>
    </row>
    <row r="202" spans="6:9" ht="20.100000000000001" customHeight="1" x14ac:dyDescent="0.25">
      <c r="F202" s="15" t="str">
        <f t="shared" si="4"/>
        <v>K16</v>
      </c>
      <c r="G202" s="11">
        <v>16</v>
      </c>
      <c r="H202" s="11" t="s">
        <v>2005</v>
      </c>
      <c r="I202" s="11">
        <v>1</v>
      </c>
    </row>
    <row r="203" spans="6:9" ht="20.100000000000001" customHeight="1" x14ac:dyDescent="0.25">
      <c r="F203" s="15" t="str">
        <f t="shared" si="4"/>
        <v>K17</v>
      </c>
      <c r="G203" s="11">
        <v>17</v>
      </c>
      <c r="H203" s="11" t="s">
        <v>2005</v>
      </c>
      <c r="I203" s="11">
        <v>2</v>
      </c>
    </row>
    <row r="204" spans="6:9" ht="20.100000000000001" customHeight="1" x14ac:dyDescent="0.25">
      <c r="F204" s="15" t="str">
        <f t="shared" si="4"/>
        <v>K18</v>
      </c>
      <c r="G204" s="11">
        <v>18</v>
      </c>
      <c r="H204" s="11" t="s">
        <v>2005</v>
      </c>
      <c r="I204" s="11">
        <v>1</v>
      </c>
    </row>
    <row r="205" spans="6:9" ht="20.100000000000001" customHeight="1" x14ac:dyDescent="0.25">
      <c r="F205" s="15" t="str">
        <f t="shared" si="4"/>
        <v>K19</v>
      </c>
      <c r="G205" s="11">
        <v>19</v>
      </c>
      <c r="H205" s="11" t="s">
        <v>2005</v>
      </c>
      <c r="I205" s="11">
        <v>2</v>
      </c>
    </row>
    <row r="206" spans="6:9" ht="20.100000000000001" customHeight="1" x14ac:dyDescent="0.25">
      <c r="F206" s="15" t="str">
        <f t="shared" si="4"/>
        <v>K20</v>
      </c>
      <c r="G206" s="11">
        <v>20</v>
      </c>
      <c r="H206" s="11" t="s">
        <v>2005</v>
      </c>
      <c r="I206" s="11">
        <v>1</v>
      </c>
    </row>
    <row r="207" spans="6:9" ht="20.100000000000001" customHeight="1" x14ac:dyDescent="0.25">
      <c r="F207" s="15" t="str">
        <f t="shared" si="4"/>
        <v>K21</v>
      </c>
      <c r="G207" s="11">
        <v>21</v>
      </c>
      <c r="H207" s="11" t="s">
        <v>2005</v>
      </c>
      <c r="I207" s="11">
        <v>2</v>
      </c>
    </row>
    <row r="208" spans="6:9" ht="20.100000000000001" customHeight="1" x14ac:dyDescent="0.25">
      <c r="F208" s="15" t="str">
        <f t="shared" si="4"/>
        <v>K22</v>
      </c>
      <c r="G208" s="11">
        <v>22</v>
      </c>
      <c r="H208" s="11" t="s">
        <v>2005</v>
      </c>
      <c r="I208" s="11">
        <v>1</v>
      </c>
    </row>
    <row r="209" spans="6:9" ht="20.100000000000001" customHeight="1" x14ac:dyDescent="0.25">
      <c r="F209" s="15" t="str">
        <f t="shared" si="4"/>
        <v>K23</v>
      </c>
      <c r="G209" s="11">
        <v>23</v>
      </c>
      <c r="H209" s="11" t="s">
        <v>2005</v>
      </c>
      <c r="I209" s="11">
        <v>2</v>
      </c>
    </row>
    <row r="210" spans="6:9" ht="20.100000000000001" customHeight="1" x14ac:dyDescent="0.25">
      <c r="F210" s="15" t="str">
        <f t="shared" si="4"/>
        <v>K24</v>
      </c>
      <c r="G210" s="11">
        <v>24</v>
      </c>
      <c r="H210" s="11" t="s">
        <v>2005</v>
      </c>
      <c r="I210" s="11">
        <v>1</v>
      </c>
    </row>
    <row r="211" spans="6:9" ht="20.100000000000001" customHeight="1" x14ac:dyDescent="0.25">
      <c r="F211" s="15" t="str">
        <f t="shared" si="4"/>
        <v>K25</v>
      </c>
      <c r="G211" s="11">
        <v>25</v>
      </c>
      <c r="H211" s="11" t="s">
        <v>2005</v>
      </c>
      <c r="I211" s="11">
        <v>2</v>
      </c>
    </row>
    <row r="212" spans="6:9" ht="20.100000000000001" customHeight="1" x14ac:dyDescent="0.25">
      <c r="F212" s="15" t="str">
        <f t="shared" si="4"/>
        <v>K26</v>
      </c>
      <c r="G212" s="11">
        <v>26</v>
      </c>
      <c r="H212" s="11" t="s">
        <v>2005</v>
      </c>
      <c r="I212" s="11">
        <v>1</v>
      </c>
    </row>
    <row r="213" spans="6:9" ht="20.100000000000001" customHeight="1" x14ac:dyDescent="0.25">
      <c r="F213" s="15" t="str">
        <f t="shared" si="4"/>
        <v>K27</v>
      </c>
      <c r="G213" s="11">
        <v>27</v>
      </c>
      <c r="H213" s="11" t="s">
        <v>2005</v>
      </c>
      <c r="I213" s="11">
        <v>2</v>
      </c>
    </row>
    <row r="214" spans="6:9" ht="20.100000000000001" customHeight="1" x14ac:dyDescent="0.25">
      <c r="F214" s="15" t="str">
        <f t="shared" si="4"/>
        <v>K28</v>
      </c>
      <c r="G214" s="11">
        <v>28</v>
      </c>
      <c r="H214" s="11" t="s">
        <v>2005</v>
      </c>
      <c r="I214" s="11">
        <v>1</v>
      </c>
    </row>
    <row r="215" spans="6:9" ht="20.100000000000001" customHeight="1" x14ac:dyDescent="0.25">
      <c r="F215" s="15" t="str">
        <f t="shared" si="4"/>
        <v>K29</v>
      </c>
      <c r="G215" s="11">
        <v>29</v>
      </c>
      <c r="H215" s="11" t="s">
        <v>2005</v>
      </c>
      <c r="I215" s="11">
        <v>2</v>
      </c>
    </row>
    <row r="216" spans="6:9" ht="20.100000000000001" customHeight="1" x14ac:dyDescent="0.25">
      <c r="F216" s="15" t="str">
        <f t="shared" si="4"/>
        <v>K30</v>
      </c>
      <c r="G216" s="11">
        <v>30</v>
      </c>
      <c r="H216" s="11" t="s">
        <v>2005</v>
      </c>
      <c r="I216" s="11">
        <v>1</v>
      </c>
    </row>
    <row r="217" spans="6:9" ht="20.100000000000001" customHeight="1" x14ac:dyDescent="0.25">
      <c r="F217" s="15" t="str">
        <f t="shared" si="4"/>
        <v>K31</v>
      </c>
      <c r="G217" s="11">
        <v>31</v>
      </c>
      <c r="H217" s="11" t="s">
        <v>2005</v>
      </c>
      <c r="I217" s="11">
        <v>1</v>
      </c>
    </row>
    <row r="218" spans="6:9" ht="20.100000000000001" customHeight="1" x14ac:dyDescent="0.25">
      <c r="F218" s="15" t="str">
        <f t="shared" si="4"/>
        <v>K32</v>
      </c>
      <c r="G218" s="11">
        <v>32</v>
      </c>
      <c r="H218" s="11" t="s">
        <v>2005</v>
      </c>
      <c r="I218" s="11">
        <v>1</v>
      </c>
    </row>
    <row r="219" spans="6:9" ht="20.100000000000001" customHeight="1" x14ac:dyDescent="0.25">
      <c r="F219" s="15" t="str">
        <f t="shared" si="4"/>
        <v>K33</v>
      </c>
      <c r="G219" s="11">
        <v>33</v>
      </c>
      <c r="H219" s="11" t="s">
        <v>2005</v>
      </c>
      <c r="I219" s="11">
        <v>1</v>
      </c>
    </row>
    <row r="220" spans="6:9" ht="20.100000000000001" customHeight="1" x14ac:dyDescent="0.25">
      <c r="F220" s="15" t="str">
        <f t="shared" si="4"/>
        <v>K34</v>
      </c>
      <c r="G220" s="11">
        <v>34</v>
      </c>
      <c r="H220" s="11" t="s">
        <v>2005</v>
      </c>
      <c r="I220" s="11">
        <v>1</v>
      </c>
    </row>
    <row r="221" spans="6:9" ht="20.100000000000001" customHeight="1" x14ac:dyDescent="0.25">
      <c r="F221" s="15" t="str">
        <f t="shared" si="4"/>
        <v>K35</v>
      </c>
      <c r="G221" s="11">
        <v>35</v>
      </c>
      <c r="H221" s="11" t="s">
        <v>2005</v>
      </c>
      <c r="I221" s="11">
        <v>1</v>
      </c>
    </row>
    <row r="222" spans="6:9" ht="20.100000000000001" customHeight="1" x14ac:dyDescent="0.25">
      <c r="F222" s="15" t="str">
        <f t="shared" si="4"/>
        <v>K36</v>
      </c>
      <c r="G222" s="11">
        <v>36</v>
      </c>
      <c r="H222" s="11" t="s">
        <v>2005</v>
      </c>
      <c r="I222" s="11">
        <v>1</v>
      </c>
    </row>
    <row r="223" spans="6:9" ht="20.100000000000001" customHeight="1" x14ac:dyDescent="0.25">
      <c r="F223" s="15" t="str">
        <f t="shared" si="4"/>
        <v>L1</v>
      </c>
      <c r="G223" s="11">
        <v>1</v>
      </c>
      <c r="H223" s="11" t="s">
        <v>2007</v>
      </c>
      <c r="I223" s="11">
        <v>2</v>
      </c>
    </row>
    <row r="224" spans="6:9" ht="20.100000000000001" customHeight="1" x14ac:dyDescent="0.25">
      <c r="F224" s="15" t="str">
        <f t="shared" si="4"/>
        <v>L2</v>
      </c>
      <c r="G224" s="11">
        <v>2</v>
      </c>
      <c r="H224" s="11" t="s">
        <v>2007</v>
      </c>
      <c r="I224" s="11">
        <v>2</v>
      </c>
    </row>
    <row r="225" spans="6:9" ht="20.100000000000001" customHeight="1" x14ac:dyDescent="0.25">
      <c r="F225" s="15" t="str">
        <f t="shared" si="4"/>
        <v>L3</v>
      </c>
      <c r="G225" s="11">
        <v>3</v>
      </c>
      <c r="H225" s="11" t="s">
        <v>2007</v>
      </c>
      <c r="I225" s="11">
        <v>2</v>
      </c>
    </row>
    <row r="226" spans="6:9" ht="20.100000000000001" customHeight="1" x14ac:dyDescent="0.25">
      <c r="F226" s="15" t="str">
        <f t="shared" si="4"/>
        <v>L4</v>
      </c>
      <c r="G226" s="11">
        <v>4</v>
      </c>
      <c r="H226" s="11" t="s">
        <v>2007</v>
      </c>
      <c r="I226" s="11">
        <v>2</v>
      </c>
    </row>
    <row r="227" spans="6:9" ht="20.100000000000001" customHeight="1" x14ac:dyDescent="0.25">
      <c r="F227" s="15" t="str">
        <f t="shared" si="4"/>
        <v>L5</v>
      </c>
      <c r="G227" s="11">
        <v>5</v>
      </c>
      <c r="H227" s="11" t="s">
        <v>2007</v>
      </c>
      <c r="I227" s="11">
        <v>2</v>
      </c>
    </row>
    <row r="228" spans="6:9" ht="20.100000000000001" customHeight="1" x14ac:dyDescent="0.25">
      <c r="F228" s="15" t="str">
        <f t="shared" si="4"/>
        <v>L6</v>
      </c>
      <c r="G228" s="11">
        <v>6</v>
      </c>
      <c r="H228" s="11" t="s">
        <v>2007</v>
      </c>
      <c r="I228" s="11">
        <v>2</v>
      </c>
    </row>
    <row r="229" spans="6:9" ht="20.100000000000001" customHeight="1" x14ac:dyDescent="0.25">
      <c r="F229" s="15" t="str">
        <f t="shared" si="4"/>
        <v>L7</v>
      </c>
      <c r="G229" s="11">
        <v>7</v>
      </c>
      <c r="H229" s="11" t="s">
        <v>2007</v>
      </c>
      <c r="I229" s="11">
        <v>2</v>
      </c>
    </row>
    <row r="230" spans="6:9" ht="20.100000000000001" customHeight="1" x14ac:dyDescent="0.25">
      <c r="F230" s="15" t="str">
        <f t="shared" si="4"/>
        <v>L8</v>
      </c>
      <c r="G230" s="11">
        <v>8</v>
      </c>
      <c r="H230" s="11" t="s">
        <v>2007</v>
      </c>
      <c r="I230" s="11">
        <v>2</v>
      </c>
    </row>
    <row r="231" spans="6:9" ht="20.100000000000001" customHeight="1" x14ac:dyDescent="0.25">
      <c r="F231" s="15" t="str">
        <f t="shared" si="4"/>
        <v>L9</v>
      </c>
      <c r="G231" s="11">
        <v>9</v>
      </c>
      <c r="H231" s="11" t="s">
        <v>2007</v>
      </c>
      <c r="I231" s="11">
        <v>2</v>
      </c>
    </row>
    <row r="232" spans="6:9" ht="20.100000000000001" customHeight="1" x14ac:dyDescent="0.25">
      <c r="F232" s="15" t="str">
        <f t="shared" si="4"/>
        <v>L10</v>
      </c>
      <c r="G232" s="11">
        <v>10</v>
      </c>
      <c r="H232" s="11" t="s">
        <v>2007</v>
      </c>
      <c r="I232" s="11">
        <v>1</v>
      </c>
    </row>
    <row r="233" spans="6:9" ht="20.100000000000001" customHeight="1" x14ac:dyDescent="0.25">
      <c r="F233" s="15" t="str">
        <f t="shared" si="4"/>
        <v>L11</v>
      </c>
      <c r="G233" s="11">
        <v>11</v>
      </c>
      <c r="H233" s="11" t="s">
        <v>2007</v>
      </c>
      <c r="I233" s="11">
        <v>2</v>
      </c>
    </row>
    <row r="234" spans="6:9" ht="20.100000000000001" customHeight="1" x14ac:dyDescent="0.25">
      <c r="F234" s="15" t="str">
        <f t="shared" si="4"/>
        <v>L12</v>
      </c>
      <c r="G234" s="11">
        <v>12</v>
      </c>
      <c r="H234" s="11" t="s">
        <v>2007</v>
      </c>
      <c r="I234" s="11">
        <v>1</v>
      </c>
    </row>
    <row r="235" spans="6:9" ht="20.100000000000001" customHeight="1" x14ac:dyDescent="0.25">
      <c r="F235" s="15" t="str">
        <f t="shared" si="4"/>
        <v>L13</v>
      </c>
      <c r="G235" s="11">
        <v>13</v>
      </c>
      <c r="H235" s="11" t="s">
        <v>2007</v>
      </c>
      <c r="I235" s="11">
        <v>2</v>
      </c>
    </row>
    <row r="236" spans="6:9" ht="20.100000000000001" customHeight="1" x14ac:dyDescent="0.25">
      <c r="F236" s="15" t="str">
        <f t="shared" si="4"/>
        <v>L14</v>
      </c>
      <c r="G236" s="11">
        <v>14</v>
      </c>
      <c r="H236" s="11" t="s">
        <v>2007</v>
      </c>
      <c r="I236" s="11">
        <v>1</v>
      </c>
    </row>
    <row r="237" spans="6:9" ht="20.100000000000001" customHeight="1" x14ac:dyDescent="0.25">
      <c r="F237" s="15" t="str">
        <f t="shared" si="4"/>
        <v>L15</v>
      </c>
      <c r="G237" s="11">
        <v>15</v>
      </c>
      <c r="H237" s="11" t="s">
        <v>2007</v>
      </c>
      <c r="I237" s="11">
        <v>2</v>
      </c>
    </row>
    <row r="238" spans="6:9" ht="20.100000000000001" customHeight="1" x14ac:dyDescent="0.25">
      <c r="F238" s="15" t="str">
        <f t="shared" si="4"/>
        <v>L16</v>
      </c>
      <c r="G238" s="11">
        <v>16</v>
      </c>
      <c r="H238" s="11" t="s">
        <v>2007</v>
      </c>
      <c r="I238" s="11">
        <v>1</v>
      </c>
    </row>
    <row r="239" spans="6:9" ht="20.100000000000001" customHeight="1" x14ac:dyDescent="0.25">
      <c r="F239" s="15" t="str">
        <f t="shared" si="4"/>
        <v>L17</v>
      </c>
      <c r="G239" s="11">
        <v>17</v>
      </c>
      <c r="H239" s="11" t="s">
        <v>2007</v>
      </c>
      <c r="I239" s="11">
        <v>2</v>
      </c>
    </row>
    <row r="240" spans="6:9" ht="20.100000000000001" customHeight="1" x14ac:dyDescent="0.25">
      <c r="F240" s="15" t="str">
        <f t="shared" si="4"/>
        <v>L18</v>
      </c>
      <c r="G240" s="11">
        <v>18</v>
      </c>
      <c r="H240" s="11" t="s">
        <v>2007</v>
      </c>
      <c r="I240" s="11">
        <v>1</v>
      </c>
    </row>
    <row r="241" spans="6:9" ht="20.100000000000001" customHeight="1" x14ac:dyDescent="0.25">
      <c r="F241" s="15" t="str">
        <f t="shared" si="4"/>
        <v>L19</v>
      </c>
      <c r="G241" s="11">
        <v>19</v>
      </c>
      <c r="H241" s="11" t="s">
        <v>2007</v>
      </c>
      <c r="I241" s="11">
        <v>2</v>
      </c>
    </row>
    <row r="242" spans="6:9" ht="20.100000000000001" customHeight="1" x14ac:dyDescent="0.25">
      <c r="F242" s="15" t="str">
        <f t="shared" si="4"/>
        <v>L20</v>
      </c>
      <c r="G242" s="11">
        <v>20</v>
      </c>
      <c r="H242" s="11" t="s">
        <v>2007</v>
      </c>
      <c r="I242" s="11">
        <v>1</v>
      </c>
    </row>
    <row r="243" spans="6:9" ht="20.100000000000001" customHeight="1" x14ac:dyDescent="0.25">
      <c r="F243" s="15" t="str">
        <f t="shared" si="4"/>
        <v>L21</v>
      </c>
      <c r="G243" s="11">
        <v>21</v>
      </c>
      <c r="H243" s="11" t="s">
        <v>2007</v>
      </c>
      <c r="I243" s="11">
        <v>1</v>
      </c>
    </row>
    <row r="244" spans="6:9" ht="20.100000000000001" customHeight="1" x14ac:dyDescent="0.25">
      <c r="F244" s="15" t="str">
        <f t="shared" si="4"/>
        <v>L22</v>
      </c>
      <c r="G244" s="11">
        <v>22</v>
      </c>
      <c r="H244" s="11" t="s">
        <v>2007</v>
      </c>
      <c r="I244" s="11">
        <v>1</v>
      </c>
    </row>
    <row r="245" spans="6:9" ht="20.100000000000001" customHeight="1" x14ac:dyDescent="0.25">
      <c r="F245" s="15" t="str">
        <f t="shared" si="4"/>
        <v>L23</v>
      </c>
      <c r="G245" s="11">
        <v>23</v>
      </c>
      <c r="H245" s="11" t="s">
        <v>2007</v>
      </c>
      <c r="I245" s="11">
        <v>1</v>
      </c>
    </row>
    <row r="246" spans="6:9" ht="20.100000000000001" customHeight="1" x14ac:dyDescent="0.25">
      <c r="F246" s="15" t="str">
        <f t="shared" si="4"/>
        <v>L24</v>
      </c>
      <c r="G246" s="11">
        <v>24</v>
      </c>
      <c r="H246" s="11" t="s">
        <v>2007</v>
      </c>
      <c r="I246" s="11">
        <v>1</v>
      </c>
    </row>
    <row r="247" spans="6:9" ht="20.100000000000001" customHeight="1" x14ac:dyDescent="0.25">
      <c r="F247" s="15" t="str">
        <f t="shared" si="4"/>
        <v>L25</v>
      </c>
      <c r="G247" s="11">
        <v>25</v>
      </c>
      <c r="H247" s="11" t="s">
        <v>2007</v>
      </c>
      <c r="I247" s="11">
        <v>1</v>
      </c>
    </row>
    <row r="248" spans="6:9" ht="20.100000000000001" customHeight="1" x14ac:dyDescent="0.25">
      <c r="F248" s="15" t="str">
        <f t="shared" si="4"/>
        <v>L26</v>
      </c>
      <c r="G248" s="11">
        <v>26</v>
      </c>
      <c r="H248" s="11" t="s">
        <v>2007</v>
      </c>
      <c r="I248" s="11">
        <v>1</v>
      </c>
    </row>
    <row r="249" spans="6:9" ht="20.100000000000001" customHeight="1" x14ac:dyDescent="0.25">
      <c r="F249" s="15" t="str">
        <f t="shared" si="4"/>
        <v>L27</v>
      </c>
      <c r="G249" s="11">
        <v>27</v>
      </c>
      <c r="H249" s="11" t="s">
        <v>2007</v>
      </c>
      <c r="I249" s="11">
        <v>1</v>
      </c>
    </row>
    <row r="250" spans="6:9" ht="20.100000000000001" customHeight="1" x14ac:dyDescent="0.25">
      <c r="F250" s="15" t="str">
        <f t="shared" si="4"/>
        <v>M1</v>
      </c>
      <c r="G250" s="11">
        <v>1</v>
      </c>
      <c r="H250" s="11" t="s">
        <v>2010</v>
      </c>
      <c r="I250" s="11">
        <v>2</v>
      </c>
    </row>
    <row r="251" spans="6:9" ht="20.100000000000001" customHeight="1" x14ac:dyDescent="0.25">
      <c r="F251" s="15" t="str">
        <f t="shared" si="4"/>
        <v>M2</v>
      </c>
      <c r="G251" s="11">
        <v>2</v>
      </c>
      <c r="H251" s="11" t="s">
        <v>2010</v>
      </c>
      <c r="I251" s="11">
        <v>2</v>
      </c>
    </row>
    <row r="252" spans="6:9" ht="20.100000000000001" customHeight="1" x14ac:dyDescent="0.25">
      <c r="F252" s="15" t="str">
        <f t="shared" si="4"/>
        <v>M3</v>
      </c>
      <c r="G252" s="11">
        <v>3</v>
      </c>
      <c r="H252" s="11" t="s">
        <v>2010</v>
      </c>
      <c r="I252" s="11">
        <v>2</v>
      </c>
    </row>
    <row r="253" spans="6:9" ht="20.100000000000001" customHeight="1" x14ac:dyDescent="0.25">
      <c r="F253" s="15" t="str">
        <f t="shared" si="4"/>
        <v>M4</v>
      </c>
      <c r="G253" s="11">
        <v>4</v>
      </c>
      <c r="H253" s="11" t="s">
        <v>2010</v>
      </c>
      <c r="I253" s="11">
        <v>1</v>
      </c>
    </row>
    <row r="254" spans="6:9" ht="20.100000000000001" customHeight="1" x14ac:dyDescent="0.25">
      <c r="F254" s="15" t="str">
        <f t="shared" si="4"/>
        <v>M5</v>
      </c>
      <c r="G254" s="11">
        <v>5</v>
      </c>
      <c r="H254" s="11" t="s">
        <v>2010</v>
      </c>
      <c r="I254" s="11">
        <v>2</v>
      </c>
    </row>
    <row r="255" spans="6:9" ht="20.100000000000001" customHeight="1" x14ac:dyDescent="0.25">
      <c r="F255" s="15" t="str">
        <f t="shared" si="4"/>
        <v>M6</v>
      </c>
      <c r="G255" s="11">
        <v>6</v>
      </c>
      <c r="H255" s="11" t="s">
        <v>2010</v>
      </c>
      <c r="I255" s="11">
        <v>1</v>
      </c>
    </row>
    <row r="256" spans="6:9" ht="20.100000000000001" customHeight="1" x14ac:dyDescent="0.25">
      <c r="F256" s="15" t="str">
        <f t="shared" si="4"/>
        <v>M7</v>
      </c>
      <c r="G256" s="11">
        <v>7</v>
      </c>
      <c r="H256" s="11" t="s">
        <v>2010</v>
      </c>
      <c r="I256" s="11">
        <v>2</v>
      </c>
    </row>
    <row r="257" spans="6:9" ht="20.100000000000001" customHeight="1" x14ac:dyDescent="0.25">
      <c r="F257" s="15" t="str">
        <f t="shared" si="4"/>
        <v>M8</v>
      </c>
      <c r="G257" s="11">
        <v>8</v>
      </c>
      <c r="H257" s="11" t="s">
        <v>2010</v>
      </c>
      <c r="I257" s="11">
        <v>1</v>
      </c>
    </row>
    <row r="258" spans="6:9" ht="20.100000000000001" customHeight="1" x14ac:dyDescent="0.25">
      <c r="F258" s="15" t="str">
        <f t="shared" ref="F258:F321" si="5">CONCATENATE(H258,G258)</f>
        <v>M9</v>
      </c>
      <c r="G258" s="11">
        <v>9</v>
      </c>
      <c r="H258" s="11" t="s">
        <v>2010</v>
      </c>
      <c r="I258" s="11">
        <v>2</v>
      </c>
    </row>
    <row r="259" spans="6:9" ht="20.100000000000001" customHeight="1" x14ac:dyDescent="0.25">
      <c r="F259" s="15" t="str">
        <f t="shared" si="5"/>
        <v>M10</v>
      </c>
      <c r="G259" s="11">
        <v>10</v>
      </c>
      <c r="H259" s="11" t="s">
        <v>2010</v>
      </c>
      <c r="I259" s="11">
        <v>1</v>
      </c>
    </row>
    <row r="260" spans="6:9" ht="20.100000000000001" customHeight="1" x14ac:dyDescent="0.25">
      <c r="F260" s="15" t="str">
        <f t="shared" si="5"/>
        <v>M11</v>
      </c>
      <c r="G260" s="11">
        <v>11</v>
      </c>
      <c r="H260" s="11" t="s">
        <v>2010</v>
      </c>
      <c r="I260" s="11">
        <v>2</v>
      </c>
    </row>
    <row r="261" spans="6:9" ht="20.100000000000001" customHeight="1" x14ac:dyDescent="0.25">
      <c r="F261" s="15" t="str">
        <f t="shared" si="5"/>
        <v>M12</v>
      </c>
      <c r="G261" s="11">
        <v>12</v>
      </c>
      <c r="H261" s="11" t="s">
        <v>2010</v>
      </c>
      <c r="I261" s="11">
        <v>1</v>
      </c>
    </row>
    <row r="262" spans="6:9" ht="20.100000000000001" customHeight="1" x14ac:dyDescent="0.25">
      <c r="F262" s="15" t="str">
        <f t="shared" si="5"/>
        <v>M13</v>
      </c>
      <c r="G262" s="11">
        <v>13</v>
      </c>
      <c r="H262" s="11" t="s">
        <v>2010</v>
      </c>
      <c r="I262" s="11">
        <v>1</v>
      </c>
    </row>
    <row r="263" spans="6:9" ht="20.100000000000001" customHeight="1" x14ac:dyDescent="0.25">
      <c r="F263" s="15" t="str">
        <f t="shared" si="5"/>
        <v>M14</v>
      </c>
      <c r="G263" s="11">
        <v>14</v>
      </c>
      <c r="H263" s="11" t="s">
        <v>2010</v>
      </c>
      <c r="I263" s="11">
        <v>1</v>
      </c>
    </row>
    <row r="264" spans="6:9" ht="20.100000000000001" customHeight="1" x14ac:dyDescent="0.25">
      <c r="F264" s="15" t="str">
        <f t="shared" si="5"/>
        <v>M15</v>
      </c>
      <c r="G264" s="11">
        <v>15</v>
      </c>
      <c r="H264" s="11" t="s">
        <v>2010</v>
      </c>
      <c r="I264" s="11">
        <v>1</v>
      </c>
    </row>
    <row r="265" spans="6:9" ht="20.100000000000001" customHeight="1" x14ac:dyDescent="0.25">
      <c r="F265" s="15" t="str">
        <f t="shared" si="5"/>
        <v>M16</v>
      </c>
      <c r="G265" s="11">
        <v>16</v>
      </c>
      <c r="H265" s="11" t="s">
        <v>2010</v>
      </c>
      <c r="I265" s="11">
        <v>1</v>
      </c>
    </row>
    <row r="266" spans="6:9" ht="20.100000000000001" customHeight="1" x14ac:dyDescent="0.25">
      <c r="F266" s="15" t="str">
        <f t="shared" si="5"/>
        <v>M17</v>
      </c>
      <c r="G266" s="11">
        <v>17</v>
      </c>
      <c r="H266" s="11" t="s">
        <v>2010</v>
      </c>
      <c r="I266" s="11">
        <v>1</v>
      </c>
    </row>
    <row r="267" spans="6:9" ht="20.100000000000001" customHeight="1" x14ac:dyDescent="0.25">
      <c r="F267" s="15" t="str">
        <f t="shared" si="5"/>
        <v>M18</v>
      </c>
      <c r="G267" s="11">
        <v>18</v>
      </c>
      <c r="H267" s="11" t="s">
        <v>2010</v>
      </c>
      <c r="I267" s="11">
        <v>1</v>
      </c>
    </row>
    <row r="268" spans="6:9" ht="20.100000000000001" customHeight="1" x14ac:dyDescent="0.25">
      <c r="F268" s="15" t="str">
        <f t="shared" si="5"/>
        <v>M19</v>
      </c>
      <c r="G268" s="11">
        <v>19</v>
      </c>
      <c r="H268" s="11" t="s">
        <v>2010</v>
      </c>
      <c r="I268" s="11">
        <v>1</v>
      </c>
    </row>
    <row r="269" spans="6:9" ht="20.100000000000001" customHeight="1" x14ac:dyDescent="0.25">
      <c r="F269" s="15" t="str">
        <f t="shared" si="5"/>
        <v>M20</v>
      </c>
      <c r="G269" s="11">
        <v>20</v>
      </c>
      <c r="H269" s="11" t="s">
        <v>2010</v>
      </c>
      <c r="I269" s="11">
        <v>1</v>
      </c>
    </row>
    <row r="270" spans="6:9" ht="20.100000000000001" customHeight="1" x14ac:dyDescent="0.25">
      <c r="F270" s="15" t="str">
        <f t="shared" si="5"/>
        <v>M21</v>
      </c>
      <c r="G270" s="11">
        <v>21</v>
      </c>
      <c r="H270" s="11" t="s">
        <v>2010</v>
      </c>
      <c r="I270" s="11">
        <v>1</v>
      </c>
    </row>
    <row r="271" spans="6:9" ht="20.100000000000001" customHeight="1" x14ac:dyDescent="0.25">
      <c r="F271" s="15" t="str">
        <f t="shared" si="5"/>
        <v>M22</v>
      </c>
      <c r="G271" s="11">
        <v>22</v>
      </c>
      <c r="H271" s="11" t="s">
        <v>2010</v>
      </c>
      <c r="I271" s="11">
        <v>1</v>
      </c>
    </row>
    <row r="272" spans="6:9" ht="20.100000000000001" customHeight="1" x14ac:dyDescent="0.25">
      <c r="F272" s="15" t="str">
        <f t="shared" si="5"/>
        <v>M23</v>
      </c>
      <c r="G272" s="11">
        <v>23</v>
      </c>
      <c r="H272" s="11" t="s">
        <v>2010</v>
      </c>
      <c r="I272" s="11">
        <v>1</v>
      </c>
    </row>
    <row r="273" spans="6:9" ht="20.100000000000001" customHeight="1" x14ac:dyDescent="0.25">
      <c r="F273" s="15" t="str">
        <f t="shared" si="5"/>
        <v>M24</v>
      </c>
      <c r="G273" s="11">
        <v>24</v>
      </c>
      <c r="H273" s="11" t="s">
        <v>2010</v>
      </c>
      <c r="I273" s="11">
        <v>1</v>
      </c>
    </row>
    <row r="274" spans="6:9" ht="20.100000000000001" customHeight="1" x14ac:dyDescent="0.25">
      <c r="F274" s="15" t="str">
        <f t="shared" si="5"/>
        <v>M25</v>
      </c>
      <c r="G274" s="11">
        <v>25</v>
      </c>
      <c r="H274" s="11" t="s">
        <v>2010</v>
      </c>
      <c r="I274" s="11">
        <v>1</v>
      </c>
    </row>
    <row r="275" spans="6:9" ht="20.100000000000001" customHeight="1" x14ac:dyDescent="0.25">
      <c r="F275" s="15" t="str">
        <f t="shared" si="5"/>
        <v>M26</v>
      </c>
      <c r="G275" s="11">
        <v>26</v>
      </c>
      <c r="H275" s="11" t="s">
        <v>2010</v>
      </c>
      <c r="I275" s="11">
        <v>1</v>
      </c>
    </row>
    <row r="276" spans="6:9" ht="20.100000000000001" customHeight="1" x14ac:dyDescent="0.25">
      <c r="F276" s="15" t="str">
        <f t="shared" si="5"/>
        <v>M27</v>
      </c>
      <c r="G276" s="11">
        <v>27</v>
      </c>
      <c r="H276" s="11" t="s">
        <v>2010</v>
      </c>
      <c r="I276" s="11">
        <v>1</v>
      </c>
    </row>
    <row r="277" spans="6:9" ht="20.100000000000001" customHeight="1" x14ac:dyDescent="0.25">
      <c r="F277" s="15" t="str">
        <f t="shared" si="5"/>
        <v>M28</v>
      </c>
      <c r="G277" s="11">
        <v>28</v>
      </c>
      <c r="H277" s="11" t="s">
        <v>2010</v>
      </c>
      <c r="I277" s="11">
        <v>1</v>
      </c>
    </row>
    <row r="278" spans="6:9" ht="20.100000000000001" customHeight="1" x14ac:dyDescent="0.25">
      <c r="F278" s="15" t="str">
        <f t="shared" si="5"/>
        <v>M29</v>
      </c>
      <c r="G278" s="11">
        <v>29</v>
      </c>
      <c r="H278" s="11" t="s">
        <v>2010</v>
      </c>
      <c r="I278" s="11">
        <v>1</v>
      </c>
    </row>
    <row r="279" spans="6:9" ht="20.100000000000001" customHeight="1" x14ac:dyDescent="0.25">
      <c r="F279" s="15" t="str">
        <f t="shared" si="5"/>
        <v>M30</v>
      </c>
      <c r="G279" s="11">
        <v>30</v>
      </c>
      <c r="H279" s="11" t="s">
        <v>2010</v>
      </c>
      <c r="I279" s="11">
        <v>2</v>
      </c>
    </row>
    <row r="280" spans="6:9" ht="20.100000000000001" customHeight="1" x14ac:dyDescent="0.25">
      <c r="F280" s="15" t="str">
        <f t="shared" si="5"/>
        <v>M31</v>
      </c>
      <c r="G280" s="11">
        <v>31</v>
      </c>
      <c r="H280" s="11" t="s">
        <v>2010</v>
      </c>
      <c r="I280" s="11">
        <v>1</v>
      </c>
    </row>
    <row r="281" spans="6:9" ht="20.100000000000001" customHeight="1" x14ac:dyDescent="0.25">
      <c r="F281" s="15" t="str">
        <f t="shared" si="5"/>
        <v>M32</v>
      </c>
      <c r="G281" s="11">
        <v>32</v>
      </c>
      <c r="H281" s="11" t="s">
        <v>2010</v>
      </c>
      <c r="I281" s="11">
        <v>1</v>
      </c>
    </row>
    <row r="282" spans="6:9" ht="20.100000000000001" customHeight="1" x14ac:dyDescent="0.25">
      <c r="F282" s="15" t="str">
        <f t="shared" si="5"/>
        <v>M33</v>
      </c>
      <c r="G282" s="11">
        <v>33</v>
      </c>
      <c r="H282" s="11" t="s">
        <v>2010</v>
      </c>
      <c r="I282" s="11">
        <v>1</v>
      </c>
    </row>
    <row r="283" spans="6:9" ht="20.100000000000001" customHeight="1" x14ac:dyDescent="0.25">
      <c r="F283" s="15" t="str">
        <f t="shared" si="5"/>
        <v>M34</v>
      </c>
      <c r="G283" s="11">
        <v>34</v>
      </c>
      <c r="H283" s="11" t="s">
        <v>2010</v>
      </c>
      <c r="I283" s="11">
        <v>1</v>
      </c>
    </row>
    <row r="284" spans="6:9" ht="20.100000000000001" customHeight="1" x14ac:dyDescent="0.25">
      <c r="F284" s="15" t="str">
        <f t="shared" si="5"/>
        <v>M35</v>
      </c>
      <c r="G284" s="11">
        <v>35</v>
      </c>
      <c r="H284" s="11" t="s">
        <v>2010</v>
      </c>
      <c r="I284" s="11">
        <v>1</v>
      </c>
    </row>
    <row r="285" spans="6:9" ht="20.100000000000001" customHeight="1" x14ac:dyDescent="0.25">
      <c r="F285" s="15" t="str">
        <f t="shared" si="5"/>
        <v>M36</v>
      </c>
      <c r="G285" s="11">
        <v>36</v>
      </c>
      <c r="H285" s="11" t="s">
        <v>2010</v>
      </c>
      <c r="I285" s="11">
        <v>1</v>
      </c>
    </row>
    <row r="286" spans="6:9" ht="20.100000000000001" customHeight="1" x14ac:dyDescent="0.25">
      <c r="F286" s="15" t="str">
        <f t="shared" si="5"/>
        <v>M37</v>
      </c>
      <c r="G286" s="11">
        <v>37</v>
      </c>
      <c r="H286" s="11" t="s">
        <v>2010</v>
      </c>
      <c r="I286" s="11">
        <v>1</v>
      </c>
    </row>
    <row r="287" spans="6:9" ht="20.100000000000001" customHeight="1" x14ac:dyDescent="0.25">
      <c r="F287" s="15" t="str">
        <f t="shared" si="5"/>
        <v>N1</v>
      </c>
      <c r="G287" s="11">
        <v>1</v>
      </c>
      <c r="H287" s="11" t="s">
        <v>2013</v>
      </c>
      <c r="I287" s="11">
        <v>1</v>
      </c>
    </row>
    <row r="288" spans="6:9" ht="20.100000000000001" customHeight="1" x14ac:dyDescent="0.25">
      <c r="F288" s="15" t="str">
        <f t="shared" si="5"/>
        <v>N2</v>
      </c>
      <c r="G288" s="11">
        <v>2</v>
      </c>
      <c r="H288" s="11" t="s">
        <v>2013</v>
      </c>
      <c r="I288" s="11">
        <v>1</v>
      </c>
    </row>
    <row r="289" spans="6:9" ht="20.100000000000001" customHeight="1" x14ac:dyDescent="0.25">
      <c r="F289" s="15" t="str">
        <f t="shared" si="5"/>
        <v>N3</v>
      </c>
      <c r="G289" s="11">
        <v>3</v>
      </c>
      <c r="H289" s="11" t="s">
        <v>2013</v>
      </c>
      <c r="I289" s="11">
        <v>1</v>
      </c>
    </row>
    <row r="290" spans="6:9" ht="20.100000000000001" customHeight="1" x14ac:dyDescent="0.25">
      <c r="F290" s="15" t="str">
        <f t="shared" si="5"/>
        <v>N4</v>
      </c>
      <c r="G290" s="11">
        <v>4</v>
      </c>
      <c r="H290" s="11" t="s">
        <v>2013</v>
      </c>
      <c r="I290" s="11">
        <v>1</v>
      </c>
    </row>
    <row r="291" spans="6:9" ht="20.100000000000001" customHeight="1" x14ac:dyDescent="0.25">
      <c r="F291" s="15" t="str">
        <f t="shared" si="5"/>
        <v>N5</v>
      </c>
      <c r="G291" s="11">
        <v>5</v>
      </c>
      <c r="H291" s="11" t="s">
        <v>2013</v>
      </c>
      <c r="I291" s="11">
        <v>1</v>
      </c>
    </row>
    <row r="292" spans="6:9" ht="20.100000000000001" customHeight="1" x14ac:dyDescent="0.25">
      <c r="F292" s="15" t="str">
        <f t="shared" si="5"/>
        <v>N6</v>
      </c>
      <c r="G292" s="11">
        <v>6</v>
      </c>
      <c r="H292" s="11" t="s">
        <v>2013</v>
      </c>
      <c r="I292" s="11">
        <v>1</v>
      </c>
    </row>
    <row r="293" spans="6:9" ht="20.100000000000001" customHeight="1" x14ac:dyDescent="0.25">
      <c r="F293" s="15" t="str">
        <f t="shared" si="5"/>
        <v>N7</v>
      </c>
      <c r="G293" s="11">
        <v>7</v>
      </c>
      <c r="H293" s="11" t="s">
        <v>2013</v>
      </c>
      <c r="I293" s="11">
        <v>1</v>
      </c>
    </row>
    <row r="294" spans="6:9" ht="20.100000000000001" customHeight="1" x14ac:dyDescent="0.25">
      <c r="F294" s="15" t="str">
        <f t="shared" si="5"/>
        <v>N8</v>
      </c>
      <c r="G294" s="11">
        <v>8</v>
      </c>
      <c r="H294" s="11" t="s">
        <v>2013</v>
      </c>
      <c r="I294" s="11">
        <v>1</v>
      </c>
    </row>
    <row r="295" spans="6:9" ht="20.100000000000001" customHeight="1" x14ac:dyDescent="0.25">
      <c r="F295" s="15" t="str">
        <f t="shared" si="5"/>
        <v>N9</v>
      </c>
      <c r="G295" s="11">
        <v>9</v>
      </c>
      <c r="H295" s="11" t="s">
        <v>2013</v>
      </c>
      <c r="I295" s="11">
        <v>1</v>
      </c>
    </row>
    <row r="296" spans="6:9" ht="20.100000000000001" customHeight="1" x14ac:dyDescent="0.25">
      <c r="F296" s="15" t="str">
        <f t="shared" si="5"/>
        <v>N10</v>
      </c>
      <c r="G296" s="11">
        <v>10</v>
      </c>
      <c r="H296" s="11" t="s">
        <v>2013</v>
      </c>
      <c r="I296" s="11">
        <v>1</v>
      </c>
    </row>
    <row r="297" spans="6:9" ht="20.100000000000001" customHeight="1" x14ac:dyDescent="0.25">
      <c r="F297" s="15" t="str">
        <f t="shared" si="5"/>
        <v>N11</v>
      </c>
      <c r="G297" s="11">
        <v>11</v>
      </c>
      <c r="H297" s="11" t="s">
        <v>2013</v>
      </c>
      <c r="I297" s="11">
        <v>1</v>
      </c>
    </row>
    <row r="298" spans="6:9" ht="20.100000000000001" customHeight="1" x14ac:dyDescent="0.25">
      <c r="F298" s="15" t="str">
        <f t="shared" si="5"/>
        <v>N12</v>
      </c>
      <c r="G298" s="11">
        <v>12</v>
      </c>
      <c r="H298" s="11" t="s">
        <v>2013</v>
      </c>
      <c r="I298" s="11">
        <v>1</v>
      </c>
    </row>
    <row r="299" spans="6:9" ht="20.100000000000001" customHeight="1" x14ac:dyDescent="0.25">
      <c r="F299" s="15" t="str">
        <f t="shared" si="5"/>
        <v>N13</v>
      </c>
      <c r="G299" s="11">
        <v>13</v>
      </c>
      <c r="H299" s="11" t="s">
        <v>2013</v>
      </c>
      <c r="I299" s="11">
        <v>1</v>
      </c>
    </row>
    <row r="300" spans="6:9" ht="20.100000000000001" customHeight="1" x14ac:dyDescent="0.25">
      <c r="F300" s="15" t="str">
        <f t="shared" si="5"/>
        <v>N14</v>
      </c>
      <c r="G300" s="11">
        <v>14</v>
      </c>
      <c r="H300" s="11" t="s">
        <v>2013</v>
      </c>
      <c r="I300" s="11">
        <v>1</v>
      </c>
    </row>
    <row r="301" spans="6:9" ht="20.100000000000001" customHeight="1" x14ac:dyDescent="0.25">
      <c r="F301" s="15" t="str">
        <f t="shared" si="5"/>
        <v>N15</v>
      </c>
      <c r="G301" s="11">
        <v>15</v>
      </c>
      <c r="H301" s="11" t="s">
        <v>2013</v>
      </c>
      <c r="I301" s="11">
        <v>1</v>
      </c>
    </row>
    <row r="302" spans="6:9" ht="20.100000000000001" customHeight="1" x14ac:dyDescent="0.25">
      <c r="F302" s="15" t="str">
        <f t="shared" si="5"/>
        <v>N16</v>
      </c>
      <c r="G302" s="11">
        <v>16</v>
      </c>
      <c r="H302" s="11" t="s">
        <v>2013</v>
      </c>
      <c r="I302" s="11">
        <v>1</v>
      </c>
    </row>
    <row r="303" spans="6:9" ht="20.100000000000001" customHeight="1" x14ac:dyDescent="0.25">
      <c r="F303" s="15" t="str">
        <f t="shared" si="5"/>
        <v>N17</v>
      </c>
      <c r="G303" s="11">
        <v>17</v>
      </c>
      <c r="H303" s="11" t="s">
        <v>2013</v>
      </c>
      <c r="I303" s="11">
        <v>1</v>
      </c>
    </row>
    <row r="304" spans="6:9" ht="20.100000000000001" customHeight="1" x14ac:dyDescent="0.25">
      <c r="F304" s="15" t="str">
        <f t="shared" si="5"/>
        <v>N18</v>
      </c>
      <c r="G304" s="11">
        <v>18</v>
      </c>
      <c r="H304" s="11" t="s">
        <v>2013</v>
      </c>
      <c r="I304" s="11">
        <v>1</v>
      </c>
    </row>
    <row r="305" spans="6:9" ht="20.100000000000001" customHeight="1" x14ac:dyDescent="0.25">
      <c r="F305" s="15" t="str">
        <f t="shared" si="5"/>
        <v>N19</v>
      </c>
      <c r="G305" s="11">
        <v>19</v>
      </c>
      <c r="H305" s="11" t="s">
        <v>2013</v>
      </c>
      <c r="I305" s="11">
        <v>1</v>
      </c>
    </row>
    <row r="306" spans="6:9" ht="20.100000000000001" customHeight="1" x14ac:dyDescent="0.25">
      <c r="F306" s="15" t="str">
        <f t="shared" si="5"/>
        <v>N20</v>
      </c>
      <c r="G306" s="11">
        <v>20</v>
      </c>
      <c r="H306" s="11" t="s">
        <v>2013</v>
      </c>
      <c r="I306" s="11">
        <v>1</v>
      </c>
    </row>
    <row r="307" spans="6:9" ht="20.100000000000001" customHeight="1" x14ac:dyDescent="0.25">
      <c r="F307" s="15" t="str">
        <f t="shared" si="5"/>
        <v>N21</v>
      </c>
      <c r="G307" s="11">
        <v>21</v>
      </c>
      <c r="H307" s="11" t="s">
        <v>2013</v>
      </c>
      <c r="I307" s="11">
        <v>1</v>
      </c>
    </row>
    <row r="308" spans="6:9" ht="20.100000000000001" customHeight="1" x14ac:dyDescent="0.25">
      <c r="F308" s="15" t="str">
        <f t="shared" si="5"/>
        <v>N22</v>
      </c>
      <c r="G308" s="11">
        <v>22</v>
      </c>
      <c r="H308" s="11" t="s">
        <v>2013</v>
      </c>
      <c r="I308" s="11">
        <v>1</v>
      </c>
    </row>
    <row r="309" spans="6:9" ht="20.100000000000001" customHeight="1" x14ac:dyDescent="0.25">
      <c r="F309" s="15" t="str">
        <f t="shared" si="5"/>
        <v>N23</v>
      </c>
      <c r="G309" s="11">
        <v>23</v>
      </c>
      <c r="H309" s="11" t="s">
        <v>2013</v>
      </c>
      <c r="I309" s="11">
        <v>1</v>
      </c>
    </row>
    <row r="310" spans="6:9" ht="20.100000000000001" customHeight="1" x14ac:dyDescent="0.25">
      <c r="F310" s="15" t="str">
        <f t="shared" si="5"/>
        <v>N24</v>
      </c>
      <c r="G310" s="11">
        <v>24</v>
      </c>
      <c r="H310" s="11" t="s">
        <v>2013</v>
      </c>
      <c r="I310" s="11">
        <v>1</v>
      </c>
    </row>
    <row r="311" spans="6:9" ht="20.100000000000001" customHeight="1" x14ac:dyDescent="0.25">
      <c r="F311" s="15" t="str">
        <f t="shared" si="5"/>
        <v>N25</v>
      </c>
      <c r="G311" s="11">
        <v>25</v>
      </c>
      <c r="H311" s="11" t="s">
        <v>2013</v>
      </c>
      <c r="I311" s="11">
        <v>1</v>
      </c>
    </row>
    <row r="312" spans="6:9" ht="20.100000000000001" customHeight="1" x14ac:dyDescent="0.25">
      <c r="F312" s="15" t="str">
        <f t="shared" si="5"/>
        <v>N26</v>
      </c>
      <c r="G312" s="11">
        <v>26</v>
      </c>
      <c r="H312" s="11" t="s">
        <v>2013</v>
      </c>
      <c r="I312" s="11">
        <v>1</v>
      </c>
    </row>
    <row r="313" spans="6:9" ht="20.100000000000001" customHeight="1" x14ac:dyDescent="0.25">
      <c r="F313" s="15" t="str">
        <f t="shared" si="5"/>
        <v>N27</v>
      </c>
      <c r="G313" s="11">
        <v>27</v>
      </c>
      <c r="H313" s="11" t="s">
        <v>2013</v>
      </c>
      <c r="I313" s="11">
        <v>1</v>
      </c>
    </row>
    <row r="314" spans="6:9" ht="20.100000000000001" customHeight="1" x14ac:dyDescent="0.25">
      <c r="F314" s="15" t="str">
        <f t="shared" si="5"/>
        <v>N28</v>
      </c>
      <c r="G314" s="11">
        <v>28</v>
      </c>
      <c r="H314" s="11" t="s">
        <v>2013</v>
      </c>
      <c r="I314" s="11">
        <v>1</v>
      </c>
    </row>
    <row r="315" spans="6:9" ht="20.100000000000001" customHeight="1" x14ac:dyDescent="0.25">
      <c r="F315" s="15" t="str">
        <f t="shared" si="5"/>
        <v>N29</v>
      </c>
      <c r="G315" s="11">
        <v>29</v>
      </c>
      <c r="H315" s="11" t="s">
        <v>2013</v>
      </c>
      <c r="I315" s="11">
        <v>2</v>
      </c>
    </row>
    <row r="316" spans="6:9" ht="20.100000000000001" customHeight="1" x14ac:dyDescent="0.25">
      <c r="F316" s="15" t="str">
        <f t="shared" si="5"/>
        <v>N30</v>
      </c>
      <c r="G316" s="11">
        <v>30</v>
      </c>
      <c r="H316" s="11" t="s">
        <v>2013</v>
      </c>
      <c r="I316" s="11">
        <v>1</v>
      </c>
    </row>
    <row r="317" spans="6:9" ht="20.100000000000001" customHeight="1" x14ac:dyDescent="0.25">
      <c r="F317" s="15" t="str">
        <f t="shared" si="5"/>
        <v>N31</v>
      </c>
      <c r="G317" s="11">
        <v>31</v>
      </c>
      <c r="H317" s="11" t="s">
        <v>2013</v>
      </c>
      <c r="I317" s="11">
        <v>1</v>
      </c>
    </row>
    <row r="318" spans="6:9" ht="20.100000000000001" customHeight="1" x14ac:dyDescent="0.25">
      <c r="F318" s="15" t="str">
        <f t="shared" si="5"/>
        <v>N32</v>
      </c>
      <c r="G318" s="11">
        <v>32</v>
      </c>
      <c r="H318" s="11" t="s">
        <v>2013</v>
      </c>
      <c r="I318" s="11">
        <v>1</v>
      </c>
    </row>
    <row r="319" spans="6:9" ht="20.100000000000001" customHeight="1" x14ac:dyDescent="0.25">
      <c r="F319" s="15" t="str">
        <f t="shared" si="5"/>
        <v>N33</v>
      </c>
      <c r="G319" s="11">
        <v>33</v>
      </c>
      <c r="H319" s="11" t="s">
        <v>2013</v>
      </c>
      <c r="I319" s="11">
        <v>1</v>
      </c>
    </row>
    <row r="320" spans="6:9" ht="20.100000000000001" customHeight="1" x14ac:dyDescent="0.25">
      <c r="F320" s="15" t="str">
        <f t="shared" si="5"/>
        <v>N34</v>
      </c>
      <c r="G320" s="11">
        <v>34</v>
      </c>
      <c r="H320" s="11" t="s">
        <v>2013</v>
      </c>
      <c r="I320" s="11">
        <v>2</v>
      </c>
    </row>
    <row r="321" spans="6:9" ht="20.100000000000001" customHeight="1" x14ac:dyDescent="0.25">
      <c r="F321" s="15" t="str">
        <f t="shared" si="5"/>
        <v>O1</v>
      </c>
      <c r="G321" s="11">
        <v>1</v>
      </c>
      <c r="H321" s="11" t="s">
        <v>2016</v>
      </c>
      <c r="I321" s="11">
        <v>1</v>
      </c>
    </row>
    <row r="322" spans="6:9" ht="20.100000000000001" customHeight="1" x14ac:dyDescent="0.25">
      <c r="F322" s="15" t="str">
        <f t="shared" ref="F322:F385" si="6">CONCATENATE(H322,G322)</f>
        <v>O2</v>
      </c>
      <c r="G322" s="11">
        <v>2</v>
      </c>
      <c r="H322" s="11" t="s">
        <v>2016</v>
      </c>
      <c r="I322" s="11">
        <v>2</v>
      </c>
    </row>
    <row r="323" spans="6:9" ht="20.100000000000001" customHeight="1" x14ac:dyDescent="0.25">
      <c r="F323" s="15" t="str">
        <f t="shared" si="6"/>
        <v>O3</v>
      </c>
      <c r="G323" s="11">
        <v>3</v>
      </c>
      <c r="H323" s="11" t="s">
        <v>2016</v>
      </c>
      <c r="I323" s="11">
        <v>1</v>
      </c>
    </row>
    <row r="324" spans="6:9" ht="20.100000000000001" customHeight="1" x14ac:dyDescent="0.25">
      <c r="F324" s="15" t="str">
        <f t="shared" si="6"/>
        <v>O4</v>
      </c>
      <c r="G324" s="11">
        <v>4</v>
      </c>
      <c r="H324" s="11" t="s">
        <v>2016</v>
      </c>
      <c r="I324" s="11">
        <v>2</v>
      </c>
    </row>
    <row r="325" spans="6:9" ht="20.100000000000001" customHeight="1" x14ac:dyDescent="0.25">
      <c r="F325" s="15" t="str">
        <f t="shared" si="6"/>
        <v>O5</v>
      </c>
      <c r="G325" s="11">
        <v>5</v>
      </c>
      <c r="H325" s="11" t="s">
        <v>2016</v>
      </c>
      <c r="I325" s="11">
        <v>1</v>
      </c>
    </row>
    <row r="326" spans="6:9" ht="20.100000000000001" customHeight="1" x14ac:dyDescent="0.25">
      <c r="F326" s="15" t="str">
        <f t="shared" si="6"/>
        <v>O6</v>
      </c>
      <c r="G326" s="11">
        <v>6</v>
      </c>
      <c r="H326" s="11" t="s">
        <v>2016</v>
      </c>
      <c r="I326" s="11">
        <v>2</v>
      </c>
    </row>
    <row r="327" spans="6:9" ht="20.100000000000001" customHeight="1" x14ac:dyDescent="0.25">
      <c r="F327" s="15" t="str">
        <f t="shared" si="6"/>
        <v>O7</v>
      </c>
      <c r="G327" s="11">
        <v>7</v>
      </c>
      <c r="H327" s="11" t="s">
        <v>2016</v>
      </c>
      <c r="I327" s="11">
        <v>1</v>
      </c>
    </row>
    <row r="328" spans="6:9" ht="20.100000000000001" customHeight="1" x14ac:dyDescent="0.25">
      <c r="F328" s="15" t="str">
        <f t="shared" si="6"/>
        <v>O8</v>
      </c>
      <c r="G328" s="11">
        <v>8</v>
      </c>
      <c r="H328" s="11" t="s">
        <v>2016</v>
      </c>
      <c r="I328" s="11">
        <v>2</v>
      </c>
    </row>
    <row r="329" spans="6:9" ht="20.100000000000001" customHeight="1" x14ac:dyDescent="0.25">
      <c r="F329" s="15" t="str">
        <f t="shared" si="6"/>
        <v>O9</v>
      </c>
      <c r="G329" s="11">
        <v>9</v>
      </c>
      <c r="H329" s="11" t="s">
        <v>2016</v>
      </c>
      <c r="I329" s="11">
        <v>1</v>
      </c>
    </row>
    <row r="330" spans="6:9" ht="20.100000000000001" customHeight="1" x14ac:dyDescent="0.25">
      <c r="F330" s="15" t="str">
        <f t="shared" si="6"/>
        <v>O10</v>
      </c>
      <c r="G330" s="11">
        <v>10</v>
      </c>
      <c r="H330" s="11" t="s">
        <v>2016</v>
      </c>
      <c r="I330" s="11">
        <v>2</v>
      </c>
    </row>
    <row r="331" spans="6:9" ht="20.100000000000001" customHeight="1" x14ac:dyDescent="0.25">
      <c r="F331" s="15" t="str">
        <f t="shared" si="6"/>
        <v>O11</v>
      </c>
      <c r="G331" s="11">
        <v>11</v>
      </c>
      <c r="H331" s="11" t="s">
        <v>2016</v>
      </c>
      <c r="I331" s="11">
        <v>1</v>
      </c>
    </row>
    <row r="332" spans="6:9" ht="20.100000000000001" customHeight="1" x14ac:dyDescent="0.25">
      <c r="F332" s="15" t="str">
        <f t="shared" si="6"/>
        <v>O12</v>
      </c>
      <c r="G332" s="11">
        <v>12</v>
      </c>
      <c r="H332" s="11" t="s">
        <v>2016</v>
      </c>
      <c r="I332" s="11">
        <v>2</v>
      </c>
    </row>
    <row r="333" spans="6:9" ht="20.100000000000001" customHeight="1" x14ac:dyDescent="0.25">
      <c r="F333" s="15" t="str">
        <f t="shared" si="6"/>
        <v>O13</v>
      </c>
      <c r="G333" s="11">
        <v>13</v>
      </c>
      <c r="H333" s="11" t="s">
        <v>2016</v>
      </c>
      <c r="I333" s="11">
        <v>1</v>
      </c>
    </row>
    <row r="334" spans="6:9" ht="20.100000000000001" customHeight="1" x14ac:dyDescent="0.25">
      <c r="F334" s="15" t="str">
        <f t="shared" si="6"/>
        <v>O14</v>
      </c>
      <c r="G334" s="11">
        <v>14</v>
      </c>
      <c r="H334" s="11" t="s">
        <v>2016</v>
      </c>
      <c r="I334" s="11">
        <v>2</v>
      </c>
    </row>
    <row r="335" spans="6:9" ht="20.100000000000001" customHeight="1" x14ac:dyDescent="0.25">
      <c r="F335" s="15" t="str">
        <f t="shared" si="6"/>
        <v>O15</v>
      </c>
      <c r="G335" s="11">
        <v>15</v>
      </c>
      <c r="H335" s="11" t="s">
        <v>2016</v>
      </c>
      <c r="I335" s="11">
        <v>1</v>
      </c>
    </row>
    <row r="336" spans="6:9" ht="20.100000000000001" customHeight="1" x14ac:dyDescent="0.25">
      <c r="F336" s="15" t="str">
        <f t="shared" si="6"/>
        <v>O16</v>
      </c>
      <c r="G336" s="11">
        <v>16</v>
      </c>
      <c r="H336" s="11" t="s">
        <v>2016</v>
      </c>
      <c r="I336" s="11">
        <v>2</v>
      </c>
    </row>
    <row r="337" spans="6:9" ht="20.100000000000001" customHeight="1" x14ac:dyDescent="0.25">
      <c r="F337" s="15" t="str">
        <f t="shared" si="6"/>
        <v>O17</v>
      </c>
      <c r="G337" s="11">
        <v>17</v>
      </c>
      <c r="H337" s="11" t="s">
        <v>2016</v>
      </c>
      <c r="I337" s="11">
        <v>1</v>
      </c>
    </row>
    <row r="338" spans="6:9" ht="20.100000000000001" customHeight="1" x14ac:dyDescent="0.25">
      <c r="F338" s="15" t="str">
        <f t="shared" si="6"/>
        <v>P1</v>
      </c>
      <c r="G338" s="11">
        <v>1</v>
      </c>
      <c r="H338" s="11" t="s">
        <v>2021</v>
      </c>
      <c r="I338" s="11">
        <v>2</v>
      </c>
    </row>
    <row r="339" spans="6:9" ht="20.100000000000001" customHeight="1" x14ac:dyDescent="0.25">
      <c r="F339" s="15" t="str">
        <f t="shared" si="6"/>
        <v>P2</v>
      </c>
      <c r="G339" s="11">
        <v>2</v>
      </c>
      <c r="H339" s="11" t="s">
        <v>2021</v>
      </c>
      <c r="I339" s="11">
        <v>1</v>
      </c>
    </row>
    <row r="340" spans="6:9" ht="20.100000000000001" customHeight="1" x14ac:dyDescent="0.25">
      <c r="F340" s="15" t="str">
        <f t="shared" si="6"/>
        <v>P3</v>
      </c>
      <c r="G340" s="11">
        <v>3</v>
      </c>
      <c r="H340" s="11" t="s">
        <v>2021</v>
      </c>
      <c r="I340" s="11">
        <v>2</v>
      </c>
    </row>
    <row r="341" spans="6:9" ht="20.100000000000001" customHeight="1" x14ac:dyDescent="0.25">
      <c r="F341" s="15" t="str">
        <f t="shared" si="6"/>
        <v>P4</v>
      </c>
      <c r="G341" s="11">
        <v>4</v>
      </c>
      <c r="H341" s="11" t="s">
        <v>2021</v>
      </c>
      <c r="I341" s="11">
        <v>1</v>
      </c>
    </row>
    <row r="342" spans="6:9" ht="20.100000000000001" customHeight="1" x14ac:dyDescent="0.25">
      <c r="F342" s="15" t="str">
        <f t="shared" si="6"/>
        <v>P5</v>
      </c>
      <c r="G342" s="11">
        <v>5</v>
      </c>
      <c r="H342" s="11" t="s">
        <v>2021</v>
      </c>
      <c r="I342" s="11">
        <v>2</v>
      </c>
    </row>
    <row r="343" spans="6:9" ht="20.100000000000001" customHeight="1" x14ac:dyDescent="0.25">
      <c r="F343" s="15" t="str">
        <f t="shared" si="6"/>
        <v>P6</v>
      </c>
      <c r="G343" s="11">
        <v>6</v>
      </c>
      <c r="H343" s="11" t="s">
        <v>2021</v>
      </c>
      <c r="I343" s="11">
        <v>1</v>
      </c>
    </row>
    <row r="344" spans="6:9" ht="20.100000000000001" customHeight="1" x14ac:dyDescent="0.25">
      <c r="F344" s="15" t="str">
        <f t="shared" si="6"/>
        <v>P7</v>
      </c>
      <c r="G344" s="11">
        <v>7</v>
      </c>
      <c r="H344" s="11" t="s">
        <v>2021</v>
      </c>
      <c r="I344" s="11">
        <v>2</v>
      </c>
    </row>
    <row r="345" spans="6:9" ht="20.100000000000001" customHeight="1" x14ac:dyDescent="0.25">
      <c r="F345" s="15" t="str">
        <f t="shared" si="6"/>
        <v>P8</v>
      </c>
      <c r="G345" s="11">
        <v>8</v>
      </c>
      <c r="H345" s="11" t="s">
        <v>2021</v>
      </c>
      <c r="I345" s="11">
        <v>1</v>
      </c>
    </row>
    <row r="346" spans="6:9" ht="20.100000000000001" customHeight="1" x14ac:dyDescent="0.25">
      <c r="F346" s="15" t="str">
        <f t="shared" si="6"/>
        <v>P9</v>
      </c>
      <c r="G346" s="11">
        <v>9</v>
      </c>
      <c r="H346" s="11" t="s">
        <v>2021</v>
      </c>
      <c r="I346" s="11">
        <v>2</v>
      </c>
    </row>
    <row r="347" spans="6:9" ht="20.100000000000001" customHeight="1" x14ac:dyDescent="0.25">
      <c r="F347" s="15" t="str">
        <f t="shared" si="6"/>
        <v>P10</v>
      </c>
      <c r="G347" s="11">
        <v>10</v>
      </c>
      <c r="H347" s="11" t="s">
        <v>2021</v>
      </c>
      <c r="I347" s="11">
        <v>1</v>
      </c>
    </row>
    <row r="348" spans="6:9" ht="20.100000000000001" customHeight="1" x14ac:dyDescent="0.25">
      <c r="F348" s="15" t="str">
        <f t="shared" si="6"/>
        <v>P11</v>
      </c>
      <c r="G348" s="11">
        <v>11</v>
      </c>
      <c r="H348" s="11" t="s">
        <v>2021</v>
      </c>
      <c r="I348" s="11">
        <v>2</v>
      </c>
    </row>
    <row r="349" spans="6:9" ht="20.100000000000001" customHeight="1" x14ac:dyDescent="0.25">
      <c r="F349" s="15" t="str">
        <f t="shared" si="6"/>
        <v>P12</v>
      </c>
      <c r="G349" s="11">
        <v>12</v>
      </c>
      <c r="H349" s="11" t="s">
        <v>2021</v>
      </c>
      <c r="I349" s="11">
        <v>1</v>
      </c>
    </row>
    <row r="350" spans="6:9" ht="20.100000000000001" customHeight="1" x14ac:dyDescent="0.25">
      <c r="F350" s="15" t="str">
        <f t="shared" si="6"/>
        <v>P13</v>
      </c>
      <c r="G350" s="11">
        <v>13</v>
      </c>
      <c r="H350" s="11" t="s">
        <v>2021</v>
      </c>
      <c r="I350" s="11">
        <v>2</v>
      </c>
    </row>
    <row r="351" spans="6:9" ht="20.100000000000001" customHeight="1" x14ac:dyDescent="0.25">
      <c r="F351" s="15" t="str">
        <f t="shared" si="6"/>
        <v>P14</v>
      </c>
      <c r="G351" s="11">
        <v>14</v>
      </c>
      <c r="H351" s="11" t="s">
        <v>2021</v>
      </c>
      <c r="I351" s="11">
        <v>1</v>
      </c>
    </row>
    <row r="352" spans="6:9" ht="20.100000000000001" customHeight="1" x14ac:dyDescent="0.25">
      <c r="F352" s="15" t="str">
        <f t="shared" si="6"/>
        <v>Q1</v>
      </c>
      <c r="G352" s="11">
        <v>1</v>
      </c>
      <c r="H352" s="11" t="s">
        <v>2024</v>
      </c>
      <c r="I352" s="11">
        <v>1</v>
      </c>
    </row>
    <row r="353" spans="6:9" ht="20.100000000000001" customHeight="1" x14ac:dyDescent="0.25">
      <c r="F353" s="15" t="str">
        <f t="shared" si="6"/>
        <v>Q2</v>
      </c>
      <c r="G353" s="11">
        <v>2</v>
      </c>
      <c r="H353" s="11" t="s">
        <v>2024</v>
      </c>
      <c r="I353" s="11">
        <v>1</v>
      </c>
    </row>
    <row r="354" spans="6:9" ht="20.100000000000001" customHeight="1" x14ac:dyDescent="0.25">
      <c r="F354" s="15" t="str">
        <f t="shared" si="6"/>
        <v>Q3</v>
      </c>
      <c r="G354" s="11">
        <v>3</v>
      </c>
      <c r="H354" s="11" t="s">
        <v>2024</v>
      </c>
      <c r="I354" s="11">
        <v>1</v>
      </c>
    </row>
    <row r="355" spans="6:9" ht="20.100000000000001" customHeight="1" x14ac:dyDescent="0.25">
      <c r="F355" s="15" t="str">
        <f t="shared" si="6"/>
        <v>Q4</v>
      </c>
      <c r="G355" s="11">
        <v>4</v>
      </c>
      <c r="H355" s="11" t="s">
        <v>2024</v>
      </c>
      <c r="I355" s="11">
        <v>1</v>
      </c>
    </row>
    <row r="356" spans="6:9" ht="20.100000000000001" customHeight="1" x14ac:dyDescent="0.25">
      <c r="F356" s="15" t="str">
        <f t="shared" si="6"/>
        <v>Q5</v>
      </c>
      <c r="G356" s="11">
        <v>5</v>
      </c>
      <c r="H356" s="11" t="s">
        <v>2024</v>
      </c>
      <c r="I356" s="11">
        <v>1</v>
      </c>
    </row>
    <row r="357" spans="6:9" ht="20.100000000000001" customHeight="1" x14ac:dyDescent="0.25">
      <c r="F357" s="15" t="str">
        <f t="shared" si="6"/>
        <v>Q6</v>
      </c>
      <c r="G357" s="11">
        <v>6</v>
      </c>
      <c r="H357" s="11" t="s">
        <v>2024</v>
      </c>
      <c r="I357" s="11">
        <v>1</v>
      </c>
    </row>
    <row r="358" spans="6:9" ht="20.100000000000001" customHeight="1" x14ac:dyDescent="0.25">
      <c r="F358" s="15" t="str">
        <f t="shared" si="6"/>
        <v>Q7</v>
      </c>
      <c r="G358" s="11">
        <v>7</v>
      </c>
      <c r="H358" s="11" t="s">
        <v>2024</v>
      </c>
      <c r="I358" s="11">
        <v>1</v>
      </c>
    </row>
    <row r="359" spans="6:9" ht="20.100000000000001" customHeight="1" x14ac:dyDescent="0.25">
      <c r="F359" s="15" t="str">
        <f t="shared" si="6"/>
        <v>Q8</v>
      </c>
      <c r="G359" s="11">
        <v>8</v>
      </c>
      <c r="H359" s="11" t="s">
        <v>2024</v>
      </c>
      <c r="I359" s="11">
        <v>1</v>
      </c>
    </row>
    <row r="360" spans="6:9" ht="20.100000000000001" customHeight="1" x14ac:dyDescent="0.25">
      <c r="F360" s="15" t="str">
        <f t="shared" si="6"/>
        <v>Q9</v>
      </c>
      <c r="G360" s="11">
        <v>9</v>
      </c>
      <c r="H360" s="11" t="s">
        <v>2024</v>
      </c>
      <c r="I360" s="11">
        <v>1</v>
      </c>
    </row>
    <row r="361" spans="6:9" ht="20.100000000000001" customHeight="1" x14ac:dyDescent="0.25">
      <c r="F361" s="15" t="str">
        <f t="shared" si="6"/>
        <v>Q10</v>
      </c>
      <c r="G361" s="11">
        <v>10</v>
      </c>
      <c r="H361" s="11" t="s">
        <v>2024</v>
      </c>
      <c r="I361" s="11">
        <v>1</v>
      </c>
    </row>
    <row r="362" spans="6:9" ht="20.100000000000001" customHeight="1" x14ac:dyDescent="0.25">
      <c r="F362" s="15" t="str">
        <f t="shared" si="6"/>
        <v>Q11</v>
      </c>
      <c r="G362" s="11">
        <v>11</v>
      </c>
      <c r="H362" s="11" t="s">
        <v>2024</v>
      </c>
      <c r="I362" s="11">
        <v>1</v>
      </c>
    </row>
    <row r="363" spans="6:9" ht="20.100000000000001" customHeight="1" x14ac:dyDescent="0.25">
      <c r="F363" s="15" t="str">
        <f t="shared" si="6"/>
        <v>Q12</v>
      </c>
      <c r="G363" s="11">
        <v>12</v>
      </c>
      <c r="H363" s="11" t="s">
        <v>2024</v>
      </c>
      <c r="I363" s="11">
        <v>1</v>
      </c>
    </row>
    <row r="364" spans="6:9" ht="20.100000000000001" customHeight="1" x14ac:dyDescent="0.25">
      <c r="F364" s="15" t="str">
        <f t="shared" si="6"/>
        <v>Q13</v>
      </c>
      <c r="G364" s="11">
        <v>13</v>
      </c>
      <c r="H364" s="11" t="s">
        <v>2024</v>
      </c>
      <c r="I364" s="11">
        <v>1</v>
      </c>
    </row>
    <row r="365" spans="6:9" ht="20.100000000000001" customHeight="1" x14ac:dyDescent="0.25">
      <c r="F365" s="15" t="str">
        <f t="shared" si="6"/>
        <v>Q14</v>
      </c>
      <c r="G365" s="11">
        <v>14</v>
      </c>
      <c r="H365" s="11" t="s">
        <v>2024</v>
      </c>
      <c r="I365" s="11">
        <v>1</v>
      </c>
    </row>
    <row r="366" spans="6:9" ht="20.100000000000001" customHeight="1" x14ac:dyDescent="0.25">
      <c r="F366" s="15" t="str">
        <f t="shared" si="6"/>
        <v>Q15</v>
      </c>
      <c r="G366" s="11">
        <v>15</v>
      </c>
      <c r="H366" s="11" t="s">
        <v>2024</v>
      </c>
      <c r="I366" s="11">
        <v>1</v>
      </c>
    </row>
    <row r="367" spans="6:9" ht="20.100000000000001" customHeight="1" x14ac:dyDescent="0.25">
      <c r="F367" s="15" t="str">
        <f t="shared" si="6"/>
        <v>Q16</v>
      </c>
      <c r="G367" s="11">
        <v>16</v>
      </c>
      <c r="H367" s="11" t="s">
        <v>2024</v>
      </c>
      <c r="I367" s="11">
        <v>1</v>
      </c>
    </row>
    <row r="368" spans="6:9" ht="20.100000000000001" customHeight="1" x14ac:dyDescent="0.25">
      <c r="F368" s="15" t="str">
        <f t="shared" si="6"/>
        <v>Q17</v>
      </c>
      <c r="G368" s="11">
        <v>17</v>
      </c>
      <c r="H368" s="11" t="s">
        <v>2024</v>
      </c>
      <c r="I368" s="11">
        <v>1</v>
      </c>
    </row>
    <row r="369" spans="6:9" ht="20.100000000000001" customHeight="1" x14ac:dyDescent="0.25">
      <c r="F369" s="15" t="str">
        <f t="shared" si="6"/>
        <v>Q18</v>
      </c>
      <c r="G369" s="11">
        <v>18</v>
      </c>
      <c r="H369" s="11" t="s">
        <v>2024</v>
      </c>
      <c r="I369" s="11">
        <v>1</v>
      </c>
    </row>
    <row r="370" spans="6:9" ht="20.100000000000001" customHeight="1" x14ac:dyDescent="0.25">
      <c r="F370" s="15" t="str">
        <f t="shared" si="6"/>
        <v>Q19</v>
      </c>
      <c r="G370" s="11">
        <v>19</v>
      </c>
      <c r="H370" s="11" t="s">
        <v>2024</v>
      </c>
      <c r="I370" s="11">
        <v>1</v>
      </c>
    </row>
    <row r="371" spans="6:9" ht="20.100000000000001" customHeight="1" x14ac:dyDescent="0.25">
      <c r="F371" s="15" t="str">
        <f t="shared" si="6"/>
        <v>Q20</v>
      </c>
      <c r="G371" s="11">
        <v>20</v>
      </c>
      <c r="H371" s="11" t="s">
        <v>2024</v>
      </c>
      <c r="I371" s="11">
        <v>1</v>
      </c>
    </row>
    <row r="372" spans="6:9" ht="20.100000000000001" customHeight="1" x14ac:dyDescent="0.25">
      <c r="F372" s="15" t="str">
        <f t="shared" si="6"/>
        <v>Q21</v>
      </c>
      <c r="G372" s="11">
        <v>21</v>
      </c>
      <c r="H372" s="11" t="s">
        <v>2024</v>
      </c>
      <c r="I372" s="11">
        <v>1</v>
      </c>
    </row>
    <row r="373" spans="6:9" ht="20.100000000000001" customHeight="1" x14ac:dyDescent="0.25">
      <c r="F373" s="15" t="str">
        <f t="shared" si="6"/>
        <v>Q22</v>
      </c>
      <c r="G373" s="11">
        <v>22</v>
      </c>
      <c r="H373" s="11" t="s">
        <v>2024</v>
      </c>
      <c r="I373" s="11">
        <v>1</v>
      </c>
    </row>
    <row r="374" spans="6:9" ht="20.100000000000001" customHeight="1" x14ac:dyDescent="0.25">
      <c r="F374" s="15" t="str">
        <f t="shared" si="6"/>
        <v>Q23</v>
      </c>
      <c r="G374" s="11">
        <v>23</v>
      </c>
      <c r="H374" s="11" t="s">
        <v>2024</v>
      </c>
      <c r="I374" s="11">
        <v>1</v>
      </c>
    </row>
    <row r="375" spans="6:9" ht="20.100000000000001" customHeight="1" x14ac:dyDescent="0.25">
      <c r="F375" s="15" t="str">
        <f t="shared" si="6"/>
        <v>Q24</v>
      </c>
      <c r="G375" s="11">
        <v>24</v>
      </c>
      <c r="H375" s="11" t="s">
        <v>2024</v>
      </c>
      <c r="I375" s="11">
        <v>1</v>
      </c>
    </row>
    <row r="376" spans="6:9" ht="20.100000000000001" customHeight="1" x14ac:dyDescent="0.25">
      <c r="F376" s="15" t="str">
        <f t="shared" si="6"/>
        <v>Q25</v>
      </c>
      <c r="G376" s="11">
        <v>25</v>
      </c>
      <c r="H376" s="11" t="s">
        <v>2024</v>
      </c>
      <c r="I376" s="11">
        <v>1</v>
      </c>
    </row>
    <row r="377" spans="6:9" ht="20.100000000000001" customHeight="1" x14ac:dyDescent="0.25">
      <c r="F377" s="15" t="str">
        <f t="shared" si="6"/>
        <v>Q26</v>
      </c>
      <c r="G377" s="11">
        <v>26</v>
      </c>
      <c r="H377" s="11" t="s">
        <v>2024</v>
      </c>
      <c r="I377" s="11">
        <v>1</v>
      </c>
    </row>
    <row r="378" spans="6:9" ht="20.100000000000001" customHeight="1" x14ac:dyDescent="0.25">
      <c r="F378" s="15" t="str">
        <f t="shared" si="6"/>
        <v>Q27</v>
      </c>
      <c r="G378" s="11">
        <v>27</v>
      </c>
      <c r="H378" s="11" t="s">
        <v>2024</v>
      </c>
      <c r="I378" s="11">
        <v>1</v>
      </c>
    </row>
    <row r="379" spans="6:9" ht="20.100000000000001" customHeight="1" x14ac:dyDescent="0.25">
      <c r="F379" s="15" t="str">
        <f t="shared" si="6"/>
        <v>Q28</v>
      </c>
      <c r="G379" s="11">
        <v>28</v>
      </c>
      <c r="H379" s="11" t="s">
        <v>2024</v>
      </c>
      <c r="I379" s="11">
        <v>1</v>
      </c>
    </row>
    <row r="380" spans="6:9" ht="20.100000000000001" customHeight="1" x14ac:dyDescent="0.25">
      <c r="F380" s="15" t="str">
        <f t="shared" si="6"/>
        <v>Q29</v>
      </c>
      <c r="G380" s="11">
        <v>29</v>
      </c>
      <c r="H380" s="11" t="s">
        <v>2024</v>
      </c>
      <c r="I380" s="11">
        <v>1</v>
      </c>
    </row>
    <row r="381" spans="6:9" ht="20.100000000000001" customHeight="1" x14ac:dyDescent="0.25">
      <c r="F381" s="15" t="str">
        <f t="shared" si="6"/>
        <v>Q30</v>
      </c>
      <c r="G381" s="11">
        <v>30</v>
      </c>
      <c r="H381" s="11" t="s">
        <v>2024</v>
      </c>
      <c r="I381" s="11">
        <v>1</v>
      </c>
    </row>
    <row r="382" spans="6:9" ht="20.100000000000001" customHeight="1" x14ac:dyDescent="0.25">
      <c r="F382" s="15" t="str">
        <f t="shared" si="6"/>
        <v>Q31</v>
      </c>
      <c r="G382" s="11">
        <v>31</v>
      </c>
      <c r="H382" s="11" t="s">
        <v>2024</v>
      </c>
      <c r="I382" s="11">
        <v>1</v>
      </c>
    </row>
    <row r="383" spans="6:9" ht="20.100000000000001" customHeight="1" x14ac:dyDescent="0.25">
      <c r="F383" s="15" t="str">
        <f t="shared" si="6"/>
        <v>Q32</v>
      </c>
      <c r="G383" s="11">
        <v>32</v>
      </c>
      <c r="H383" s="11" t="s">
        <v>2024</v>
      </c>
      <c r="I383" s="11">
        <v>1</v>
      </c>
    </row>
    <row r="384" spans="6:9" ht="20.100000000000001" customHeight="1" x14ac:dyDescent="0.25">
      <c r="F384" s="15" t="str">
        <f t="shared" si="6"/>
        <v>R1</v>
      </c>
      <c r="G384" s="11">
        <v>1</v>
      </c>
      <c r="H384" s="11" t="s">
        <v>2027</v>
      </c>
      <c r="I384" s="11">
        <v>1</v>
      </c>
    </row>
    <row r="385" spans="6:9" ht="20.100000000000001" customHeight="1" x14ac:dyDescent="0.25">
      <c r="F385" s="15" t="str">
        <f t="shared" si="6"/>
        <v>R3</v>
      </c>
      <c r="G385" s="11">
        <v>3</v>
      </c>
      <c r="H385" s="11" t="s">
        <v>2027</v>
      </c>
      <c r="I385" s="11">
        <v>1</v>
      </c>
    </row>
    <row r="386" spans="6:9" ht="20.100000000000001" customHeight="1" x14ac:dyDescent="0.25">
      <c r="F386" s="15" t="str">
        <f t="shared" ref="F386:F449" si="7">CONCATENATE(H386,G386)</f>
        <v>R5</v>
      </c>
      <c r="G386" s="11">
        <v>5</v>
      </c>
      <c r="H386" s="11" t="s">
        <v>2027</v>
      </c>
      <c r="I386" s="11">
        <v>1</v>
      </c>
    </row>
    <row r="387" spans="6:9" ht="20.100000000000001" customHeight="1" x14ac:dyDescent="0.25">
      <c r="F387" s="15" t="str">
        <f t="shared" si="7"/>
        <v>R7</v>
      </c>
      <c r="G387" s="11">
        <v>7</v>
      </c>
      <c r="H387" s="11" t="s">
        <v>2027</v>
      </c>
      <c r="I387" s="11">
        <v>1</v>
      </c>
    </row>
    <row r="388" spans="6:9" ht="20.100000000000001" customHeight="1" x14ac:dyDescent="0.25">
      <c r="F388" s="15" t="str">
        <f t="shared" si="7"/>
        <v>R9</v>
      </c>
      <c r="G388" s="11">
        <v>9</v>
      </c>
      <c r="H388" s="11" t="s">
        <v>2027</v>
      </c>
      <c r="I388" s="11">
        <v>1</v>
      </c>
    </row>
    <row r="389" spans="6:9" ht="20.100000000000001" customHeight="1" x14ac:dyDescent="0.25">
      <c r="F389" s="15" t="str">
        <f t="shared" si="7"/>
        <v>R11</v>
      </c>
      <c r="G389" s="11">
        <v>11</v>
      </c>
      <c r="H389" s="11" t="s">
        <v>2027</v>
      </c>
      <c r="I389" s="11">
        <v>1</v>
      </c>
    </row>
    <row r="390" spans="6:9" ht="20.100000000000001" customHeight="1" x14ac:dyDescent="0.25">
      <c r="F390" s="15" t="str">
        <f t="shared" si="7"/>
        <v>R13</v>
      </c>
      <c r="G390" s="11">
        <v>13</v>
      </c>
      <c r="H390" s="11" t="s">
        <v>2027</v>
      </c>
      <c r="I390" s="11">
        <v>1</v>
      </c>
    </row>
    <row r="391" spans="6:9" ht="20.100000000000001" customHeight="1" x14ac:dyDescent="0.25">
      <c r="F391" s="15" t="str">
        <f t="shared" si="7"/>
        <v>R15</v>
      </c>
      <c r="G391" s="11">
        <v>15</v>
      </c>
      <c r="H391" s="11" t="s">
        <v>2027</v>
      </c>
      <c r="I391" s="11">
        <v>1</v>
      </c>
    </row>
    <row r="392" spans="6:9" ht="20.100000000000001" customHeight="1" x14ac:dyDescent="0.25">
      <c r="F392" s="15" t="str">
        <f t="shared" si="7"/>
        <v>R17</v>
      </c>
      <c r="G392" s="11">
        <v>17</v>
      </c>
      <c r="H392" s="11" t="s">
        <v>2027</v>
      </c>
      <c r="I392" s="11">
        <v>1</v>
      </c>
    </row>
    <row r="393" spans="6:9" ht="20.100000000000001" customHeight="1" x14ac:dyDescent="0.25">
      <c r="F393" s="15" t="str">
        <f t="shared" si="7"/>
        <v>R19</v>
      </c>
      <c r="G393" s="11">
        <v>19</v>
      </c>
      <c r="H393" s="11" t="s">
        <v>2027</v>
      </c>
      <c r="I393" s="11">
        <v>1</v>
      </c>
    </row>
    <row r="394" spans="6:9" ht="20.100000000000001" customHeight="1" x14ac:dyDescent="0.25">
      <c r="F394" s="15" t="str">
        <f t="shared" si="7"/>
        <v>R21</v>
      </c>
      <c r="G394" s="11">
        <v>21</v>
      </c>
      <c r="H394" s="11" t="s">
        <v>2027</v>
      </c>
      <c r="I394" s="11">
        <v>1</v>
      </c>
    </row>
    <row r="395" spans="6:9" ht="20.100000000000001" customHeight="1" x14ac:dyDescent="0.25">
      <c r="F395" s="15" t="str">
        <f t="shared" si="7"/>
        <v>R23</v>
      </c>
      <c r="G395" s="11">
        <v>23</v>
      </c>
      <c r="H395" s="11" t="s">
        <v>2027</v>
      </c>
      <c r="I395" s="11">
        <v>1</v>
      </c>
    </row>
    <row r="396" spans="6:9" ht="20.100000000000001" customHeight="1" x14ac:dyDescent="0.25">
      <c r="F396" s="15" t="str">
        <f t="shared" si="7"/>
        <v>R27</v>
      </c>
      <c r="G396" s="11">
        <v>27</v>
      </c>
      <c r="H396" s="11" t="s">
        <v>2027</v>
      </c>
      <c r="I396" s="11">
        <v>1</v>
      </c>
    </row>
    <row r="397" spans="6:9" ht="20.100000000000001" customHeight="1" x14ac:dyDescent="0.25">
      <c r="F397" s="15" t="str">
        <f t="shared" si="7"/>
        <v>R36</v>
      </c>
      <c r="G397" s="11">
        <v>36</v>
      </c>
      <c r="H397" s="11" t="s">
        <v>2027</v>
      </c>
      <c r="I397" s="11">
        <v>1</v>
      </c>
    </row>
    <row r="398" spans="6:9" ht="20.100000000000001" customHeight="1" x14ac:dyDescent="0.25">
      <c r="F398" s="15" t="str">
        <f t="shared" si="7"/>
        <v>U1</v>
      </c>
      <c r="G398" s="11">
        <v>1</v>
      </c>
      <c r="H398" s="11" t="s">
        <v>2030</v>
      </c>
      <c r="I398" s="11">
        <v>1</v>
      </c>
    </row>
    <row r="399" spans="6:9" ht="20.100000000000001" customHeight="1" x14ac:dyDescent="0.25">
      <c r="F399" s="15" t="str">
        <f t="shared" si="7"/>
        <v>U2</v>
      </c>
      <c r="G399" s="11">
        <v>2</v>
      </c>
      <c r="H399" s="11" t="s">
        <v>2030</v>
      </c>
      <c r="I399" s="11">
        <v>1</v>
      </c>
    </row>
    <row r="400" spans="6:9" ht="20.100000000000001" customHeight="1" x14ac:dyDescent="0.25">
      <c r="F400" s="15" t="str">
        <f t="shared" si="7"/>
        <v>U3</v>
      </c>
      <c r="G400" s="11">
        <v>3</v>
      </c>
      <c r="H400" s="11" t="s">
        <v>2030</v>
      </c>
      <c r="I400" s="11">
        <v>1</v>
      </c>
    </row>
    <row r="401" spans="6:9" ht="20.100000000000001" customHeight="1" x14ac:dyDescent="0.25">
      <c r="F401" s="15" t="str">
        <f t="shared" si="7"/>
        <v>U4</v>
      </c>
      <c r="G401" s="11">
        <v>4</v>
      </c>
      <c r="H401" s="11" t="s">
        <v>2030</v>
      </c>
      <c r="I401" s="11">
        <v>1</v>
      </c>
    </row>
    <row r="402" spans="6:9" ht="20.100000000000001" customHeight="1" x14ac:dyDescent="0.25">
      <c r="F402" s="15" t="str">
        <f t="shared" si="7"/>
        <v>U5</v>
      </c>
      <c r="G402" s="11">
        <v>5</v>
      </c>
      <c r="H402" s="11" t="s">
        <v>2030</v>
      </c>
      <c r="I402" s="11">
        <v>1</v>
      </c>
    </row>
    <row r="403" spans="6:9" ht="20.100000000000001" customHeight="1" x14ac:dyDescent="0.25">
      <c r="F403" s="15" t="str">
        <f t="shared" si="7"/>
        <v>U6</v>
      </c>
      <c r="G403" s="11">
        <v>6</v>
      </c>
      <c r="H403" s="11" t="s">
        <v>2030</v>
      </c>
      <c r="I403" s="11">
        <v>1</v>
      </c>
    </row>
    <row r="404" spans="6:9" ht="20.100000000000001" customHeight="1" x14ac:dyDescent="0.25">
      <c r="F404" s="15" t="str">
        <f t="shared" si="7"/>
        <v>U7</v>
      </c>
      <c r="G404" s="11">
        <v>7</v>
      </c>
      <c r="H404" s="11" t="s">
        <v>2030</v>
      </c>
      <c r="I404" s="11">
        <v>1</v>
      </c>
    </row>
    <row r="405" spans="6:9" ht="20.100000000000001" customHeight="1" x14ac:dyDescent="0.25">
      <c r="F405" s="15" t="str">
        <f t="shared" si="7"/>
        <v>U8</v>
      </c>
      <c r="G405" s="11">
        <v>8</v>
      </c>
      <c r="H405" s="11" t="s">
        <v>2030</v>
      </c>
      <c r="I405" s="11">
        <v>1</v>
      </c>
    </row>
    <row r="406" spans="6:9" ht="20.100000000000001" customHeight="1" x14ac:dyDescent="0.25">
      <c r="F406" s="15" t="str">
        <f t="shared" si="7"/>
        <v>U9</v>
      </c>
      <c r="G406" s="11">
        <v>9</v>
      </c>
      <c r="H406" s="11" t="s">
        <v>2030</v>
      </c>
      <c r="I406" s="11">
        <v>1</v>
      </c>
    </row>
    <row r="407" spans="6:9" ht="20.100000000000001" customHeight="1" x14ac:dyDescent="0.25">
      <c r="F407" s="15" t="str">
        <f t="shared" si="7"/>
        <v>U10</v>
      </c>
      <c r="G407" s="11">
        <v>10</v>
      </c>
      <c r="H407" s="11" t="s">
        <v>2030</v>
      </c>
      <c r="I407" s="11">
        <v>1</v>
      </c>
    </row>
    <row r="408" spans="6:9" ht="20.100000000000001" customHeight="1" x14ac:dyDescent="0.25">
      <c r="F408" s="15" t="str">
        <f t="shared" si="7"/>
        <v>U11</v>
      </c>
      <c r="G408" s="11">
        <v>11</v>
      </c>
      <c r="H408" s="11" t="s">
        <v>2030</v>
      </c>
      <c r="I408" s="11">
        <v>1</v>
      </c>
    </row>
    <row r="409" spans="6:9" ht="20.100000000000001" customHeight="1" x14ac:dyDescent="0.25">
      <c r="F409" s="15" t="str">
        <f t="shared" si="7"/>
        <v>U12</v>
      </c>
      <c r="G409" s="11">
        <v>12</v>
      </c>
      <c r="H409" s="11" t="s">
        <v>2030</v>
      </c>
      <c r="I409" s="11">
        <v>1</v>
      </c>
    </row>
    <row r="410" spans="6:9" ht="20.100000000000001" customHeight="1" x14ac:dyDescent="0.25">
      <c r="F410" s="15" t="str">
        <f t="shared" si="7"/>
        <v>U13</v>
      </c>
      <c r="G410" s="11">
        <v>13</v>
      </c>
      <c r="H410" s="11" t="s">
        <v>2030</v>
      </c>
      <c r="I410" s="11">
        <v>1</v>
      </c>
    </row>
    <row r="411" spans="6:9" ht="20.100000000000001" customHeight="1" x14ac:dyDescent="0.25">
      <c r="F411" s="15" t="str">
        <f t="shared" si="7"/>
        <v>U14</v>
      </c>
      <c r="G411" s="11">
        <v>14</v>
      </c>
      <c r="H411" s="11" t="s">
        <v>2030</v>
      </c>
      <c r="I411" s="11">
        <v>1</v>
      </c>
    </row>
    <row r="412" spans="6:9" ht="20.100000000000001" customHeight="1" x14ac:dyDescent="0.25">
      <c r="F412" s="15" t="str">
        <f t="shared" si="7"/>
        <v>U15</v>
      </c>
      <c r="G412" s="11">
        <v>15</v>
      </c>
      <c r="H412" s="11" t="s">
        <v>2030</v>
      </c>
      <c r="I412" s="11">
        <v>1</v>
      </c>
    </row>
    <row r="413" spans="6:9" ht="20.100000000000001" customHeight="1" x14ac:dyDescent="0.25">
      <c r="F413" s="15" t="str">
        <f t="shared" si="7"/>
        <v>U16</v>
      </c>
      <c r="G413" s="11">
        <v>16</v>
      </c>
      <c r="H413" s="11" t="s">
        <v>2030</v>
      </c>
      <c r="I413" s="11">
        <v>1</v>
      </c>
    </row>
    <row r="414" spans="6:9" ht="20.100000000000001" customHeight="1" x14ac:dyDescent="0.25">
      <c r="F414" s="15" t="str">
        <f t="shared" si="7"/>
        <v>U17</v>
      </c>
      <c r="G414" s="11">
        <v>17</v>
      </c>
      <c r="H414" s="11" t="s">
        <v>2030</v>
      </c>
      <c r="I414" s="11">
        <v>1</v>
      </c>
    </row>
    <row r="415" spans="6:9" ht="20.100000000000001" customHeight="1" x14ac:dyDescent="0.25">
      <c r="F415" s="15" t="str">
        <f t="shared" si="7"/>
        <v>U18</v>
      </c>
      <c r="G415" s="11">
        <v>18</v>
      </c>
      <c r="H415" s="11" t="s">
        <v>2030</v>
      </c>
      <c r="I415" s="11">
        <v>1</v>
      </c>
    </row>
    <row r="416" spans="6:9" ht="20.100000000000001" customHeight="1" x14ac:dyDescent="0.25">
      <c r="F416" s="15" t="str">
        <f t="shared" si="7"/>
        <v>U19</v>
      </c>
      <c r="G416" s="11">
        <v>19</v>
      </c>
      <c r="H416" s="11" t="s">
        <v>2030</v>
      </c>
      <c r="I416" s="11">
        <v>1</v>
      </c>
    </row>
    <row r="417" spans="6:9" ht="20.100000000000001" customHeight="1" x14ac:dyDescent="0.25">
      <c r="F417" s="15" t="str">
        <f t="shared" si="7"/>
        <v>V1</v>
      </c>
      <c r="G417" s="11">
        <v>1</v>
      </c>
      <c r="H417" s="11" t="s">
        <v>2033</v>
      </c>
      <c r="I417" s="11">
        <v>1</v>
      </c>
    </row>
    <row r="418" spans="6:9" ht="20.100000000000001" customHeight="1" x14ac:dyDescent="0.25">
      <c r="F418" s="15" t="str">
        <f t="shared" si="7"/>
        <v>V2</v>
      </c>
      <c r="G418" s="11">
        <v>2</v>
      </c>
      <c r="H418" s="11" t="s">
        <v>2033</v>
      </c>
      <c r="I418" s="11">
        <v>1</v>
      </c>
    </row>
    <row r="419" spans="6:9" ht="20.100000000000001" customHeight="1" x14ac:dyDescent="0.25">
      <c r="F419" s="15" t="str">
        <f t="shared" si="7"/>
        <v>V3</v>
      </c>
      <c r="G419" s="11">
        <v>3</v>
      </c>
      <c r="H419" s="11" t="s">
        <v>2033</v>
      </c>
      <c r="I419" s="11">
        <v>1</v>
      </c>
    </row>
    <row r="420" spans="6:9" ht="20.100000000000001" customHeight="1" x14ac:dyDescent="0.25">
      <c r="F420" s="15" t="str">
        <f t="shared" si="7"/>
        <v>V4</v>
      </c>
      <c r="G420" s="11">
        <v>4</v>
      </c>
      <c r="H420" s="11" t="s">
        <v>2033</v>
      </c>
      <c r="I420" s="11">
        <v>1</v>
      </c>
    </row>
    <row r="421" spans="6:9" ht="20.100000000000001" customHeight="1" x14ac:dyDescent="0.25">
      <c r="F421" s="15" t="str">
        <f t="shared" si="7"/>
        <v>V5</v>
      </c>
      <c r="G421" s="11">
        <v>5</v>
      </c>
      <c r="H421" s="11" t="s">
        <v>2033</v>
      </c>
      <c r="I421" s="11">
        <v>1</v>
      </c>
    </row>
    <row r="422" spans="6:9" ht="20.100000000000001" customHeight="1" x14ac:dyDescent="0.25">
      <c r="F422" s="15" t="str">
        <f t="shared" si="7"/>
        <v>V6</v>
      </c>
      <c r="G422" s="11">
        <v>6</v>
      </c>
      <c r="H422" s="11" t="s">
        <v>2033</v>
      </c>
      <c r="I422" s="11">
        <v>1</v>
      </c>
    </row>
    <row r="423" spans="6:9" ht="20.100000000000001" customHeight="1" x14ac:dyDescent="0.25">
      <c r="F423" s="15" t="str">
        <f t="shared" si="7"/>
        <v>V7</v>
      </c>
      <c r="G423" s="11">
        <v>7</v>
      </c>
      <c r="H423" s="11" t="s">
        <v>2033</v>
      </c>
      <c r="I423" s="11">
        <v>1</v>
      </c>
    </row>
    <row r="424" spans="6:9" ht="20.100000000000001" customHeight="1" x14ac:dyDescent="0.25">
      <c r="F424" s="15" t="str">
        <f t="shared" si="7"/>
        <v>V8</v>
      </c>
      <c r="G424" s="11">
        <v>8</v>
      </c>
      <c r="H424" s="11" t="s">
        <v>2033</v>
      </c>
      <c r="I424" s="11">
        <v>1</v>
      </c>
    </row>
    <row r="425" spans="6:9" ht="20.100000000000001" customHeight="1" x14ac:dyDescent="0.25">
      <c r="F425" s="15" t="str">
        <f t="shared" si="7"/>
        <v>V9</v>
      </c>
      <c r="G425" s="11">
        <v>9</v>
      </c>
      <c r="H425" s="11" t="s">
        <v>2033</v>
      </c>
      <c r="I425" s="11">
        <v>1</v>
      </c>
    </row>
    <row r="426" spans="6:9" ht="20.100000000000001" customHeight="1" x14ac:dyDescent="0.25">
      <c r="F426" s="15" t="str">
        <f t="shared" si="7"/>
        <v>V10</v>
      </c>
      <c r="G426" s="11">
        <v>10</v>
      </c>
      <c r="H426" s="11" t="s">
        <v>2033</v>
      </c>
      <c r="I426" s="11">
        <v>1</v>
      </c>
    </row>
    <row r="427" spans="6:9" ht="20.100000000000001" customHeight="1" x14ac:dyDescent="0.25">
      <c r="F427" s="15" t="str">
        <f t="shared" si="7"/>
        <v>V11</v>
      </c>
      <c r="G427" s="11">
        <v>11</v>
      </c>
      <c r="H427" s="11" t="s">
        <v>2033</v>
      </c>
      <c r="I427" s="11">
        <v>1</v>
      </c>
    </row>
    <row r="428" spans="6:9" ht="20.100000000000001" customHeight="1" x14ac:dyDescent="0.25">
      <c r="F428" s="15" t="str">
        <f t="shared" si="7"/>
        <v>V12</v>
      </c>
      <c r="G428" s="11">
        <v>12</v>
      </c>
      <c r="H428" s="11" t="s">
        <v>2033</v>
      </c>
      <c r="I428" s="11">
        <v>1</v>
      </c>
    </row>
    <row r="429" spans="6:9" ht="20.100000000000001" customHeight="1" x14ac:dyDescent="0.25">
      <c r="F429" s="15" t="str">
        <f t="shared" si="7"/>
        <v>V13</v>
      </c>
      <c r="G429" s="11">
        <v>13</v>
      </c>
      <c r="H429" s="11" t="s">
        <v>2033</v>
      </c>
      <c r="I429" s="11">
        <v>1</v>
      </c>
    </row>
    <row r="430" spans="6:9" ht="20.100000000000001" customHeight="1" x14ac:dyDescent="0.25">
      <c r="F430" s="15" t="str">
        <f t="shared" si="7"/>
        <v>V14</v>
      </c>
      <c r="G430" s="11">
        <v>14</v>
      </c>
      <c r="H430" s="11" t="s">
        <v>2033</v>
      </c>
      <c r="I430" s="11">
        <v>1</v>
      </c>
    </row>
    <row r="431" spans="6:9" ht="20.100000000000001" customHeight="1" x14ac:dyDescent="0.25">
      <c r="F431" s="15" t="str">
        <f t="shared" si="7"/>
        <v>V15</v>
      </c>
      <c r="G431" s="11">
        <v>15</v>
      </c>
      <c r="H431" s="11" t="s">
        <v>2033</v>
      </c>
      <c r="I431" s="11">
        <v>1</v>
      </c>
    </row>
    <row r="432" spans="6:9" ht="20.100000000000001" customHeight="1" x14ac:dyDescent="0.25">
      <c r="F432" s="15" t="str">
        <f t="shared" si="7"/>
        <v>V16</v>
      </c>
      <c r="G432" s="11">
        <v>16</v>
      </c>
      <c r="H432" s="11" t="s">
        <v>2033</v>
      </c>
      <c r="I432" s="11">
        <v>1</v>
      </c>
    </row>
    <row r="433" spans="6:9" ht="20.100000000000001" customHeight="1" x14ac:dyDescent="0.25">
      <c r="F433" s="15" t="str">
        <f t="shared" si="7"/>
        <v>V17</v>
      </c>
      <c r="G433" s="11">
        <v>17</v>
      </c>
      <c r="H433" s="11" t="s">
        <v>2033</v>
      </c>
      <c r="I433" s="11">
        <v>1</v>
      </c>
    </row>
    <row r="434" spans="6:9" ht="20.100000000000001" customHeight="1" x14ac:dyDescent="0.25">
      <c r="F434" s="15" t="str">
        <f t="shared" si="7"/>
        <v>V18</v>
      </c>
      <c r="G434" s="11">
        <v>18</v>
      </c>
      <c r="H434" s="11" t="s">
        <v>2033</v>
      </c>
      <c r="I434" s="11">
        <v>1</v>
      </c>
    </row>
    <row r="435" spans="6:9" ht="20.100000000000001" customHeight="1" x14ac:dyDescent="0.25">
      <c r="F435" s="15" t="str">
        <f t="shared" si="7"/>
        <v>V19</v>
      </c>
      <c r="G435" s="11">
        <v>19</v>
      </c>
      <c r="H435" s="11" t="s">
        <v>2033</v>
      </c>
      <c r="I435" s="11">
        <v>1</v>
      </c>
    </row>
    <row r="436" spans="6:9" ht="20.100000000000001" customHeight="1" x14ac:dyDescent="0.25">
      <c r="F436" s="15" t="str">
        <f t="shared" si="7"/>
        <v>V20</v>
      </c>
      <c r="G436" s="11">
        <v>20</v>
      </c>
      <c r="H436" s="11" t="s">
        <v>2033</v>
      </c>
      <c r="I436" s="11">
        <v>1</v>
      </c>
    </row>
    <row r="437" spans="6:9" ht="20.100000000000001" customHeight="1" x14ac:dyDescent="0.25">
      <c r="F437" s="15" t="str">
        <f t="shared" si="7"/>
        <v>V21</v>
      </c>
      <c r="G437" s="11">
        <v>21</v>
      </c>
      <c r="H437" s="11" t="s">
        <v>2033</v>
      </c>
      <c r="I437" s="11">
        <v>1</v>
      </c>
    </row>
    <row r="438" spans="6:9" ht="20.100000000000001" customHeight="1" x14ac:dyDescent="0.25">
      <c r="F438" s="15" t="str">
        <f t="shared" si="7"/>
        <v>V22</v>
      </c>
      <c r="G438" s="11">
        <v>22</v>
      </c>
      <c r="H438" s="11" t="s">
        <v>2033</v>
      </c>
      <c r="I438" s="11">
        <v>1</v>
      </c>
    </row>
    <row r="439" spans="6:9" ht="20.100000000000001" customHeight="1" x14ac:dyDescent="0.25">
      <c r="F439" s="15" t="str">
        <f t="shared" si="7"/>
        <v>V23</v>
      </c>
      <c r="G439" s="11">
        <v>23</v>
      </c>
      <c r="H439" s="11" t="s">
        <v>2033</v>
      </c>
      <c r="I439" s="11">
        <v>2</v>
      </c>
    </row>
    <row r="440" spans="6:9" ht="20.100000000000001" customHeight="1" x14ac:dyDescent="0.25">
      <c r="F440" s="15" t="str">
        <f t="shared" si="7"/>
        <v>V24</v>
      </c>
      <c r="G440" s="11">
        <v>24</v>
      </c>
      <c r="H440" s="11" t="s">
        <v>2033</v>
      </c>
      <c r="I440" s="11">
        <v>1</v>
      </c>
    </row>
    <row r="441" spans="6:9" ht="20.100000000000001" customHeight="1" x14ac:dyDescent="0.25">
      <c r="F441" s="15" t="str">
        <f t="shared" si="7"/>
        <v>V25</v>
      </c>
      <c r="G441" s="11">
        <v>25</v>
      </c>
      <c r="H441" s="11" t="s">
        <v>2033</v>
      </c>
      <c r="I441" s="11">
        <v>2</v>
      </c>
    </row>
    <row r="442" spans="6:9" ht="20.100000000000001" customHeight="1" x14ac:dyDescent="0.25">
      <c r="F442" s="15" t="str">
        <f t="shared" si="7"/>
        <v>V26</v>
      </c>
      <c r="G442" s="11">
        <v>26</v>
      </c>
      <c r="H442" s="11" t="s">
        <v>2033</v>
      </c>
      <c r="I442" s="11">
        <v>1</v>
      </c>
    </row>
    <row r="443" spans="6:9" ht="20.100000000000001" customHeight="1" x14ac:dyDescent="0.25">
      <c r="F443" s="15" t="str">
        <f t="shared" si="7"/>
        <v>V27</v>
      </c>
      <c r="G443" s="11">
        <v>27</v>
      </c>
      <c r="H443" s="11" t="s">
        <v>2033</v>
      </c>
      <c r="I443" s="11">
        <v>2</v>
      </c>
    </row>
    <row r="444" spans="6:9" ht="20.100000000000001" customHeight="1" x14ac:dyDescent="0.25">
      <c r="F444" s="15" t="str">
        <f t="shared" si="7"/>
        <v>V28</v>
      </c>
      <c r="G444" s="11">
        <v>28</v>
      </c>
      <c r="H444" s="11" t="s">
        <v>2033</v>
      </c>
      <c r="I444" s="11">
        <v>1</v>
      </c>
    </row>
    <row r="445" spans="6:9" ht="20.100000000000001" customHeight="1" x14ac:dyDescent="0.25">
      <c r="F445" s="15" t="str">
        <f t="shared" si="7"/>
        <v>V29</v>
      </c>
      <c r="G445" s="11">
        <v>29</v>
      </c>
      <c r="H445" s="11" t="s">
        <v>2033</v>
      </c>
      <c r="I445" s="11">
        <v>2</v>
      </c>
    </row>
    <row r="446" spans="6:9" ht="20.100000000000001" customHeight="1" x14ac:dyDescent="0.25">
      <c r="F446" s="15" t="str">
        <f t="shared" si="7"/>
        <v>V30</v>
      </c>
      <c r="G446" s="11">
        <v>30</v>
      </c>
      <c r="H446" s="11" t="s">
        <v>2033</v>
      </c>
      <c r="I446" s="11">
        <v>1</v>
      </c>
    </row>
    <row r="447" spans="6:9" ht="20.100000000000001" customHeight="1" x14ac:dyDescent="0.25">
      <c r="F447" s="15" t="str">
        <f t="shared" si="7"/>
        <v>V31</v>
      </c>
      <c r="G447" s="11">
        <v>31</v>
      </c>
      <c r="H447" s="11" t="s">
        <v>2033</v>
      </c>
      <c r="I447" s="11">
        <v>2</v>
      </c>
    </row>
    <row r="448" spans="6:9" ht="20.100000000000001" customHeight="1" x14ac:dyDescent="0.25">
      <c r="F448" s="15" t="str">
        <f t="shared" si="7"/>
        <v>V32</v>
      </c>
      <c r="G448" s="11">
        <v>32</v>
      </c>
      <c r="H448" s="11" t="s">
        <v>2033</v>
      </c>
      <c r="I448" s="11">
        <v>1</v>
      </c>
    </row>
    <row r="449" spans="6:9" ht="20.100000000000001" customHeight="1" x14ac:dyDescent="0.25">
      <c r="F449" s="15" t="str">
        <f t="shared" si="7"/>
        <v>V33</v>
      </c>
      <c r="G449" s="11">
        <v>33</v>
      </c>
      <c r="H449" s="11" t="s">
        <v>2033</v>
      </c>
      <c r="I449" s="11">
        <v>2</v>
      </c>
    </row>
    <row r="450" spans="6:9" ht="20.100000000000001" customHeight="1" x14ac:dyDescent="0.25">
      <c r="F450" s="15" t="str">
        <f t="shared" ref="F450:F501" si="8">CONCATENATE(H450,G450)</f>
        <v>V34</v>
      </c>
      <c r="G450" s="11">
        <v>34</v>
      </c>
      <c r="H450" s="11" t="s">
        <v>2033</v>
      </c>
      <c r="I450" s="11">
        <v>1</v>
      </c>
    </row>
    <row r="451" spans="6:9" ht="20.100000000000001" customHeight="1" x14ac:dyDescent="0.25">
      <c r="F451" s="15" t="str">
        <f t="shared" si="8"/>
        <v>V35</v>
      </c>
      <c r="G451" s="11">
        <v>35</v>
      </c>
      <c r="H451" s="11" t="s">
        <v>2033</v>
      </c>
      <c r="I451" s="11">
        <v>2</v>
      </c>
    </row>
    <row r="452" spans="6:9" ht="20.100000000000001" customHeight="1" x14ac:dyDescent="0.25">
      <c r="F452" s="15" t="str">
        <f t="shared" si="8"/>
        <v>V36</v>
      </c>
      <c r="G452" s="11">
        <v>36</v>
      </c>
      <c r="H452" s="11" t="s">
        <v>2033</v>
      </c>
      <c r="I452" s="11">
        <v>1</v>
      </c>
    </row>
    <row r="453" spans="6:9" ht="20.100000000000001" customHeight="1" x14ac:dyDescent="0.25">
      <c r="F453" s="15" t="str">
        <f t="shared" si="8"/>
        <v>V37</v>
      </c>
      <c r="G453" s="11">
        <v>37</v>
      </c>
      <c r="H453" s="11" t="s">
        <v>2033</v>
      </c>
      <c r="I453" s="11">
        <v>1</v>
      </c>
    </row>
    <row r="454" spans="6:9" ht="20.100000000000001" customHeight="1" x14ac:dyDescent="0.25">
      <c r="F454" s="15" t="str">
        <f t="shared" si="8"/>
        <v>V38</v>
      </c>
      <c r="G454" s="11">
        <v>38</v>
      </c>
      <c r="H454" s="11" t="s">
        <v>2033</v>
      </c>
      <c r="I454" s="11">
        <v>2</v>
      </c>
    </row>
    <row r="455" spans="6:9" ht="20.100000000000001" customHeight="1" x14ac:dyDescent="0.25">
      <c r="F455" s="15" t="str">
        <f t="shared" si="8"/>
        <v>W1</v>
      </c>
      <c r="G455" s="11">
        <v>1</v>
      </c>
      <c r="H455" s="11" t="s">
        <v>2036</v>
      </c>
      <c r="I455" s="11">
        <v>1</v>
      </c>
    </row>
    <row r="456" spans="6:9" ht="20.100000000000001" customHeight="1" x14ac:dyDescent="0.25">
      <c r="F456" s="15" t="str">
        <f t="shared" si="8"/>
        <v>W2</v>
      </c>
      <c r="G456" s="11">
        <v>2</v>
      </c>
      <c r="H456" s="11" t="s">
        <v>2036</v>
      </c>
      <c r="I456" s="11">
        <v>1</v>
      </c>
    </row>
    <row r="457" spans="6:9" ht="20.100000000000001" customHeight="1" x14ac:dyDescent="0.25">
      <c r="F457" s="15" t="str">
        <f t="shared" si="8"/>
        <v>W3</v>
      </c>
      <c r="G457" s="11">
        <v>3</v>
      </c>
      <c r="H457" s="11" t="s">
        <v>2036</v>
      </c>
      <c r="I457" s="11">
        <v>1</v>
      </c>
    </row>
    <row r="458" spans="6:9" ht="20.100000000000001" customHeight="1" x14ac:dyDescent="0.25">
      <c r="F458" s="15" t="str">
        <f t="shared" si="8"/>
        <v>W4</v>
      </c>
      <c r="G458" s="11">
        <v>4</v>
      </c>
      <c r="H458" s="11" t="s">
        <v>2036</v>
      </c>
      <c r="I458" s="11">
        <v>1</v>
      </c>
    </row>
    <row r="459" spans="6:9" ht="20.100000000000001" customHeight="1" x14ac:dyDescent="0.25">
      <c r="F459" s="15" t="str">
        <f t="shared" si="8"/>
        <v>W5</v>
      </c>
      <c r="G459" s="11">
        <v>5</v>
      </c>
      <c r="H459" s="11" t="s">
        <v>2036</v>
      </c>
      <c r="I459" s="11">
        <v>1</v>
      </c>
    </row>
    <row r="460" spans="6:9" ht="20.100000000000001" customHeight="1" x14ac:dyDescent="0.25">
      <c r="F460" s="15" t="str">
        <f t="shared" si="8"/>
        <v>W6</v>
      </c>
      <c r="G460" s="11">
        <v>6</v>
      </c>
      <c r="H460" s="11" t="s">
        <v>2036</v>
      </c>
      <c r="I460" s="11">
        <v>1</v>
      </c>
    </row>
    <row r="461" spans="6:9" ht="20.100000000000001" customHeight="1" x14ac:dyDescent="0.25">
      <c r="F461" s="15" t="str">
        <f t="shared" si="8"/>
        <v>W7</v>
      </c>
      <c r="G461" s="11">
        <v>7</v>
      </c>
      <c r="H461" s="11" t="s">
        <v>2036</v>
      </c>
      <c r="I461" s="11">
        <v>1</v>
      </c>
    </row>
    <row r="462" spans="6:9" ht="20.100000000000001" customHeight="1" x14ac:dyDescent="0.25">
      <c r="F462" s="15" t="str">
        <f t="shared" si="8"/>
        <v>W8</v>
      </c>
      <c r="G462" s="11">
        <v>8</v>
      </c>
      <c r="H462" s="11" t="s">
        <v>2036</v>
      </c>
      <c r="I462" s="11">
        <v>1</v>
      </c>
    </row>
    <row r="463" spans="6:9" ht="20.100000000000001" customHeight="1" x14ac:dyDescent="0.25">
      <c r="F463" s="15" t="str">
        <f t="shared" si="8"/>
        <v>W9</v>
      </c>
      <c r="G463" s="11">
        <v>9</v>
      </c>
      <c r="H463" s="11" t="s">
        <v>2036</v>
      </c>
      <c r="I463" s="11">
        <v>1</v>
      </c>
    </row>
    <row r="464" spans="6:9" ht="20.100000000000001" customHeight="1" x14ac:dyDescent="0.25">
      <c r="F464" s="15" t="str">
        <f t="shared" si="8"/>
        <v>W10</v>
      </c>
      <c r="G464" s="11">
        <v>10</v>
      </c>
      <c r="H464" s="11" t="s">
        <v>2036</v>
      </c>
      <c r="I464" s="11">
        <v>1</v>
      </c>
    </row>
    <row r="465" spans="6:9" ht="20.100000000000001" customHeight="1" x14ac:dyDescent="0.25">
      <c r="F465" s="15" t="str">
        <f t="shared" si="8"/>
        <v>W11</v>
      </c>
      <c r="G465" s="11">
        <v>11</v>
      </c>
      <c r="H465" s="11" t="s">
        <v>2036</v>
      </c>
      <c r="I465" s="11">
        <v>1</v>
      </c>
    </row>
    <row r="466" spans="6:9" ht="20.100000000000001" customHeight="1" x14ac:dyDescent="0.25">
      <c r="F466" s="15" t="str">
        <f t="shared" si="8"/>
        <v>W12</v>
      </c>
      <c r="G466" s="11">
        <v>12</v>
      </c>
      <c r="H466" s="11" t="s">
        <v>2036</v>
      </c>
      <c r="I466" s="11">
        <v>1</v>
      </c>
    </row>
    <row r="467" spans="6:9" ht="20.100000000000001" customHeight="1" x14ac:dyDescent="0.25">
      <c r="F467" s="15" t="str">
        <f t="shared" si="8"/>
        <v>W13</v>
      </c>
      <c r="G467" s="11">
        <v>13</v>
      </c>
      <c r="H467" s="11" t="s">
        <v>2036</v>
      </c>
      <c r="I467" s="11">
        <v>1</v>
      </c>
    </row>
    <row r="468" spans="6:9" ht="20.100000000000001" customHeight="1" x14ac:dyDescent="0.25">
      <c r="F468" s="15" t="str">
        <f t="shared" si="8"/>
        <v>W14</v>
      </c>
      <c r="G468" s="11">
        <v>14</v>
      </c>
      <c r="H468" s="11" t="s">
        <v>2036</v>
      </c>
      <c r="I468" s="11">
        <v>1</v>
      </c>
    </row>
    <row r="469" spans="6:9" ht="20.100000000000001" customHeight="1" x14ac:dyDescent="0.25">
      <c r="F469" s="15" t="str">
        <f t="shared" si="8"/>
        <v>W15</v>
      </c>
      <c r="G469" s="11">
        <v>15</v>
      </c>
      <c r="H469" s="11" t="s">
        <v>2036</v>
      </c>
      <c r="I469" s="11">
        <v>1</v>
      </c>
    </row>
    <row r="470" spans="6:9" ht="20.100000000000001" customHeight="1" x14ac:dyDescent="0.25">
      <c r="F470" s="15" t="str">
        <f t="shared" si="8"/>
        <v>W16</v>
      </c>
      <c r="G470" s="11">
        <v>16</v>
      </c>
      <c r="H470" s="11" t="s">
        <v>2036</v>
      </c>
      <c r="I470" s="11">
        <v>1</v>
      </c>
    </row>
    <row r="471" spans="6:9" ht="20.100000000000001" customHeight="1" x14ac:dyDescent="0.25">
      <c r="F471" s="15" t="str">
        <f t="shared" si="8"/>
        <v>W17</v>
      </c>
      <c r="G471" s="11">
        <v>17</v>
      </c>
      <c r="H471" s="11" t="s">
        <v>2036</v>
      </c>
      <c r="I471" s="11">
        <v>1</v>
      </c>
    </row>
    <row r="472" spans="6:9" ht="20.100000000000001" customHeight="1" x14ac:dyDescent="0.25">
      <c r="F472" s="15" t="str">
        <f t="shared" si="8"/>
        <v>W18</v>
      </c>
      <c r="G472" s="11">
        <v>18</v>
      </c>
      <c r="H472" s="11" t="s">
        <v>2036</v>
      </c>
      <c r="I472" s="11">
        <v>1</v>
      </c>
    </row>
    <row r="473" spans="6:9" ht="20.100000000000001" customHeight="1" x14ac:dyDescent="0.25">
      <c r="F473" s="15" t="str">
        <f t="shared" si="8"/>
        <v>W19</v>
      </c>
      <c r="G473" s="11">
        <v>19</v>
      </c>
      <c r="H473" s="11" t="s">
        <v>2036</v>
      </c>
      <c r="I473" s="11">
        <v>1</v>
      </c>
    </row>
    <row r="474" spans="6:9" ht="20.100000000000001" customHeight="1" x14ac:dyDescent="0.25">
      <c r="F474" s="15" t="str">
        <f t="shared" si="8"/>
        <v>W20</v>
      </c>
      <c r="G474" s="11">
        <v>20</v>
      </c>
      <c r="H474" s="11" t="s">
        <v>2036</v>
      </c>
      <c r="I474" s="11">
        <v>1</v>
      </c>
    </row>
    <row r="475" spans="6:9" ht="20.100000000000001" customHeight="1" x14ac:dyDescent="0.25">
      <c r="F475" s="15" t="str">
        <f t="shared" si="8"/>
        <v>W21</v>
      </c>
      <c r="G475" s="11">
        <v>21</v>
      </c>
      <c r="H475" s="11" t="s">
        <v>2036</v>
      </c>
      <c r="I475" s="11">
        <v>1</v>
      </c>
    </row>
    <row r="476" spans="6:9" ht="20.100000000000001" customHeight="1" x14ac:dyDescent="0.25">
      <c r="F476" s="15" t="str">
        <f t="shared" si="8"/>
        <v>W22</v>
      </c>
      <c r="G476" s="11">
        <v>22</v>
      </c>
      <c r="H476" s="11" t="s">
        <v>2036</v>
      </c>
      <c r="I476" s="11">
        <v>1</v>
      </c>
    </row>
    <row r="477" spans="6:9" ht="20.100000000000001" customHeight="1" x14ac:dyDescent="0.25">
      <c r="F477" s="15" t="str">
        <f t="shared" si="8"/>
        <v>W23</v>
      </c>
      <c r="G477" s="11">
        <v>23</v>
      </c>
      <c r="H477" s="11" t="s">
        <v>2036</v>
      </c>
      <c r="I477" s="11">
        <v>1</v>
      </c>
    </row>
    <row r="478" spans="6:9" ht="20.100000000000001" customHeight="1" x14ac:dyDescent="0.25">
      <c r="F478" s="15" t="str">
        <f t="shared" si="8"/>
        <v>W24</v>
      </c>
      <c r="G478" s="11">
        <v>24</v>
      </c>
      <c r="H478" s="11" t="s">
        <v>2036</v>
      </c>
      <c r="I478" s="11">
        <v>1</v>
      </c>
    </row>
    <row r="479" spans="6:9" ht="20.100000000000001" customHeight="1" x14ac:dyDescent="0.25">
      <c r="F479" s="15" t="str">
        <f t="shared" si="8"/>
        <v>W25</v>
      </c>
      <c r="G479" s="11">
        <v>25</v>
      </c>
      <c r="H479" s="11" t="s">
        <v>2036</v>
      </c>
      <c r="I479" s="11">
        <v>1</v>
      </c>
    </row>
    <row r="480" spans="6:9" ht="20.100000000000001" customHeight="1" x14ac:dyDescent="0.25">
      <c r="F480" s="15" t="str">
        <f t="shared" si="8"/>
        <v>W26</v>
      </c>
      <c r="G480" s="11">
        <v>26</v>
      </c>
      <c r="H480" s="11" t="s">
        <v>2036</v>
      </c>
      <c r="I480" s="11">
        <v>1</v>
      </c>
    </row>
    <row r="481" spans="6:9" ht="20.100000000000001" customHeight="1" x14ac:dyDescent="0.25">
      <c r="F481" s="15" t="str">
        <f t="shared" si="8"/>
        <v>W27</v>
      </c>
      <c r="G481" s="11">
        <v>27</v>
      </c>
      <c r="H481" s="11" t="s">
        <v>2036</v>
      </c>
      <c r="I481" s="11">
        <v>1</v>
      </c>
    </row>
    <row r="482" spans="6:9" ht="20.100000000000001" customHeight="1" x14ac:dyDescent="0.25">
      <c r="F482" s="15" t="str">
        <f t="shared" si="8"/>
        <v>W28</v>
      </c>
      <c r="G482" s="11">
        <v>28</v>
      </c>
      <c r="H482" s="11" t="s">
        <v>2036</v>
      </c>
      <c r="I482" s="11">
        <v>1</v>
      </c>
    </row>
    <row r="483" spans="6:9" ht="20.100000000000001" customHeight="1" x14ac:dyDescent="0.25">
      <c r="F483" s="15" t="str">
        <f t="shared" si="8"/>
        <v>W29</v>
      </c>
      <c r="G483" s="11">
        <v>29</v>
      </c>
      <c r="H483" s="11" t="s">
        <v>2036</v>
      </c>
      <c r="I483" s="11">
        <v>1</v>
      </c>
    </row>
    <row r="484" spans="6:9" ht="20.100000000000001" customHeight="1" x14ac:dyDescent="0.25">
      <c r="F484" s="15" t="str">
        <f t="shared" si="8"/>
        <v>W30</v>
      </c>
      <c r="G484" s="11">
        <v>30</v>
      </c>
      <c r="H484" s="11" t="s">
        <v>2036</v>
      </c>
      <c r="I484" s="11">
        <v>1</v>
      </c>
    </row>
    <row r="485" spans="6:9" ht="20.100000000000001" customHeight="1" x14ac:dyDescent="0.25">
      <c r="F485" s="15" t="str">
        <f t="shared" si="8"/>
        <v>W31</v>
      </c>
      <c r="G485" s="11">
        <v>31</v>
      </c>
      <c r="H485" s="11" t="s">
        <v>2036</v>
      </c>
      <c r="I485" s="11">
        <v>1</v>
      </c>
    </row>
    <row r="486" spans="6:9" ht="20.100000000000001" customHeight="1" x14ac:dyDescent="0.25">
      <c r="F486" s="15" t="str">
        <f t="shared" si="8"/>
        <v>W32</v>
      </c>
      <c r="G486" s="11">
        <v>32</v>
      </c>
      <c r="H486" s="11" t="s">
        <v>2036</v>
      </c>
      <c r="I486" s="11">
        <v>1</v>
      </c>
    </row>
    <row r="487" spans="6:9" ht="20.100000000000001" customHeight="1" x14ac:dyDescent="0.25">
      <c r="F487" s="15" t="str">
        <f t="shared" si="8"/>
        <v>W33</v>
      </c>
      <c r="G487" s="11">
        <v>33</v>
      </c>
      <c r="H487" s="11" t="s">
        <v>2036</v>
      </c>
      <c r="I487" s="11">
        <v>1</v>
      </c>
    </row>
    <row r="488" spans="6:9" ht="20.100000000000001" customHeight="1" x14ac:dyDescent="0.25">
      <c r="F488" s="15" t="str">
        <f t="shared" si="8"/>
        <v>W34</v>
      </c>
      <c r="G488" s="11">
        <v>34</v>
      </c>
      <c r="H488" s="11" t="s">
        <v>2036</v>
      </c>
      <c r="I488" s="11">
        <v>1</v>
      </c>
    </row>
    <row r="489" spans="6:9" ht="20.100000000000001" customHeight="1" x14ac:dyDescent="0.25">
      <c r="F489" s="15" t="str">
        <f t="shared" si="8"/>
        <v>W35</v>
      </c>
      <c r="G489" s="11">
        <v>35</v>
      </c>
      <c r="H489" s="11" t="s">
        <v>2036</v>
      </c>
      <c r="I489" s="11">
        <v>1</v>
      </c>
    </row>
    <row r="490" spans="6:9" ht="20.100000000000001" customHeight="1" x14ac:dyDescent="0.25">
      <c r="F490" s="15" t="str">
        <f t="shared" si="8"/>
        <v>W36</v>
      </c>
      <c r="G490" s="11">
        <v>36</v>
      </c>
      <c r="H490" s="11" t="s">
        <v>2036</v>
      </c>
      <c r="I490" s="11">
        <v>1</v>
      </c>
    </row>
    <row r="491" spans="6:9" ht="20.100000000000001" customHeight="1" x14ac:dyDescent="0.25">
      <c r="F491" s="15" t="str">
        <f t="shared" si="8"/>
        <v>W37</v>
      </c>
      <c r="G491" s="11">
        <v>37</v>
      </c>
      <c r="H491" s="11" t="s">
        <v>2036</v>
      </c>
      <c r="I491" s="11">
        <v>1</v>
      </c>
    </row>
    <row r="492" spans="6:9" ht="20.100000000000001" customHeight="1" x14ac:dyDescent="0.25">
      <c r="F492" s="15" t="str">
        <f t="shared" si="8"/>
        <v>W38</v>
      </c>
      <c r="G492" s="11">
        <v>38</v>
      </c>
      <c r="H492" s="11" t="s">
        <v>2036</v>
      </c>
      <c r="I492" s="11">
        <v>1</v>
      </c>
    </row>
    <row r="493" spans="6:9" ht="20.100000000000001" customHeight="1" x14ac:dyDescent="0.25">
      <c r="F493" s="15" t="str">
        <f t="shared" si="8"/>
        <v>W39</v>
      </c>
      <c r="G493" s="11">
        <v>39</v>
      </c>
      <c r="H493" s="11" t="s">
        <v>2036</v>
      </c>
      <c r="I493" s="11">
        <v>1</v>
      </c>
    </row>
    <row r="494" spans="6:9" ht="20.100000000000001" customHeight="1" x14ac:dyDescent="0.25">
      <c r="F494" s="15" t="str">
        <f t="shared" si="8"/>
        <v>W40</v>
      </c>
      <c r="G494" s="11">
        <v>40</v>
      </c>
      <c r="H494" s="11" t="s">
        <v>2036</v>
      </c>
      <c r="I494" s="11">
        <v>1</v>
      </c>
    </row>
    <row r="495" spans="6:9" ht="20.100000000000001" customHeight="1" x14ac:dyDescent="0.25">
      <c r="F495" s="15" t="str">
        <f t="shared" si="8"/>
        <v>W41</v>
      </c>
      <c r="G495" s="11">
        <v>41</v>
      </c>
      <c r="H495" s="11" t="s">
        <v>2036</v>
      </c>
      <c r="I495" s="11">
        <v>1</v>
      </c>
    </row>
    <row r="496" spans="6:9" ht="20.100000000000001" customHeight="1" x14ac:dyDescent="0.25">
      <c r="F496" s="15" t="str">
        <f t="shared" si="8"/>
        <v>W42</v>
      </c>
      <c r="G496" s="11">
        <v>42</v>
      </c>
      <c r="H496" s="11" t="s">
        <v>2036</v>
      </c>
      <c r="I496" s="11">
        <v>1</v>
      </c>
    </row>
    <row r="497" spans="6:9" ht="20.100000000000001" customHeight="1" x14ac:dyDescent="0.25">
      <c r="F497" s="15" t="str">
        <f t="shared" si="8"/>
        <v>W43</v>
      </c>
      <c r="G497" s="11">
        <v>43</v>
      </c>
      <c r="H497" s="11" t="s">
        <v>2036</v>
      </c>
      <c r="I497" s="11">
        <v>2</v>
      </c>
    </row>
    <row r="498" spans="6:9" ht="20.100000000000001" customHeight="1" x14ac:dyDescent="0.25">
      <c r="F498" s="15" t="str">
        <f t="shared" si="8"/>
        <v>W44</v>
      </c>
      <c r="G498" s="11">
        <v>44</v>
      </c>
      <c r="H498" s="11" t="s">
        <v>2036</v>
      </c>
      <c r="I498" s="11">
        <v>2</v>
      </c>
    </row>
    <row r="499" spans="6:9" ht="20.100000000000001" customHeight="1" x14ac:dyDescent="0.25">
      <c r="F499" s="15" t="str">
        <f t="shared" si="8"/>
        <v>W45</v>
      </c>
      <c r="G499" s="11">
        <v>45</v>
      </c>
      <c r="H499" s="11" t="s">
        <v>2036</v>
      </c>
      <c r="I499" s="11">
        <v>2</v>
      </c>
    </row>
    <row r="500" spans="6:9" ht="20.100000000000001" customHeight="1" x14ac:dyDescent="0.25">
      <c r="F500" s="15" t="str">
        <f t="shared" si="8"/>
        <v>W46</v>
      </c>
      <c r="G500" s="11">
        <v>46</v>
      </c>
      <c r="H500" s="11" t="s">
        <v>2036</v>
      </c>
      <c r="I500" s="11">
        <v>2</v>
      </c>
    </row>
    <row r="501" spans="6:9" ht="20.100000000000001" customHeight="1" x14ac:dyDescent="0.25">
      <c r="F501" s="15" t="str">
        <f t="shared" si="8"/>
        <v>W47</v>
      </c>
      <c r="G501" s="11">
        <v>47</v>
      </c>
      <c r="H501" s="11" t="s">
        <v>2036</v>
      </c>
      <c r="I501" s="11">
        <v>2</v>
      </c>
    </row>
  </sheetData>
  <sortState xmlns:xlrd2="http://schemas.microsoft.com/office/spreadsheetml/2017/richdata2" ref="C2:C4">
    <sortCondition ref="C2:C4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8ED2E-7E64-4B92-91B0-D0630C0621F9}">
  <sheetPr codeName="Planilha6"/>
  <dimension ref="A1:E1501"/>
  <sheetViews>
    <sheetView topLeftCell="A1393" workbookViewId="0">
      <selection activeCell="I394" sqref="I394"/>
    </sheetView>
  </sheetViews>
  <sheetFormatPr defaultRowHeight="15" x14ac:dyDescent="0.25"/>
  <cols>
    <col min="1" max="1" width="6.7109375" bestFit="1" customWidth="1"/>
    <col min="2" max="2" width="9" bestFit="1" customWidth="1"/>
    <col min="3" max="3" width="6.5703125" bestFit="1" customWidth="1"/>
    <col min="4" max="4" width="9.28515625" bestFit="1" customWidth="1"/>
    <col min="5" max="5" width="14.7109375" bestFit="1" customWidth="1"/>
  </cols>
  <sheetData>
    <row r="1" spans="1:5" x14ac:dyDescent="0.25">
      <c r="A1" s="10" t="s">
        <v>3273</v>
      </c>
      <c r="B1" s="10" t="s">
        <v>3274</v>
      </c>
      <c r="C1" s="10" t="s">
        <v>3275</v>
      </c>
      <c r="D1" s="10" t="s">
        <v>1953</v>
      </c>
      <c r="E1" s="10" t="s">
        <v>3308</v>
      </c>
    </row>
    <row r="2" spans="1:5" hidden="1" x14ac:dyDescent="0.25">
      <c r="A2" s="11">
        <v>1</v>
      </c>
      <c r="B2" s="11" t="s">
        <v>1961</v>
      </c>
      <c r="C2" s="11">
        <v>1</v>
      </c>
      <c r="D2" t="s">
        <v>1965</v>
      </c>
      <c r="E2">
        <f>VLOOKUP(CONCATENATE(validProjetado[[#This Row],[Tipo]],validProjetado[[#This Row],[Destino]]),validConcreto!K:O,4)</f>
        <v>13.96</v>
      </c>
    </row>
    <row r="3" spans="1:5" hidden="1" x14ac:dyDescent="0.25">
      <c r="A3" s="11">
        <v>2</v>
      </c>
      <c r="B3" s="11" t="s">
        <v>1961</v>
      </c>
      <c r="C3" s="11">
        <v>1</v>
      </c>
      <c r="D3" t="s">
        <v>1965</v>
      </c>
      <c r="E3">
        <f>VLOOKUP(CONCATENATE(validProjetado[[#This Row],[Tipo]],validProjetado[[#This Row],[Destino]]),validConcreto!K:O,4)</f>
        <v>13.96</v>
      </c>
    </row>
    <row r="4" spans="1:5" hidden="1" x14ac:dyDescent="0.25">
      <c r="A4" s="11">
        <v>3</v>
      </c>
      <c r="B4" s="11" t="s">
        <v>1961</v>
      </c>
      <c r="C4" s="11">
        <v>1</v>
      </c>
      <c r="D4" t="s">
        <v>1965</v>
      </c>
      <c r="E4">
        <f>VLOOKUP(CONCATENATE(validProjetado[[#This Row],[Tipo]],validProjetado[[#This Row],[Destino]]),validConcreto!K:O,4)</f>
        <v>13.96</v>
      </c>
    </row>
    <row r="5" spans="1:5" hidden="1" x14ac:dyDescent="0.25">
      <c r="A5" s="11">
        <v>4</v>
      </c>
      <c r="B5" s="11" t="s">
        <v>1961</v>
      </c>
      <c r="C5" s="11">
        <v>1</v>
      </c>
      <c r="D5" t="s">
        <v>1965</v>
      </c>
      <c r="E5">
        <f>VLOOKUP(CONCATENATE(validProjetado[[#This Row],[Tipo]],validProjetado[[#This Row],[Destino]]),validConcreto!K:O,4)</f>
        <v>13.96</v>
      </c>
    </row>
    <row r="6" spans="1:5" hidden="1" x14ac:dyDescent="0.25">
      <c r="A6" s="11">
        <v>5</v>
      </c>
      <c r="B6" s="11" t="s">
        <v>1961</v>
      </c>
      <c r="C6" s="11">
        <v>1</v>
      </c>
      <c r="D6" t="s">
        <v>1965</v>
      </c>
      <c r="E6">
        <f>VLOOKUP(CONCATENATE(validProjetado[[#This Row],[Tipo]],validProjetado[[#This Row],[Destino]]),validConcreto!K:O,4)</f>
        <v>13.96</v>
      </c>
    </row>
    <row r="7" spans="1:5" hidden="1" x14ac:dyDescent="0.25">
      <c r="A7" s="11">
        <v>6</v>
      </c>
      <c r="B7" s="11" t="s">
        <v>1961</v>
      </c>
      <c r="C7" s="11">
        <v>1</v>
      </c>
      <c r="D7" t="s">
        <v>1965</v>
      </c>
      <c r="E7">
        <f>VLOOKUP(CONCATENATE(validProjetado[[#This Row],[Tipo]],validProjetado[[#This Row],[Destino]]),validConcreto!K:O,4)</f>
        <v>13.96</v>
      </c>
    </row>
    <row r="8" spans="1:5" hidden="1" x14ac:dyDescent="0.25">
      <c r="A8" s="11">
        <v>7</v>
      </c>
      <c r="B8" s="11" t="s">
        <v>1961</v>
      </c>
      <c r="C8" s="11">
        <v>2</v>
      </c>
      <c r="D8" t="s">
        <v>1965</v>
      </c>
      <c r="E8">
        <f>VLOOKUP(CONCATENATE(validProjetado[[#This Row],[Tipo]],validProjetado[[#This Row],[Destino]]),validConcreto!K:O,4)</f>
        <v>17.940000000000001</v>
      </c>
    </row>
    <row r="9" spans="1:5" hidden="1" x14ac:dyDescent="0.25">
      <c r="A9" s="11">
        <v>8</v>
      </c>
      <c r="B9" s="11" t="s">
        <v>1961</v>
      </c>
      <c r="C9" s="11">
        <v>2</v>
      </c>
      <c r="D9" t="s">
        <v>1965</v>
      </c>
      <c r="E9">
        <f>VLOOKUP(CONCATENATE(validProjetado[[#This Row],[Tipo]],validProjetado[[#This Row],[Destino]]),validConcreto!K:O,4)</f>
        <v>17.940000000000001</v>
      </c>
    </row>
    <row r="10" spans="1:5" hidden="1" x14ac:dyDescent="0.25">
      <c r="A10" s="11">
        <v>1</v>
      </c>
      <c r="B10" s="11" t="s">
        <v>1970</v>
      </c>
      <c r="C10" s="11">
        <v>1</v>
      </c>
      <c r="D10" t="s">
        <v>1965</v>
      </c>
      <c r="E10">
        <f>VLOOKUP(CONCATENATE(validProjetado[[#This Row],[Tipo]],validProjetado[[#This Row],[Destino]]),validConcreto!K:O,4)</f>
        <v>13.96</v>
      </c>
    </row>
    <row r="11" spans="1:5" hidden="1" x14ac:dyDescent="0.25">
      <c r="A11" s="11">
        <v>2</v>
      </c>
      <c r="B11" s="11" t="s">
        <v>1970</v>
      </c>
      <c r="C11" s="11">
        <v>1</v>
      </c>
      <c r="D11" t="s">
        <v>1965</v>
      </c>
      <c r="E11">
        <f>VLOOKUP(CONCATENATE(validProjetado[[#This Row],[Tipo]],validProjetado[[#This Row],[Destino]]),validConcreto!K:O,4)</f>
        <v>13.96</v>
      </c>
    </row>
    <row r="12" spans="1:5" hidden="1" x14ac:dyDescent="0.25">
      <c r="A12" s="11">
        <v>3</v>
      </c>
      <c r="B12" s="11" t="s">
        <v>1970</v>
      </c>
      <c r="C12" s="11">
        <v>1</v>
      </c>
      <c r="D12" t="s">
        <v>1965</v>
      </c>
      <c r="E12">
        <f>VLOOKUP(CONCATENATE(validProjetado[[#This Row],[Tipo]],validProjetado[[#This Row],[Destino]]),validConcreto!K:O,4)</f>
        <v>13.96</v>
      </c>
    </row>
    <row r="13" spans="1:5" hidden="1" x14ac:dyDescent="0.25">
      <c r="A13" s="11">
        <v>4</v>
      </c>
      <c r="B13" s="11" t="s">
        <v>1970</v>
      </c>
      <c r="C13" s="11">
        <v>1</v>
      </c>
      <c r="D13" t="s">
        <v>1965</v>
      </c>
      <c r="E13">
        <f>VLOOKUP(CONCATENATE(validProjetado[[#This Row],[Tipo]],validProjetado[[#This Row],[Destino]]),validConcreto!K:O,4)</f>
        <v>13.96</v>
      </c>
    </row>
    <row r="14" spans="1:5" hidden="1" x14ac:dyDescent="0.25">
      <c r="A14" s="11">
        <v>5</v>
      </c>
      <c r="B14" s="11" t="s">
        <v>1970</v>
      </c>
      <c r="C14" s="11">
        <v>1</v>
      </c>
      <c r="D14" t="s">
        <v>1965</v>
      </c>
      <c r="E14">
        <f>VLOOKUP(CONCATENATE(validProjetado[[#This Row],[Tipo]],validProjetado[[#This Row],[Destino]]),validConcreto!K:O,4)</f>
        <v>13.96</v>
      </c>
    </row>
    <row r="15" spans="1:5" hidden="1" x14ac:dyDescent="0.25">
      <c r="A15" s="11">
        <v>6</v>
      </c>
      <c r="B15" s="11" t="s">
        <v>1970</v>
      </c>
      <c r="C15" s="11">
        <v>1</v>
      </c>
      <c r="D15" t="s">
        <v>1965</v>
      </c>
      <c r="E15">
        <f>VLOOKUP(CONCATENATE(validProjetado[[#This Row],[Tipo]],validProjetado[[#This Row],[Destino]]),validConcreto!K:O,4)</f>
        <v>13.96</v>
      </c>
    </row>
    <row r="16" spans="1:5" hidden="1" x14ac:dyDescent="0.25">
      <c r="A16" s="11">
        <v>7</v>
      </c>
      <c r="B16" s="11" t="s">
        <v>1970</v>
      </c>
      <c r="C16" s="11">
        <v>1</v>
      </c>
      <c r="D16" t="s">
        <v>1965</v>
      </c>
      <c r="E16">
        <f>VLOOKUP(CONCATENATE(validProjetado[[#This Row],[Tipo]],validProjetado[[#This Row],[Destino]]),validConcreto!K:O,4)</f>
        <v>13.96</v>
      </c>
    </row>
    <row r="17" spans="1:5" hidden="1" x14ac:dyDescent="0.25">
      <c r="A17" s="11">
        <v>8</v>
      </c>
      <c r="B17" s="11" t="s">
        <v>1970</v>
      </c>
      <c r="C17" s="11">
        <v>1</v>
      </c>
      <c r="D17" t="s">
        <v>1965</v>
      </c>
      <c r="E17">
        <f>VLOOKUP(CONCATENATE(validProjetado[[#This Row],[Tipo]],validProjetado[[#This Row],[Destino]]),validConcreto!K:O,4)</f>
        <v>13.96</v>
      </c>
    </row>
    <row r="18" spans="1:5" hidden="1" x14ac:dyDescent="0.25">
      <c r="A18" s="11">
        <v>9</v>
      </c>
      <c r="B18" s="11" t="s">
        <v>1970</v>
      </c>
      <c r="C18" s="11">
        <v>1</v>
      </c>
      <c r="D18" t="s">
        <v>1965</v>
      </c>
      <c r="E18">
        <f>VLOOKUP(CONCATENATE(validProjetado[[#This Row],[Tipo]],validProjetado[[#This Row],[Destino]]),validConcreto!K:O,4)</f>
        <v>13.96</v>
      </c>
    </row>
    <row r="19" spans="1:5" hidden="1" x14ac:dyDescent="0.25">
      <c r="A19" s="11">
        <v>10</v>
      </c>
      <c r="B19" s="11" t="s">
        <v>1970</v>
      </c>
      <c r="C19" s="11">
        <v>1</v>
      </c>
      <c r="D19" t="s">
        <v>1965</v>
      </c>
      <c r="E19">
        <f>VLOOKUP(CONCATENATE(validProjetado[[#This Row],[Tipo]],validProjetado[[#This Row],[Destino]]),validConcreto!K:O,4)</f>
        <v>13.96</v>
      </c>
    </row>
    <row r="20" spans="1:5" hidden="1" x14ac:dyDescent="0.25">
      <c r="A20" s="11">
        <v>11</v>
      </c>
      <c r="B20" s="11" t="s">
        <v>1970</v>
      </c>
      <c r="C20" s="11">
        <v>1</v>
      </c>
      <c r="D20" t="s">
        <v>1965</v>
      </c>
      <c r="E20">
        <f>VLOOKUP(CONCATENATE(validProjetado[[#This Row],[Tipo]],validProjetado[[#This Row],[Destino]]),validConcreto!K:O,4)</f>
        <v>13.96</v>
      </c>
    </row>
    <row r="21" spans="1:5" hidden="1" x14ac:dyDescent="0.25">
      <c r="A21" s="11">
        <v>12</v>
      </c>
      <c r="B21" s="11" t="s">
        <v>1970</v>
      </c>
      <c r="C21" s="11">
        <v>1</v>
      </c>
      <c r="D21" t="s">
        <v>1965</v>
      </c>
      <c r="E21">
        <f>VLOOKUP(CONCATENATE(validProjetado[[#This Row],[Tipo]],validProjetado[[#This Row],[Destino]]),validConcreto!K:O,4)</f>
        <v>13.96</v>
      </c>
    </row>
    <row r="22" spans="1:5" hidden="1" x14ac:dyDescent="0.25">
      <c r="A22" s="11">
        <v>13</v>
      </c>
      <c r="B22" s="11" t="s">
        <v>1970</v>
      </c>
      <c r="C22" s="11">
        <v>1</v>
      </c>
      <c r="D22" t="s">
        <v>1965</v>
      </c>
      <c r="E22">
        <f>VLOOKUP(CONCATENATE(validProjetado[[#This Row],[Tipo]],validProjetado[[#This Row],[Destino]]),validConcreto!K:O,4)</f>
        <v>13.96</v>
      </c>
    </row>
    <row r="23" spans="1:5" hidden="1" x14ac:dyDescent="0.25">
      <c r="A23" s="11">
        <v>14</v>
      </c>
      <c r="B23" s="11" t="s">
        <v>1970</v>
      </c>
      <c r="C23" s="11">
        <v>1</v>
      </c>
      <c r="D23" t="s">
        <v>1965</v>
      </c>
      <c r="E23">
        <f>VLOOKUP(CONCATENATE(validProjetado[[#This Row],[Tipo]],validProjetado[[#This Row],[Destino]]),validConcreto!K:O,4)</f>
        <v>13.96</v>
      </c>
    </row>
    <row r="24" spans="1:5" hidden="1" x14ac:dyDescent="0.25">
      <c r="A24" s="11">
        <v>15</v>
      </c>
      <c r="B24" s="11" t="s">
        <v>1970</v>
      </c>
      <c r="C24" s="11">
        <v>1</v>
      </c>
      <c r="D24" t="s">
        <v>1965</v>
      </c>
      <c r="E24">
        <f>VLOOKUP(CONCATENATE(validProjetado[[#This Row],[Tipo]],validProjetado[[#This Row],[Destino]]),validConcreto!K:O,4)</f>
        <v>13.96</v>
      </c>
    </row>
    <row r="25" spans="1:5" hidden="1" x14ac:dyDescent="0.25">
      <c r="A25" s="11">
        <v>16</v>
      </c>
      <c r="B25" s="11" t="s">
        <v>1970</v>
      </c>
      <c r="C25" s="11">
        <v>1</v>
      </c>
      <c r="D25" t="s">
        <v>1965</v>
      </c>
      <c r="E25">
        <f>VLOOKUP(CONCATENATE(validProjetado[[#This Row],[Tipo]],validProjetado[[#This Row],[Destino]]),validConcreto!K:O,4)</f>
        <v>13.96</v>
      </c>
    </row>
    <row r="26" spans="1:5" hidden="1" x14ac:dyDescent="0.25">
      <c r="A26" s="11">
        <v>17</v>
      </c>
      <c r="B26" s="11" t="s">
        <v>1970</v>
      </c>
      <c r="C26" s="11">
        <v>1</v>
      </c>
      <c r="D26" t="s">
        <v>1965</v>
      </c>
      <c r="E26">
        <f>VLOOKUP(CONCATENATE(validProjetado[[#This Row],[Tipo]],validProjetado[[#This Row],[Destino]]),validConcreto!K:O,4)</f>
        <v>13.96</v>
      </c>
    </row>
    <row r="27" spans="1:5" hidden="1" x14ac:dyDescent="0.25">
      <c r="A27" s="11">
        <v>18</v>
      </c>
      <c r="B27" s="11" t="s">
        <v>1970</v>
      </c>
      <c r="C27" s="11">
        <v>1</v>
      </c>
      <c r="D27" t="s">
        <v>1965</v>
      </c>
      <c r="E27">
        <f>VLOOKUP(CONCATENATE(validProjetado[[#This Row],[Tipo]],validProjetado[[#This Row],[Destino]]),validConcreto!K:O,4)</f>
        <v>13.96</v>
      </c>
    </row>
    <row r="28" spans="1:5" hidden="1" x14ac:dyDescent="0.25">
      <c r="A28" s="11">
        <v>19</v>
      </c>
      <c r="B28" s="11" t="s">
        <v>1970</v>
      </c>
      <c r="C28" s="11">
        <v>1</v>
      </c>
      <c r="D28" t="s">
        <v>1965</v>
      </c>
      <c r="E28">
        <f>VLOOKUP(CONCATENATE(validProjetado[[#This Row],[Tipo]],validProjetado[[#This Row],[Destino]]),validConcreto!K:O,4)</f>
        <v>13.96</v>
      </c>
    </row>
    <row r="29" spans="1:5" hidden="1" x14ac:dyDescent="0.25">
      <c r="A29" s="11">
        <v>20</v>
      </c>
      <c r="B29" s="11" t="s">
        <v>1970</v>
      </c>
      <c r="C29" s="11">
        <v>1</v>
      </c>
      <c r="D29" t="s">
        <v>1965</v>
      </c>
      <c r="E29">
        <f>VLOOKUP(CONCATENATE(validProjetado[[#This Row],[Tipo]],validProjetado[[#This Row],[Destino]]),validConcreto!K:O,4)</f>
        <v>13.96</v>
      </c>
    </row>
    <row r="30" spans="1:5" hidden="1" x14ac:dyDescent="0.25">
      <c r="A30" s="11">
        <v>21</v>
      </c>
      <c r="B30" s="11" t="s">
        <v>1970</v>
      </c>
      <c r="C30" s="11">
        <v>2</v>
      </c>
      <c r="D30" t="s">
        <v>1965</v>
      </c>
      <c r="E30">
        <f>VLOOKUP(CONCATENATE(validProjetado[[#This Row],[Tipo]],validProjetado[[#This Row],[Destino]]),validConcreto!K:O,4)</f>
        <v>17.940000000000001</v>
      </c>
    </row>
    <row r="31" spans="1:5" hidden="1" x14ac:dyDescent="0.25">
      <c r="A31" s="11">
        <v>22</v>
      </c>
      <c r="B31" s="11" t="s">
        <v>1970</v>
      </c>
      <c r="C31" s="11">
        <v>2</v>
      </c>
      <c r="D31" t="s">
        <v>1965</v>
      </c>
      <c r="E31">
        <f>VLOOKUP(CONCATENATE(validProjetado[[#This Row],[Tipo]],validProjetado[[#This Row],[Destino]]),validConcreto!K:O,4)</f>
        <v>17.940000000000001</v>
      </c>
    </row>
    <row r="32" spans="1:5" hidden="1" x14ac:dyDescent="0.25">
      <c r="A32" s="11">
        <v>23</v>
      </c>
      <c r="B32" s="11" t="s">
        <v>1970</v>
      </c>
      <c r="C32" s="11">
        <v>2</v>
      </c>
      <c r="D32" t="s">
        <v>1965</v>
      </c>
      <c r="E32">
        <f>VLOOKUP(CONCATENATE(validProjetado[[#This Row],[Tipo]],validProjetado[[#This Row],[Destino]]),validConcreto!K:O,4)</f>
        <v>17.940000000000001</v>
      </c>
    </row>
    <row r="33" spans="1:5" hidden="1" x14ac:dyDescent="0.25">
      <c r="A33" s="11">
        <v>24</v>
      </c>
      <c r="B33" s="11" t="s">
        <v>1970</v>
      </c>
      <c r="C33" s="11">
        <v>1</v>
      </c>
      <c r="D33" t="s">
        <v>1965</v>
      </c>
      <c r="E33">
        <f>VLOOKUP(CONCATENATE(validProjetado[[#This Row],[Tipo]],validProjetado[[#This Row],[Destino]]),validConcreto!K:O,4)</f>
        <v>13.96</v>
      </c>
    </row>
    <row r="34" spans="1:5" hidden="1" x14ac:dyDescent="0.25">
      <c r="A34" s="11">
        <v>1</v>
      </c>
      <c r="B34" s="11" t="s">
        <v>1975</v>
      </c>
      <c r="C34" s="11">
        <v>1</v>
      </c>
      <c r="D34" t="s">
        <v>1965</v>
      </c>
      <c r="E34">
        <f>VLOOKUP(CONCATENATE(validProjetado[[#This Row],[Tipo]],validProjetado[[#This Row],[Destino]]),validConcreto!K:O,4)</f>
        <v>13.96</v>
      </c>
    </row>
    <row r="35" spans="1:5" hidden="1" x14ac:dyDescent="0.25">
      <c r="A35" s="11">
        <v>2</v>
      </c>
      <c r="B35" s="11" t="s">
        <v>1975</v>
      </c>
      <c r="C35" s="11">
        <v>1</v>
      </c>
      <c r="D35" t="s">
        <v>1965</v>
      </c>
      <c r="E35">
        <f>VLOOKUP(CONCATENATE(validProjetado[[#This Row],[Tipo]],validProjetado[[#This Row],[Destino]]),validConcreto!K:O,4)</f>
        <v>13.96</v>
      </c>
    </row>
    <row r="36" spans="1:5" hidden="1" x14ac:dyDescent="0.25">
      <c r="A36" s="11">
        <v>3</v>
      </c>
      <c r="B36" s="11" t="s">
        <v>1975</v>
      </c>
      <c r="C36" s="11">
        <v>1</v>
      </c>
      <c r="D36" t="s">
        <v>1965</v>
      </c>
      <c r="E36">
        <f>VLOOKUP(CONCATENATE(validProjetado[[#This Row],[Tipo]],validProjetado[[#This Row],[Destino]]),validConcreto!K:O,4)</f>
        <v>13.96</v>
      </c>
    </row>
    <row r="37" spans="1:5" hidden="1" x14ac:dyDescent="0.25">
      <c r="A37" s="11">
        <v>4</v>
      </c>
      <c r="B37" s="11" t="s">
        <v>1975</v>
      </c>
      <c r="C37" s="11">
        <v>1</v>
      </c>
      <c r="D37" t="s">
        <v>1965</v>
      </c>
      <c r="E37">
        <f>VLOOKUP(CONCATENATE(validProjetado[[#This Row],[Tipo]],validProjetado[[#This Row],[Destino]]),validConcreto!K:O,4)</f>
        <v>13.96</v>
      </c>
    </row>
    <row r="38" spans="1:5" hidden="1" x14ac:dyDescent="0.25">
      <c r="A38" s="11">
        <v>5</v>
      </c>
      <c r="B38" s="11" t="s">
        <v>1975</v>
      </c>
      <c r="C38" s="11">
        <v>1</v>
      </c>
      <c r="D38" t="s">
        <v>1965</v>
      </c>
      <c r="E38">
        <f>VLOOKUP(CONCATENATE(validProjetado[[#This Row],[Tipo]],validProjetado[[#This Row],[Destino]]),validConcreto!K:O,4)</f>
        <v>13.96</v>
      </c>
    </row>
    <row r="39" spans="1:5" hidden="1" x14ac:dyDescent="0.25">
      <c r="A39" s="11">
        <v>6</v>
      </c>
      <c r="B39" s="11" t="s">
        <v>1975</v>
      </c>
      <c r="C39" s="11">
        <v>1</v>
      </c>
      <c r="D39" t="s">
        <v>1965</v>
      </c>
      <c r="E39">
        <f>VLOOKUP(CONCATENATE(validProjetado[[#This Row],[Tipo]],validProjetado[[#This Row],[Destino]]),validConcreto!K:O,4)</f>
        <v>13.96</v>
      </c>
    </row>
    <row r="40" spans="1:5" hidden="1" x14ac:dyDescent="0.25">
      <c r="A40" s="11">
        <v>7</v>
      </c>
      <c r="B40" s="11" t="s">
        <v>1975</v>
      </c>
      <c r="C40" s="11">
        <v>1</v>
      </c>
      <c r="D40" t="s">
        <v>1965</v>
      </c>
      <c r="E40">
        <f>VLOOKUP(CONCATENATE(validProjetado[[#This Row],[Tipo]],validProjetado[[#This Row],[Destino]]),validConcreto!K:O,4)</f>
        <v>13.96</v>
      </c>
    </row>
    <row r="41" spans="1:5" hidden="1" x14ac:dyDescent="0.25">
      <c r="A41" s="11">
        <v>8</v>
      </c>
      <c r="B41" s="11" t="s">
        <v>1975</v>
      </c>
      <c r="C41" s="11">
        <v>1</v>
      </c>
      <c r="D41" t="s">
        <v>1965</v>
      </c>
      <c r="E41">
        <f>VLOOKUP(CONCATENATE(validProjetado[[#This Row],[Tipo]],validProjetado[[#This Row],[Destino]]),validConcreto!K:O,4)</f>
        <v>13.96</v>
      </c>
    </row>
    <row r="42" spans="1:5" hidden="1" x14ac:dyDescent="0.25">
      <c r="A42" s="11">
        <v>9</v>
      </c>
      <c r="B42" s="11" t="s">
        <v>1975</v>
      </c>
      <c r="C42" s="11">
        <v>1</v>
      </c>
      <c r="D42" t="s">
        <v>1965</v>
      </c>
      <c r="E42">
        <f>VLOOKUP(CONCATENATE(validProjetado[[#This Row],[Tipo]],validProjetado[[#This Row],[Destino]]),validConcreto!K:O,4)</f>
        <v>13.96</v>
      </c>
    </row>
    <row r="43" spans="1:5" hidden="1" x14ac:dyDescent="0.25">
      <c r="A43" s="11">
        <v>10</v>
      </c>
      <c r="B43" s="11" t="s">
        <v>1975</v>
      </c>
      <c r="C43" s="11">
        <v>1</v>
      </c>
      <c r="D43" t="s">
        <v>1965</v>
      </c>
      <c r="E43">
        <f>VLOOKUP(CONCATENATE(validProjetado[[#This Row],[Tipo]],validProjetado[[#This Row],[Destino]]),validConcreto!K:O,4)</f>
        <v>13.96</v>
      </c>
    </row>
    <row r="44" spans="1:5" hidden="1" x14ac:dyDescent="0.25">
      <c r="A44" s="11">
        <v>11</v>
      </c>
      <c r="B44" s="11" t="s">
        <v>1975</v>
      </c>
      <c r="C44" s="11">
        <v>1</v>
      </c>
      <c r="D44" t="s">
        <v>1965</v>
      </c>
      <c r="E44">
        <f>VLOOKUP(CONCATENATE(validProjetado[[#This Row],[Tipo]],validProjetado[[#This Row],[Destino]]),validConcreto!K:O,4)</f>
        <v>13.96</v>
      </c>
    </row>
    <row r="45" spans="1:5" hidden="1" x14ac:dyDescent="0.25">
      <c r="A45" s="11">
        <v>12</v>
      </c>
      <c r="B45" s="11" t="s">
        <v>1975</v>
      </c>
      <c r="C45" s="11">
        <v>1</v>
      </c>
      <c r="D45" t="s">
        <v>1965</v>
      </c>
      <c r="E45">
        <f>VLOOKUP(CONCATENATE(validProjetado[[#This Row],[Tipo]],validProjetado[[#This Row],[Destino]]),validConcreto!K:O,4)</f>
        <v>13.96</v>
      </c>
    </row>
    <row r="46" spans="1:5" hidden="1" x14ac:dyDescent="0.25">
      <c r="A46" s="11">
        <v>13</v>
      </c>
      <c r="B46" s="11" t="s">
        <v>1975</v>
      </c>
      <c r="C46" s="11">
        <v>1</v>
      </c>
      <c r="D46" t="s">
        <v>1965</v>
      </c>
      <c r="E46">
        <f>VLOOKUP(CONCATENATE(validProjetado[[#This Row],[Tipo]],validProjetado[[#This Row],[Destino]]),validConcreto!K:O,4)</f>
        <v>13.96</v>
      </c>
    </row>
    <row r="47" spans="1:5" hidden="1" x14ac:dyDescent="0.25">
      <c r="A47" s="11">
        <v>14</v>
      </c>
      <c r="B47" s="11" t="s">
        <v>1975</v>
      </c>
      <c r="C47" s="11">
        <v>1</v>
      </c>
      <c r="D47" t="s">
        <v>1965</v>
      </c>
      <c r="E47">
        <f>VLOOKUP(CONCATENATE(validProjetado[[#This Row],[Tipo]],validProjetado[[#This Row],[Destino]]),validConcreto!K:O,4)</f>
        <v>13.96</v>
      </c>
    </row>
    <row r="48" spans="1:5" hidden="1" x14ac:dyDescent="0.25">
      <c r="A48" s="11">
        <v>15</v>
      </c>
      <c r="B48" s="11" t="s">
        <v>1975</v>
      </c>
      <c r="C48" s="11">
        <v>1</v>
      </c>
      <c r="D48" t="s">
        <v>1965</v>
      </c>
      <c r="E48">
        <f>VLOOKUP(CONCATENATE(validProjetado[[#This Row],[Tipo]],validProjetado[[#This Row],[Destino]]),validConcreto!K:O,4)</f>
        <v>13.96</v>
      </c>
    </row>
    <row r="49" spans="1:5" hidden="1" x14ac:dyDescent="0.25">
      <c r="A49" s="11">
        <v>16</v>
      </c>
      <c r="B49" s="11" t="s">
        <v>1975</v>
      </c>
      <c r="C49" s="11">
        <v>1</v>
      </c>
      <c r="D49" t="s">
        <v>1965</v>
      </c>
      <c r="E49">
        <f>VLOOKUP(CONCATENATE(validProjetado[[#This Row],[Tipo]],validProjetado[[#This Row],[Destino]]),validConcreto!K:O,4)</f>
        <v>13.96</v>
      </c>
    </row>
    <row r="50" spans="1:5" hidden="1" x14ac:dyDescent="0.25">
      <c r="A50" s="11">
        <v>17</v>
      </c>
      <c r="B50" s="11" t="s">
        <v>1975</v>
      </c>
      <c r="C50" s="11">
        <v>1</v>
      </c>
      <c r="D50" t="s">
        <v>1965</v>
      </c>
      <c r="E50">
        <f>VLOOKUP(CONCATENATE(validProjetado[[#This Row],[Tipo]],validProjetado[[#This Row],[Destino]]),validConcreto!K:O,4)</f>
        <v>13.96</v>
      </c>
    </row>
    <row r="51" spans="1:5" hidden="1" x14ac:dyDescent="0.25">
      <c r="A51" s="11">
        <v>18</v>
      </c>
      <c r="B51" s="11" t="s">
        <v>1975</v>
      </c>
      <c r="C51" s="11">
        <v>1</v>
      </c>
      <c r="D51" t="s">
        <v>1965</v>
      </c>
      <c r="E51">
        <f>VLOOKUP(CONCATENATE(validProjetado[[#This Row],[Tipo]],validProjetado[[#This Row],[Destino]]),validConcreto!K:O,4)</f>
        <v>13.96</v>
      </c>
    </row>
    <row r="52" spans="1:5" hidden="1" x14ac:dyDescent="0.25">
      <c r="A52" s="11">
        <v>19</v>
      </c>
      <c r="B52" s="11" t="s">
        <v>1975</v>
      </c>
      <c r="C52" s="11">
        <v>1</v>
      </c>
      <c r="D52" t="s">
        <v>1965</v>
      </c>
      <c r="E52">
        <f>VLOOKUP(CONCATENATE(validProjetado[[#This Row],[Tipo]],validProjetado[[#This Row],[Destino]]),validConcreto!K:O,4)</f>
        <v>13.96</v>
      </c>
    </row>
    <row r="53" spans="1:5" hidden="1" x14ac:dyDescent="0.25">
      <c r="A53" s="11">
        <v>20</v>
      </c>
      <c r="B53" s="11" t="s">
        <v>1975</v>
      </c>
      <c r="C53" s="11">
        <v>1</v>
      </c>
      <c r="D53" t="s">
        <v>1965</v>
      </c>
      <c r="E53">
        <f>VLOOKUP(CONCATENATE(validProjetado[[#This Row],[Tipo]],validProjetado[[#This Row],[Destino]]),validConcreto!K:O,4)</f>
        <v>13.96</v>
      </c>
    </row>
    <row r="54" spans="1:5" hidden="1" x14ac:dyDescent="0.25">
      <c r="A54" s="11">
        <v>21</v>
      </c>
      <c r="B54" s="11" t="s">
        <v>1975</v>
      </c>
      <c r="C54" s="11">
        <v>1</v>
      </c>
      <c r="D54" t="s">
        <v>1965</v>
      </c>
      <c r="E54">
        <f>VLOOKUP(CONCATENATE(validProjetado[[#This Row],[Tipo]],validProjetado[[#This Row],[Destino]]),validConcreto!K:O,4)</f>
        <v>13.96</v>
      </c>
    </row>
    <row r="55" spans="1:5" hidden="1" x14ac:dyDescent="0.25">
      <c r="A55" s="11">
        <v>22</v>
      </c>
      <c r="B55" s="11" t="s">
        <v>1975</v>
      </c>
      <c r="C55" s="11">
        <v>1</v>
      </c>
      <c r="D55" t="s">
        <v>1965</v>
      </c>
      <c r="E55">
        <f>VLOOKUP(CONCATENATE(validProjetado[[#This Row],[Tipo]],validProjetado[[#This Row],[Destino]]),validConcreto!K:O,4)</f>
        <v>13.96</v>
      </c>
    </row>
    <row r="56" spans="1:5" hidden="1" x14ac:dyDescent="0.25">
      <c r="A56" s="11">
        <v>23</v>
      </c>
      <c r="B56" s="11" t="s">
        <v>1975</v>
      </c>
      <c r="C56" s="11">
        <v>1</v>
      </c>
      <c r="D56" t="s">
        <v>1965</v>
      </c>
      <c r="E56">
        <f>VLOOKUP(CONCATENATE(validProjetado[[#This Row],[Tipo]],validProjetado[[#This Row],[Destino]]),validConcreto!K:O,4)</f>
        <v>13.96</v>
      </c>
    </row>
    <row r="57" spans="1:5" hidden="1" x14ac:dyDescent="0.25">
      <c r="A57" s="11">
        <v>24</v>
      </c>
      <c r="B57" s="11" t="s">
        <v>1975</v>
      </c>
      <c r="C57" s="11">
        <v>1</v>
      </c>
      <c r="D57" t="s">
        <v>1965</v>
      </c>
      <c r="E57">
        <f>VLOOKUP(CONCATENATE(validProjetado[[#This Row],[Tipo]],validProjetado[[#This Row],[Destino]]),validConcreto!K:O,4)</f>
        <v>13.96</v>
      </c>
    </row>
    <row r="58" spans="1:5" hidden="1" x14ac:dyDescent="0.25">
      <c r="A58" s="11">
        <v>25</v>
      </c>
      <c r="B58" s="11" t="s">
        <v>1975</v>
      </c>
      <c r="C58" s="11">
        <v>1</v>
      </c>
      <c r="D58" t="s">
        <v>1965</v>
      </c>
      <c r="E58">
        <f>VLOOKUP(CONCATENATE(validProjetado[[#This Row],[Tipo]],validProjetado[[#This Row],[Destino]]),validConcreto!K:O,4)</f>
        <v>13.96</v>
      </c>
    </row>
    <row r="59" spans="1:5" hidden="1" x14ac:dyDescent="0.25">
      <c r="A59" s="11">
        <v>26</v>
      </c>
      <c r="B59" s="11" t="s">
        <v>1975</v>
      </c>
      <c r="C59" s="11">
        <v>1</v>
      </c>
      <c r="D59" t="s">
        <v>1965</v>
      </c>
      <c r="E59">
        <f>VLOOKUP(CONCATENATE(validProjetado[[#This Row],[Tipo]],validProjetado[[#This Row],[Destino]]),validConcreto!K:O,4)</f>
        <v>13.96</v>
      </c>
    </row>
    <row r="60" spans="1:5" hidden="1" x14ac:dyDescent="0.25">
      <c r="A60" s="11">
        <v>27</v>
      </c>
      <c r="B60" s="11" t="s">
        <v>1975</v>
      </c>
      <c r="C60" s="11">
        <v>2</v>
      </c>
      <c r="D60" t="s">
        <v>1965</v>
      </c>
      <c r="E60">
        <f>VLOOKUP(CONCATENATE(validProjetado[[#This Row],[Tipo]],validProjetado[[#This Row],[Destino]]),validConcreto!K:O,4)</f>
        <v>17.940000000000001</v>
      </c>
    </row>
    <row r="61" spans="1:5" hidden="1" x14ac:dyDescent="0.25">
      <c r="A61" s="11">
        <v>28</v>
      </c>
      <c r="B61" s="11" t="s">
        <v>1975</v>
      </c>
      <c r="C61" s="11">
        <v>2</v>
      </c>
      <c r="D61" t="s">
        <v>1965</v>
      </c>
      <c r="E61">
        <f>VLOOKUP(CONCATENATE(validProjetado[[#This Row],[Tipo]],validProjetado[[#This Row],[Destino]]),validConcreto!K:O,4)</f>
        <v>17.940000000000001</v>
      </c>
    </row>
    <row r="62" spans="1:5" hidden="1" x14ac:dyDescent="0.25">
      <c r="A62" s="11">
        <v>29</v>
      </c>
      <c r="B62" s="11" t="s">
        <v>1975</v>
      </c>
      <c r="C62" s="11">
        <v>2</v>
      </c>
      <c r="D62" t="s">
        <v>1965</v>
      </c>
      <c r="E62">
        <f>VLOOKUP(CONCATENATE(validProjetado[[#This Row],[Tipo]],validProjetado[[#This Row],[Destino]]),validConcreto!K:O,4)</f>
        <v>17.940000000000001</v>
      </c>
    </row>
    <row r="63" spans="1:5" hidden="1" x14ac:dyDescent="0.25">
      <c r="A63" s="11">
        <v>30</v>
      </c>
      <c r="B63" s="11" t="s">
        <v>1975</v>
      </c>
      <c r="C63" s="11">
        <v>2</v>
      </c>
      <c r="D63" t="s">
        <v>1965</v>
      </c>
      <c r="E63">
        <f>VLOOKUP(CONCATENATE(validProjetado[[#This Row],[Tipo]],validProjetado[[#This Row],[Destino]]),validConcreto!K:O,4)</f>
        <v>17.940000000000001</v>
      </c>
    </row>
    <row r="64" spans="1:5" hidden="1" x14ac:dyDescent="0.25">
      <c r="A64" s="11">
        <v>1</v>
      </c>
      <c r="B64" s="11" t="s">
        <v>1979</v>
      </c>
      <c r="C64" s="11">
        <v>1</v>
      </c>
      <c r="D64" t="s">
        <v>1965</v>
      </c>
      <c r="E64">
        <f>VLOOKUP(CONCATENATE(validProjetado[[#This Row],[Tipo]],validProjetado[[#This Row],[Destino]]),validConcreto!K:O,4)</f>
        <v>13.96</v>
      </c>
    </row>
    <row r="65" spans="1:5" hidden="1" x14ac:dyDescent="0.25">
      <c r="A65" s="11">
        <v>2</v>
      </c>
      <c r="B65" s="11" t="s">
        <v>1979</v>
      </c>
      <c r="C65" s="11">
        <v>1</v>
      </c>
      <c r="D65" t="s">
        <v>1965</v>
      </c>
      <c r="E65">
        <f>VLOOKUP(CONCATENATE(validProjetado[[#This Row],[Tipo]],validProjetado[[#This Row],[Destino]]),validConcreto!K:O,4)</f>
        <v>13.96</v>
      </c>
    </row>
    <row r="66" spans="1:5" hidden="1" x14ac:dyDescent="0.25">
      <c r="A66" s="11">
        <v>3</v>
      </c>
      <c r="B66" s="11" t="s">
        <v>1979</v>
      </c>
      <c r="C66" s="11">
        <v>1</v>
      </c>
      <c r="D66" t="s">
        <v>1965</v>
      </c>
      <c r="E66">
        <f>VLOOKUP(CONCATENATE(validProjetado[[#This Row],[Tipo]],validProjetado[[#This Row],[Destino]]),validConcreto!K:O,4)</f>
        <v>13.96</v>
      </c>
    </row>
    <row r="67" spans="1:5" hidden="1" x14ac:dyDescent="0.25">
      <c r="A67" s="11">
        <v>4</v>
      </c>
      <c r="B67" s="11" t="s">
        <v>1979</v>
      </c>
      <c r="C67" s="11">
        <v>1</v>
      </c>
      <c r="D67" t="s">
        <v>1965</v>
      </c>
      <c r="E67">
        <f>VLOOKUP(CONCATENATE(validProjetado[[#This Row],[Tipo]],validProjetado[[#This Row],[Destino]]),validConcreto!K:O,4)</f>
        <v>13.96</v>
      </c>
    </row>
    <row r="68" spans="1:5" hidden="1" x14ac:dyDescent="0.25">
      <c r="A68" s="11">
        <v>5</v>
      </c>
      <c r="B68" s="11" t="s">
        <v>1979</v>
      </c>
      <c r="C68" s="11">
        <v>1</v>
      </c>
      <c r="D68" t="s">
        <v>1965</v>
      </c>
      <c r="E68">
        <f>VLOOKUP(CONCATENATE(validProjetado[[#This Row],[Tipo]],validProjetado[[#This Row],[Destino]]),validConcreto!K:O,4)</f>
        <v>13.96</v>
      </c>
    </row>
    <row r="69" spans="1:5" hidden="1" x14ac:dyDescent="0.25">
      <c r="A69" s="11">
        <v>6</v>
      </c>
      <c r="B69" s="11" t="s">
        <v>1979</v>
      </c>
      <c r="C69" s="11">
        <v>1</v>
      </c>
      <c r="D69" t="s">
        <v>1965</v>
      </c>
      <c r="E69">
        <f>VLOOKUP(CONCATENATE(validProjetado[[#This Row],[Tipo]],validProjetado[[#This Row],[Destino]]),validConcreto!K:O,4)</f>
        <v>13.96</v>
      </c>
    </row>
    <row r="70" spans="1:5" hidden="1" x14ac:dyDescent="0.25">
      <c r="A70" s="11">
        <v>7</v>
      </c>
      <c r="B70" s="11" t="s">
        <v>1979</v>
      </c>
      <c r="C70" s="11">
        <v>1</v>
      </c>
      <c r="D70" t="s">
        <v>1965</v>
      </c>
      <c r="E70">
        <f>VLOOKUP(CONCATENATE(validProjetado[[#This Row],[Tipo]],validProjetado[[#This Row],[Destino]]),validConcreto!K:O,4)</f>
        <v>13.96</v>
      </c>
    </row>
    <row r="71" spans="1:5" hidden="1" x14ac:dyDescent="0.25">
      <c r="A71" s="11">
        <v>8</v>
      </c>
      <c r="B71" s="11" t="s">
        <v>1979</v>
      </c>
      <c r="C71" s="11">
        <v>1</v>
      </c>
      <c r="D71" t="s">
        <v>1965</v>
      </c>
      <c r="E71">
        <f>VLOOKUP(CONCATENATE(validProjetado[[#This Row],[Tipo]],validProjetado[[#This Row],[Destino]]),validConcreto!K:O,4)</f>
        <v>13.96</v>
      </c>
    </row>
    <row r="72" spans="1:5" hidden="1" x14ac:dyDescent="0.25">
      <c r="A72" s="11">
        <v>9</v>
      </c>
      <c r="B72" s="11" t="s">
        <v>1979</v>
      </c>
      <c r="C72" s="11">
        <v>1</v>
      </c>
      <c r="D72" t="s">
        <v>1965</v>
      </c>
      <c r="E72">
        <f>VLOOKUP(CONCATENATE(validProjetado[[#This Row],[Tipo]],validProjetado[[#This Row],[Destino]]),validConcreto!K:O,4)</f>
        <v>13.96</v>
      </c>
    </row>
    <row r="73" spans="1:5" hidden="1" x14ac:dyDescent="0.25">
      <c r="A73" s="11">
        <v>10</v>
      </c>
      <c r="B73" s="11" t="s">
        <v>1979</v>
      </c>
      <c r="C73" s="11">
        <v>1</v>
      </c>
      <c r="D73" t="s">
        <v>1965</v>
      </c>
      <c r="E73">
        <f>VLOOKUP(CONCATENATE(validProjetado[[#This Row],[Tipo]],validProjetado[[#This Row],[Destino]]),validConcreto!K:O,4)</f>
        <v>13.96</v>
      </c>
    </row>
    <row r="74" spans="1:5" hidden="1" x14ac:dyDescent="0.25">
      <c r="A74" s="11">
        <v>11</v>
      </c>
      <c r="B74" s="11" t="s">
        <v>1979</v>
      </c>
      <c r="C74" s="11">
        <v>1</v>
      </c>
      <c r="D74" t="s">
        <v>1965</v>
      </c>
      <c r="E74">
        <f>VLOOKUP(CONCATENATE(validProjetado[[#This Row],[Tipo]],validProjetado[[#This Row],[Destino]]),validConcreto!K:O,4)</f>
        <v>13.96</v>
      </c>
    </row>
    <row r="75" spans="1:5" hidden="1" x14ac:dyDescent="0.25">
      <c r="A75" s="11">
        <v>12</v>
      </c>
      <c r="B75" s="11" t="s">
        <v>1979</v>
      </c>
      <c r="C75" s="11">
        <v>1</v>
      </c>
      <c r="D75" t="s">
        <v>1965</v>
      </c>
      <c r="E75">
        <f>VLOOKUP(CONCATENATE(validProjetado[[#This Row],[Tipo]],validProjetado[[#This Row],[Destino]]),validConcreto!K:O,4)</f>
        <v>13.96</v>
      </c>
    </row>
    <row r="76" spans="1:5" hidden="1" x14ac:dyDescent="0.25">
      <c r="A76" s="11">
        <v>13</v>
      </c>
      <c r="B76" s="11" t="s">
        <v>1979</v>
      </c>
      <c r="C76" s="11">
        <v>1</v>
      </c>
      <c r="D76" t="s">
        <v>1965</v>
      </c>
      <c r="E76">
        <f>VLOOKUP(CONCATENATE(validProjetado[[#This Row],[Tipo]],validProjetado[[#This Row],[Destino]]),validConcreto!K:O,4)</f>
        <v>13.96</v>
      </c>
    </row>
    <row r="77" spans="1:5" hidden="1" x14ac:dyDescent="0.25">
      <c r="A77" s="11">
        <v>14</v>
      </c>
      <c r="B77" s="11" t="s">
        <v>1979</v>
      </c>
      <c r="C77" s="11">
        <v>1</v>
      </c>
      <c r="D77" t="s">
        <v>1965</v>
      </c>
      <c r="E77">
        <f>VLOOKUP(CONCATENATE(validProjetado[[#This Row],[Tipo]],validProjetado[[#This Row],[Destino]]),validConcreto!K:O,4)</f>
        <v>13.96</v>
      </c>
    </row>
    <row r="78" spans="1:5" hidden="1" x14ac:dyDescent="0.25">
      <c r="A78" s="11">
        <v>15</v>
      </c>
      <c r="B78" s="11" t="s">
        <v>1979</v>
      </c>
      <c r="C78" s="11">
        <v>1</v>
      </c>
      <c r="D78" t="s">
        <v>1965</v>
      </c>
      <c r="E78">
        <f>VLOOKUP(CONCATENATE(validProjetado[[#This Row],[Tipo]],validProjetado[[#This Row],[Destino]]),validConcreto!K:O,4)</f>
        <v>13.96</v>
      </c>
    </row>
    <row r="79" spans="1:5" hidden="1" x14ac:dyDescent="0.25">
      <c r="A79" s="11">
        <v>16</v>
      </c>
      <c r="B79" s="11" t="s">
        <v>1979</v>
      </c>
      <c r="C79" s="11">
        <v>1</v>
      </c>
      <c r="D79" t="s">
        <v>1965</v>
      </c>
      <c r="E79">
        <f>VLOOKUP(CONCATENATE(validProjetado[[#This Row],[Tipo]],validProjetado[[#This Row],[Destino]]),validConcreto!K:O,4)</f>
        <v>13.96</v>
      </c>
    </row>
    <row r="80" spans="1:5" hidden="1" x14ac:dyDescent="0.25">
      <c r="A80" s="11">
        <v>17</v>
      </c>
      <c r="B80" s="11" t="s">
        <v>1979</v>
      </c>
      <c r="C80" s="11">
        <v>1</v>
      </c>
      <c r="D80" t="s">
        <v>1965</v>
      </c>
      <c r="E80">
        <f>VLOOKUP(CONCATENATE(validProjetado[[#This Row],[Tipo]],validProjetado[[#This Row],[Destino]]),validConcreto!K:O,4)</f>
        <v>13.96</v>
      </c>
    </row>
    <row r="81" spans="1:5" hidden="1" x14ac:dyDescent="0.25">
      <c r="A81" s="11">
        <v>18</v>
      </c>
      <c r="B81" s="11" t="s">
        <v>1979</v>
      </c>
      <c r="C81" s="11">
        <v>1</v>
      </c>
      <c r="D81" t="s">
        <v>1965</v>
      </c>
      <c r="E81">
        <f>VLOOKUP(CONCATENATE(validProjetado[[#This Row],[Tipo]],validProjetado[[#This Row],[Destino]]),validConcreto!K:O,4)</f>
        <v>13.96</v>
      </c>
    </row>
    <row r="82" spans="1:5" hidden="1" x14ac:dyDescent="0.25">
      <c r="A82" s="11">
        <v>19</v>
      </c>
      <c r="B82" s="11" t="s">
        <v>1979</v>
      </c>
      <c r="C82" s="11">
        <v>1</v>
      </c>
      <c r="D82" t="s">
        <v>1965</v>
      </c>
      <c r="E82">
        <f>VLOOKUP(CONCATENATE(validProjetado[[#This Row],[Tipo]],validProjetado[[#This Row],[Destino]]),validConcreto!K:O,4)</f>
        <v>13.96</v>
      </c>
    </row>
    <row r="83" spans="1:5" hidden="1" x14ac:dyDescent="0.25">
      <c r="A83" s="11">
        <v>20</v>
      </c>
      <c r="B83" s="11" t="s">
        <v>1979</v>
      </c>
      <c r="C83" s="11">
        <v>1</v>
      </c>
      <c r="D83" t="s">
        <v>1965</v>
      </c>
      <c r="E83">
        <f>VLOOKUP(CONCATENATE(validProjetado[[#This Row],[Tipo]],validProjetado[[#This Row],[Destino]]),validConcreto!K:O,4)</f>
        <v>13.96</v>
      </c>
    </row>
    <row r="84" spans="1:5" hidden="1" x14ac:dyDescent="0.25">
      <c r="A84" s="11">
        <v>21</v>
      </c>
      <c r="B84" s="11" t="s">
        <v>1979</v>
      </c>
      <c r="C84" s="11">
        <v>1</v>
      </c>
      <c r="D84" t="s">
        <v>1965</v>
      </c>
      <c r="E84">
        <f>VLOOKUP(CONCATENATE(validProjetado[[#This Row],[Tipo]],validProjetado[[#This Row],[Destino]]),validConcreto!K:O,4)</f>
        <v>13.96</v>
      </c>
    </row>
    <row r="85" spans="1:5" hidden="1" x14ac:dyDescent="0.25">
      <c r="A85" s="11">
        <v>22</v>
      </c>
      <c r="B85" s="11" t="s">
        <v>1979</v>
      </c>
      <c r="C85" s="11">
        <v>1</v>
      </c>
      <c r="D85" t="s">
        <v>1965</v>
      </c>
      <c r="E85">
        <f>VLOOKUP(CONCATENATE(validProjetado[[#This Row],[Tipo]],validProjetado[[#This Row],[Destino]]),validConcreto!K:O,4)</f>
        <v>13.96</v>
      </c>
    </row>
    <row r="86" spans="1:5" hidden="1" x14ac:dyDescent="0.25">
      <c r="A86" s="11">
        <v>23</v>
      </c>
      <c r="B86" s="11" t="s">
        <v>1979</v>
      </c>
      <c r="C86" s="11">
        <v>1</v>
      </c>
      <c r="D86" t="s">
        <v>1965</v>
      </c>
      <c r="E86">
        <f>VLOOKUP(CONCATENATE(validProjetado[[#This Row],[Tipo]],validProjetado[[#This Row],[Destino]]),validConcreto!K:O,4)</f>
        <v>13.96</v>
      </c>
    </row>
    <row r="87" spans="1:5" hidden="1" x14ac:dyDescent="0.25">
      <c r="A87" s="11">
        <v>24</v>
      </c>
      <c r="B87" s="11" t="s">
        <v>1979</v>
      </c>
      <c r="C87" s="11">
        <v>1</v>
      </c>
      <c r="D87" t="s">
        <v>1965</v>
      </c>
      <c r="E87">
        <f>VLOOKUP(CONCATENATE(validProjetado[[#This Row],[Tipo]],validProjetado[[#This Row],[Destino]]),validConcreto!K:O,4)</f>
        <v>13.96</v>
      </c>
    </row>
    <row r="88" spans="1:5" hidden="1" x14ac:dyDescent="0.25">
      <c r="A88" s="11">
        <v>25</v>
      </c>
      <c r="B88" s="11" t="s">
        <v>1979</v>
      </c>
      <c r="C88" s="11">
        <v>1</v>
      </c>
      <c r="D88" t="s">
        <v>1965</v>
      </c>
      <c r="E88">
        <f>VLOOKUP(CONCATENATE(validProjetado[[#This Row],[Tipo]],validProjetado[[#This Row],[Destino]]),validConcreto!K:O,4)</f>
        <v>13.96</v>
      </c>
    </row>
    <row r="89" spans="1:5" hidden="1" x14ac:dyDescent="0.25">
      <c r="A89" s="11">
        <v>26</v>
      </c>
      <c r="B89" s="11" t="s">
        <v>1979</v>
      </c>
      <c r="C89" s="11">
        <v>1</v>
      </c>
      <c r="D89" t="s">
        <v>1965</v>
      </c>
      <c r="E89">
        <f>VLOOKUP(CONCATENATE(validProjetado[[#This Row],[Tipo]],validProjetado[[#This Row],[Destino]]),validConcreto!K:O,4)</f>
        <v>13.96</v>
      </c>
    </row>
    <row r="90" spans="1:5" hidden="1" x14ac:dyDescent="0.25">
      <c r="A90" s="11">
        <v>27</v>
      </c>
      <c r="B90" s="11" t="s">
        <v>1979</v>
      </c>
      <c r="C90" s="11">
        <v>1</v>
      </c>
      <c r="D90" t="s">
        <v>1965</v>
      </c>
      <c r="E90">
        <f>VLOOKUP(CONCATENATE(validProjetado[[#This Row],[Tipo]],validProjetado[[#This Row],[Destino]]),validConcreto!K:O,4)</f>
        <v>13.96</v>
      </c>
    </row>
    <row r="91" spans="1:5" hidden="1" x14ac:dyDescent="0.25">
      <c r="A91" s="11">
        <v>28</v>
      </c>
      <c r="B91" s="11" t="s">
        <v>1979</v>
      </c>
      <c r="C91" s="11">
        <v>1</v>
      </c>
      <c r="D91" t="s">
        <v>1965</v>
      </c>
      <c r="E91">
        <f>VLOOKUP(CONCATENATE(validProjetado[[#This Row],[Tipo]],validProjetado[[#This Row],[Destino]]),validConcreto!K:O,4)</f>
        <v>13.96</v>
      </c>
    </row>
    <row r="92" spans="1:5" hidden="1" x14ac:dyDescent="0.25">
      <c r="A92" s="11">
        <v>29</v>
      </c>
      <c r="B92" s="11" t="s">
        <v>1979</v>
      </c>
      <c r="C92" s="11">
        <v>2</v>
      </c>
      <c r="D92" t="s">
        <v>1965</v>
      </c>
      <c r="E92">
        <f>VLOOKUP(CONCATENATE(validProjetado[[#This Row],[Tipo]],validProjetado[[#This Row],[Destino]]),validConcreto!K:O,4)</f>
        <v>17.940000000000001</v>
      </c>
    </row>
    <row r="93" spans="1:5" hidden="1" x14ac:dyDescent="0.25">
      <c r="A93" s="11">
        <v>30</v>
      </c>
      <c r="B93" s="11" t="s">
        <v>1979</v>
      </c>
      <c r="C93" s="11">
        <v>2</v>
      </c>
      <c r="D93" t="s">
        <v>1965</v>
      </c>
      <c r="E93">
        <f>VLOOKUP(CONCATENATE(validProjetado[[#This Row],[Tipo]],validProjetado[[#This Row],[Destino]]),validConcreto!K:O,4)</f>
        <v>17.940000000000001</v>
      </c>
    </row>
    <row r="94" spans="1:5" hidden="1" x14ac:dyDescent="0.25">
      <c r="A94" s="11">
        <v>31</v>
      </c>
      <c r="B94" s="11" t="s">
        <v>1979</v>
      </c>
      <c r="C94" s="11">
        <v>2</v>
      </c>
      <c r="D94" t="s">
        <v>1965</v>
      </c>
      <c r="E94">
        <f>VLOOKUP(CONCATENATE(validProjetado[[#This Row],[Tipo]],validProjetado[[#This Row],[Destino]]),validConcreto!K:O,4)</f>
        <v>17.940000000000001</v>
      </c>
    </row>
    <row r="95" spans="1:5" hidden="1" x14ac:dyDescent="0.25">
      <c r="A95" s="11">
        <v>32</v>
      </c>
      <c r="B95" s="11" t="s">
        <v>1979</v>
      </c>
      <c r="C95" s="11">
        <v>2</v>
      </c>
      <c r="D95" t="s">
        <v>1965</v>
      </c>
      <c r="E95">
        <f>VLOOKUP(CONCATENATE(validProjetado[[#This Row],[Tipo]],validProjetado[[#This Row],[Destino]]),validConcreto!K:O,4)</f>
        <v>17.940000000000001</v>
      </c>
    </row>
    <row r="96" spans="1:5" hidden="1" x14ac:dyDescent="0.25">
      <c r="A96" s="11">
        <v>1</v>
      </c>
      <c r="B96" s="11" t="s">
        <v>1985</v>
      </c>
      <c r="C96" s="11">
        <v>1</v>
      </c>
      <c r="D96" t="s">
        <v>1965</v>
      </c>
      <c r="E96">
        <f>VLOOKUP(CONCATENATE(validProjetado[[#This Row],[Tipo]],validProjetado[[#This Row],[Destino]]),validConcreto!K:O,4)</f>
        <v>13.96</v>
      </c>
    </row>
    <row r="97" spans="1:5" hidden="1" x14ac:dyDescent="0.25">
      <c r="A97" s="11">
        <v>2</v>
      </c>
      <c r="B97" s="11" t="s">
        <v>1985</v>
      </c>
      <c r="C97" s="11">
        <v>2</v>
      </c>
      <c r="D97" t="s">
        <v>1965</v>
      </c>
      <c r="E97">
        <f>VLOOKUP(CONCATENATE(validProjetado[[#This Row],[Tipo]],validProjetado[[#This Row],[Destino]]),validConcreto!K:O,4)</f>
        <v>17.940000000000001</v>
      </c>
    </row>
    <row r="98" spans="1:5" hidden="1" x14ac:dyDescent="0.25">
      <c r="A98" s="11">
        <v>3</v>
      </c>
      <c r="B98" s="11" t="s">
        <v>1985</v>
      </c>
      <c r="C98" s="11">
        <v>1</v>
      </c>
      <c r="D98" t="s">
        <v>1965</v>
      </c>
      <c r="E98">
        <f>VLOOKUP(CONCATENATE(validProjetado[[#This Row],[Tipo]],validProjetado[[#This Row],[Destino]]),validConcreto!K:O,4)</f>
        <v>13.96</v>
      </c>
    </row>
    <row r="99" spans="1:5" hidden="1" x14ac:dyDescent="0.25">
      <c r="A99" s="11">
        <v>4</v>
      </c>
      <c r="B99" s="11" t="s">
        <v>1985</v>
      </c>
      <c r="C99" s="11">
        <v>2</v>
      </c>
      <c r="D99" t="s">
        <v>1965</v>
      </c>
      <c r="E99">
        <f>VLOOKUP(CONCATENATE(validProjetado[[#This Row],[Tipo]],validProjetado[[#This Row],[Destino]]),validConcreto!K:O,4)</f>
        <v>17.940000000000001</v>
      </c>
    </row>
    <row r="100" spans="1:5" hidden="1" x14ac:dyDescent="0.25">
      <c r="A100" s="11">
        <v>5</v>
      </c>
      <c r="B100" s="11" t="s">
        <v>1985</v>
      </c>
      <c r="C100" s="11">
        <v>1</v>
      </c>
      <c r="D100" t="s">
        <v>1965</v>
      </c>
      <c r="E100">
        <f>VLOOKUP(CONCATENATE(validProjetado[[#This Row],[Tipo]],validProjetado[[#This Row],[Destino]]),validConcreto!K:O,4)</f>
        <v>13.96</v>
      </c>
    </row>
    <row r="101" spans="1:5" hidden="1" x14ac:dyDescent="0.25">
      <c r="A101" s="11">
        <v>6</v>
      </c>
      <c r="B101" s="11" t="s">
        <v>1985</v>
      </c>
      <c r="C101" s="11">
        <v>2</v>
      </c>
      <c r="D101" t="s">
        <v>1965</v>
      </c>
      <c r="E101">
        <f>VLOOKUP(CONCATENATE(validProjetado[[#This Row],[Tipo]],validProjetado[[#This Row],[Destino]]),validConcreto!K:O,4)</f>
        <v>17.940000000000001</v>
      </c>
    </row>
    <row r="102" spans="1:5" hidden="1" x14ac:dyDescent="0.25">
      <c r="A102" s="11">
        <v>7</v>
      </c>
      <c r="B102" s="11" t="s">
        <v>1985</v>
      </c>
      <c r="C102" s="11">
        <v>1</v>
      </c>
      <c r="D102" t="s">
        <v>1965</v>
      </c>
      <c r="E102">
        <f>VLOOKUP(CONCATENATE(validProjetado[[#This Row],[Tipo]],validProjetado[[#This Row],[Destino]]),validConcreto!K:O,4)</f>
        <v>13.96</v>
      </c>
    </row>
    <row r="103" spans="1:5" hidden="1" x14ac:dyDescent="0.25">
      <c r="A103" s="11">
        <v>8</v>
      </c>
      <c r="B103" s="11" t="s">
        <v>1985</v>
      </c>
      <c r="C103" s="11">
        <v>2</v>
      </c>
      <c r="D103" t="s">
        <v>1965</v>
      </c>
      <c r="E103">
        <f>VLOOKUP(CONCATENATE(validProjetado[[#This Row],[Tipo]],validProjetado[[#This Row],[Destino]]),validConcreto!K:O,4)</f>
        <v>17.940000000000001</v>
      </c>
    </row>
    <row r="104" spans="1:5" hidden="1" x14ac:dyDescent="0.25">
      <c r="A104" s="11">
        <v>9</v>
      </c>
      <c r="B104" s="11" t="s">
        <v>1985</v>
      </c>
      <c r="C104" s="11">
        <v>1</v>
      </c>
      <c r="D104" t="s">
        <v>1965</v>
      </c>
      <c r="E104">
        <f>VLOOKUP(CONCATENATE(validProjetado[[#This Row],[Tipo]],validProjetado[[#This Row],[Destino]]),validConcreto!K:O,4)</f>
        <v>13.96</v>
      </c>
    </row>
    <row r="105" spans="1:5" hidden="1" x14ac:dyDescent="0.25">
      <c r="A105" s="11">
        <v>10</v>
      </c>
      <c r="B105" s="11" t="s">
        <v>1985</v>
      </c>
      <c r="C105" s="11">
        <v>2</v>
      </c>
      <c r="D105" t="s">
        <v>1965</v>
      </c>
      <c r="E105">
        <f>VLOOKUP(CONCATENATE(validProjetado[[#This Row],[Tipo]],validProjetado[[#This Row],[Destino]]),validConcreto!K:O,4)</f>
        <v>17.940000000000001</v>
      </c>
    </row>
    <row r="106" spans="1:5" hidden="1" x14ac:dyDescent="0.25">
      <c r="A106" s="11">
        <v>11</v>
      </c>
      <c r="B106" s="11" t="s">
        <v>1985</v>
      </c>
      <c r="C106" s="11">
        <v>1</v>
      </c>
      <c r="D106" t="s">
        <v>1965</v>
      </c>
      <c r="E106">
        <f>VLOOKUP(CONCATENATE(validProjetado[[#This Row],[Tipo]],validProjetado[[#This Row],[Destino]]),validConcreto!K:O,4)</f>
        <v>13.96</v>
      </c>
    </row>
    <row r="107" spans="1:5" hidden="1" x14ac:dyDescent="0.25">
      <c r="A107" s="11">
        <v>12</v>
      </c>
      <c r="B107" s="11" t="s">
        <v>1985</v>
      </c>
      <c r="C107" s="11">
        <v>2</v>
      </c>
      <c r="D107" t="s">
        <v>1965</v>
      </c>
      <c r="E107">
        <f>VLOOKUP(CONCATENATE(validProjetado[[#This Row],[Tipo]],validProjetado[[#This Row],[Destino]]),validConcreto!K:O,4)</f>
        <v>17.940000000000001</v>
      </c>
    </row>
    <row r="108" spans="1:5" hidden="1" x14ac:dyDescent="0.25">
      <c r="A108" s="11">
        <v>13</v>
      </c>
      <c r="B108" s="11" t="s">
        <v>1985</v>
      </c>
      <c r="C108" s="11">
        <v>1</v>
      </c>
      <c r="D108" t="s">
        <v>1965</v>
      </c>
      <c r="E108">
        <f>VLOOKUP(CONCATENATE(validProjetado[[#This Row],[Tipo]],validProjetado[[#This Row],[Destino]]),validConcreto!K:O,4)</f>
        <v>13.96</v>
      </c>
    </row>
    <row r="109" spans="1:5" hidden="1" x14ac:dyDescent="0.25">
      <c r="A109" s="11">
        <v>14</v>
      </c>
      <c r="B109" s="11" t="s">
        <v>1985</v>
      </c>
      <c r="C109" s="11">
        <v>2</v>
      </c>
      <c r="D109" t="s">
        <v>1965</v>
      </c>
      <c r="E109">
        <f>VLOOKUP(CONCATENATE(validProjetado[[#This Row],[Tipo]],validProjetado[[#This Row],[Destino]]),validConcreto!K:O,4)</f>
        <v>17.940000000000001</v>
      </c>
    </row>
    <row r="110" spans="1:5" hidden="1" x14ac:dyDescent="0.25">
      <c r="A110" s="11">
        <v>15</v>
      </c>
      <c r="B110" s="11" t="s">
        <v>1985</v>
      </c>
      <c r="C110" s="11">
        <v>1</v>
      </c>
      <c r="D110" t="s">
        <v>1965</v>
      </c>
      <c r="E110">
        <f>VLOOKUP(CONCATENATE(validProjetado[[#This Row],[Tipo]],validProjetado[[#This Row],[Destino]]),validConcreto!K:O,4)</f>
        <v>13.96</v>
      </c>
    </row>
    <row r="111" spans="1:5" hidden="1" x14ac:dyDescent="0.25">
      <c r="A111" s="11">
        <v>16</v>
      </c>
      <c r="B111" s="11" t="s">
        <v>1985</v>
      </c>
      <c r="C111" s="11">
        <v>2</v>
      </c>
      <c r="D111" t="s">
        <v>1965</v>
      </c>
      <c r="E111">
        <f>VLOOKUP(CONCATENATE(validProjetado[[#This Row],[Tipo]],validProjetado[[#This Row],[Destino]]),validConcreto!K:O,4)</f>
        <v>17.940000000000001</v>
      </c>
    </row>
    <row r="112" spans="1:5" hidden="1" x14ac:dyDescent="0.25">
      <c r="A112" s="11">
        <v>17</v>
      </c>
      <c r="B112" s="11" t="s">
        <v>1985</v>
      </c>
      <c r="C112" s="11">
        <v>1</v>
      </c>
      <c r="D112" t="s">
        <v>1965</v>
      </c>
      <c r="E112">
        <f>VLOOKUP(CONCATENATE(validProjetado[[#This Row],[Tipo]],validProjetado[[#This Row],[Destino]]),validConcreto!K:O,4)</f>
        <v>13.96</v>
      </c>
    </row>
    <row r="113" spans="1:5" hidden="1" x14ac:dyDescent="0.25">
      <c r="A113" s="11">
        <v>1</v>
      </c>
      <c r="B113" s="11" t="s">
        <v>1989</v>
      </c>
      <c r="C113" s="11">
        <v>2</v>
      </c>
      <c r="D113" t="s">
        <v>1965</v>
      </c>
      <c r="E113">
        <f>VLOOKUP(CONCATENATE(validProjetado[[#This Row],[Tipo]],validProjetado[[#This Row],[Destino]]),validConcreto!K:O,4)</f>
        <v>17.940000000000001</v>
      </c>
    </row>
    <row r="114" spans="1:5" hidden="1" x14ac:dyDescent="0.25">
      <c r="A114" s="11">
        <v>2</v>
      </c>
      <c r="B114" s="11" t="s">
        <v>1989</v>
      </c>
      <c r="C114" s="11">
        <v>1</v>
      </c>
      <c r="D114" t="s">
        <v>1965</v>
      </c>
      <c r="E114">
        <f>VLOOKUP(CONCATENATE(validProjetado[[#This Row],[Tipo]],validProjetado[[#This Row],[Destino]]),validConcreto!K:O,4)</f>
        <v>13.96</v>
      </c>
    </row>
    <row r="115" spans="1:5" hidden="1" x14ac:dyDescent="0.25">
      <c r="A115" s="11">
        <v>3</v>
      </c>
      <c r="B115" s="11" t="s">
        <v>1989</v>
      </c>
      <c r="C115" s="11">
        <v>2</v>
      </c>
      <c r="D115" t="s">
        <v>1965</v>
      </c>
      <c r="E115">
        <f>VLOOKUP(CONCATENATE(validProjetado[[#This Row],[Tipo]],validProjetado[[#This Row],[Destino]]),validConcreto!K:O,4)</f>
        <v>17.940000000000001</v>
      </c>
    </row>
    <row r="116" spans="1:5" hidden="1" x14ac:dyDescent="0.25">
      <c r="A116" s="11">
        <v>4</v>
      </c>
      <c r="B116" s="11" t="s">
        <v>1989</v>
      </c>
      <c r="C116" s="11">
        <v>1</v>
      </c>
      <c r="D116" t="s">
        <v>1965</v>
      </c>
      <c r="E116">
        <f>VLOOKUP(CONCATENATE(validProjetado[[#This Row],[Tipo]],validProjetado[[#This Row],[Destino]]),validConcreto!K:O,4)</f>
        <v>13.96</v>
      </c>
    </row>
    <row r="117" spans="1:5" hidden="1" x14ac:dyDescent="0.25">
      <c r="A117" s="11">
        <v>5</v>
      </c>
      <c r="B117" s="11" t="s">
        <v>1989</v>
      </c>
      <c r="C117" s="11">
        <v>2</v>
      </c>
      <c r="D117" t="s">
        <v>1965</v>
      </c>
      <c r="E117">
        <f>VLOOKUP(CONCATENATE(validProjetado[[#This Row],[Tipo]],validProjetado[[#This Row],[Destino]]),validConcreto!K:O,4)</f>
        <v>17.940000000000001</v>
      </c>
    </row>
    <row r="118" spans="1:5" hidden="1" x14ac:dyDescent="0.25">
      <c r="A118" s="11">
        <v>6</v>
      </c>
      <c r="B118" s="11" t="s">
        <v>1989</v>
      </c>
      <c r="C118" s="11">
        <v>1</v>
      </c>
      <c r="D118" t="s">
        <v>1965</v>
      </c>
      <c r="E118">
        <f>VLOOKUP(CONCATENATE(validProjetado[[#This Row],[Tipo]],validProjetado[[#This Row],[Destino]]),validConcreto!K:O,4)</f>
        <v>13.96</v>
      </c>
    </row>
    <row r="119" spans="1:5" hidden="1" x14ac:dyDescent="0.25">
      <c r="A119" s="11">
        <v>7</v>
      </c>
      <c r="B119" s="11" t="s">
        <v>1989</v>
      </c>
      <c r="C119" s="11">
        <v>2</v>
      </c>
      <c r="D119" t="s">
        <v>1965</v>
      </c>
      <c r="E119">
        <f>VLOOKUP(CONCATENATE(validProjetado[[#This Row],[Tipo]],validProjetado[[#This Row],[Destino]]),validConcreto!K:O,4)</f>
        <v>17.940000000000001</v>
      </c>
    </row>
    <row r="120" spans="1:5" hidden="1" x14ac:dyDescent="0.25">
      <c r="A120" s="11">
        <v>8</v>
      </c>
      <c r="B120" s="11" t="s">
        <v>1989</v>
      </c>
      <c r="C120" s="11">
        <v>1</v>
      </c>
      <c r="D120" t="s">
        <v>1965</v>
      </c>
      <c r="E120">
        <f>VLOOKUP(CONCATENATE(validProjetado[[#This Row],[Tipo]],validProjetado[[#This Row],[Destino]]),validConcreto!K:O,4)</f>
        <v>13.96</v>
      </c>
    </row>
    <row r="121" spans="1:5" hidden="1" x14ac:dyDescent="0.25">
      <c r="A121" s="11">
        <v>9</v>
      </c>
      <c r="B121" s="11" t="s">
        <v>1989</v>
      </c>
      <c r="C121" s="11">
        <v>2</v>
      </c>
      <c r="D121" t="s">
        <v>1965</v>
      </c>
      <c r="E121">
        <f>VLOOKUP(CONCATENATE(validProjetado[[#This Row],[Tipo]],validProjetado[[#This Row],[Destino]]),validConcreto!K:O,4)</f>
        <v>17.940000000000001</v>
      </c>
    </row>
    <row r="122" spans="1:5" hidden="1" x14ac:dyDescent="0.25">
      <c r="A122" s="11">
        <v>10</v>
      </c>
      <c r="B122" s="11" t="s">
        <v>1989</v>
      </c>
      <c r="C122" s="11">
        <v>1</v>
      </c>
      <c r="D122" t="s">
        <v>1965</v>
      </c>
      <c r="E122">
        <f>VLOOKUP(CONCATENATE(validProjetado[[#This Row],[Tipo]],validProjetado[[#This Row],[Destino]]),validConcreto!K:O,4)</f>
        <v>13.96</v>
      </c>
    </row>
    <row r="123" spans="1:5" hidden="1" x14ac:dyDescent="0.25">
      <c r="A123" s="11">
        <v>11</v>
      </c>
      <c r="B123" s="11" t="s">
        <v>1989</v>
      </c>
      <c r="C123" s="11">
        <v>2</v>
      </c>
      <c r="D123" t="s">
        <v>1965</v>
      </c>
      <c r="E123">
        <f>VLOOKUP(CONCATENATE(validProjetado[[#This Row],[Tipo]],validProjetado[[#This Row],[Destino]]),validConcreto!K:O,4)</f>
        <v>17.940000000000001</v>
      </c>
    </row>
    <row r="124" spans="1:5" hidden="1" x14ac:dyDescent="0.25">
      <c r="A124" s="11">
        <v>12</v>
      </c>
      <c r="B124" s="11" t="s">
        <v>1989</v>
      </c>
      <c r="C124" s="11">
        <v>1</v>
      </c>
      <c r="D124" t="s">
        <v>1965</v>
      </c>
      <c r="E124">
        <f>VLOOKUP(CONCATENATE(validProjetado[[#This Row],[Tipo]],validProjetado[[#This Row],[Destino]]),validConcreto!K:O,4)</f>
        <v>13.96</v>
      </c>
    </row>
    <row r="125" spans="1:5" hidden="1" x14ac:dyDescent="0.25">
      <c r="A125" s="11">
        <v>13</v>
      </c>
      <c r="B125" s="11" t="s">
        <v>1989</v>
      </c>
      <c r="C125" s="11">
        <v>2</v>
      </c>
      <c r="D125" t="s">
        <v>1965</v>
      </c>
      <c r="E125">
        <f>VLOOKUP(CONCATENATE(validProjetado[[#This Row],[Tipo]],validProjetado[[#This Row],[Destino]]),validConcreto!K:O,4)</f>
        <v>17.940000000000001</v>
      </c>
    </row>
    <row r="126" spans="1:5" hidden="1" x14ac:dyDescent="0.25">
      <c r="A126" s="11">
        <v>14</v>
      </c>
      <c r="B126" s="11" t="s">
        <v>1989</v>
      </c>
      <c r="C126" s="11">
        <v>1</v>
      </c>
      <c r="D126" t="s">
        <v>1965</v>
      </c>
      <c r="E126">
        <f>VLOOKUP(CONCATENATE(validProjetado[[#This Row],[Tipo]],validProjetado[[#This Row],[Destino]]),validConcreto!K:O,4)</f>
        <v>13.96</v>
      </c>
    </row>
    <row r="127" spans="1:5" hidden="1" x14ac:dyDescent="0.25">
      <c r="A127" s="11">
        <v>1</v>
      </c>
      <c r="B127" s="11" t="s">
        <v>1992</v>
      </c>
      <c r="C127" s="11">
        <v>1</v>
      </c>
      <c r="D127" t="s">
        <v>1965</v>
      </c>
      <c r="E127">
        <f>VLOOKUP(CONCATENATE(validProjetado[[#This Row],[Tipo]],validProjetado[[#This Row],[Destino]]),validConcreto!K:O,4)</f>
        <v>13.96</v>
      </c>
    </row>
    <row r="128" spans="1:5" hidden="1" x14ac:dyDescent="0.25">
      <c r="A128" s="11">
        <v>2</v>
      </c>
      <c r="B128" s="11" t="s">
        <v>1992</v>
      </c>
      <c r="C128" s="11">
        <v>2</v>
      </c>
      <c r="D128" t="s">
        <v>1965</v>
      </c>
      <c r="E128">
        <f>VLOOKUP(CONCATENATE(validProjetado[[#This Row],[Tipo]],validProjetado[[#This Row],[Destino]]),validConcreto!K:O,4)</f>
        <v>17.940000000000001</v>
      </c>
    </row>
    <row r="129" spans="1:5" hidden="1" x14ac:dyDescent="0.25">
      <c r="A129" s="11">
        <v>3</v>
      </c>
      <c r="B129" s="11" t="s">
        <v>1992</v>
      </c>
      <c r="C129" s="11">
        <v>2</v>
      </c>
      <c r="D129" t="s">
        <v>1965</v>
      </c>
      <c r="E129">
        <f>VLOOKUP(CONCATENATE(validProjetado[[#This Row],[Tipo]],validProjetado[[#This Row],[Destino]]),validConcreto!K:O,4)</f>
        <v>17.940000000000001</v>
      </c>
    </row>
    <row r="130" spans="1:5" hidden="1" x14ac:dyDescent="0.25">
      <c r="A130" s="11">
        <v>4</v>
      </c>
      <c r="B130" s="11" t="s">
        <v>1992</v>
      </c>
      <c r="C130" s="11">
        <v>1</v>
      </c>
      <c r="D130" t="s">
        <v>1965</v>
      </c>
      <c r="E130">
        <f>VLOOKUP(CONCATENATE(validProjetado[[#This Row],[Tipo]],validProjetado[[#This Row],[Destino]]),validConcreto!K:O,4)</f>
        <v>13.96</v>
      </c>
    </row>
    <row r="131" spans="1:5" hidden="1" x14ac:dyDescent="0.25">
      <c r="A131" s="11">
        <v>5</v>
      </c>
      <c r="B131" s="11" t="s">
        <v>1992</v>
      </c>
      <c r="C131" s="11">
        <v>1</v>
      </c>
      <c r="D131" t="s">
        <v>1965</v>
      </c>
      <c r="E131">
        <f>VLOOKUP(CONCATENATE(validProjetado[[#This Row],[Tipo]],validProjetado[[#This Row],[Destino]]),validConcreto!K:O,4)</f>
        <v>13.96</v>
      </c>
    </row>
    <row r="132" spans="1:5" hidden="1" x14ac:dyDescent="0.25">
      <c r="A132" s="11">
        <v>6</v>
      </c>
      <c r="B132" s="11" t="s">
        <v>1992</v>
      </c>
      <c r="C132" s="11">
        <v>1</v>
      </c>
      <c r="D132" t="s">
        <v>1965</v>
      </c>
      <c r="E132">
        <f>VLOOKUP(CONCATENATE(validProjetado[[#This Row],[Tipo]],validProjetado[[#This Row],[Destino]]),validConcreto!K:O,4)</f>
        <v>13.96</v>
      </c>
    </row>
    <row r="133" spans="1:5" hidden="1" x14ac:dyDescent="0.25">
      <c r="A133" s="11">
        <v>7</v>
      </c>
      <c r="B133" s="11" t="s">
        <v>1992</v>
      </c>
      <c r="C133" s="11">
        <v>1</v>
      </c>
      <c r="D133" t="s">
        <v>1965</v>
      </c>
      <c r="E133">
        <f>VLOOKUP(CONCATENATE(validProjetado[[#This Row],[Tipo]],validProjetado[[#This Row],[Destino]]),validConcreto!K:O,4)</f>
        <v>13.96</v>
      </c>
    </row>
    <row r="134" spans="1:5" hidden="1" x14ac:dyDescent="0.25">
      <c r="A134" s="11">
        <v>8</v>
      </c>
      <c r="B134" s="11" t="s">
        <v>1992</v>
      </c>
      <c r="C134" s="11">
        <v>1</v>
      </c>
      <c r="D134" t="s">
        <v>1965</v>
      </c>
      <c r="E134">
        <f>VLOOKUP(CONCATENATE(validProjetado[[#This Row],[Tipo]],validProjetado[[#This Row],[Destino]]),validConcreto!K:O,4)</f>
        <v>13.96</v>
      </c>
    </row>
    <row r="135" spans="1:5" hidden="1" x14ac:dyDescent="0.25">
      <c r="A135" s="11">
        <v>9</v>
      </c>
      <c r="B135" s="11" t="s">
        <v>1992</v>
      </c>
      <c r="C135" s="11">
        <v>1</v>
      </c>
      <c r="D135" t="s">
        <v>1965</v>
      </c>
      <c r="E135">
        <f>VLOOKUP(CONCATENATE(validProjetado[[#This Row],[Tipo]],validProjetado[[#This Row],[Destino]]),validConcreto!K:O,4)</f>
        <v>13.96</v>
      </c>
    </row>
    <row r="136" spans="1:5" hidden="1" x14ac:dyDescent="0.25">
      <c r="A136" s="11">
        <v>10</v>
      </c>
      <c r="B136" s="11" t="s">
        <v>1992</v>
      </c>
      <c r="C136" s="11">
        <v>1</v>
      </c>
      <c r="D136" t="s">
        <v>1965</v>
      </c>
      <c r="E136">
        <f>VLOOKUP(CONCATENATE(validProjetado[[#This Row],[Tipo]],validProjetado[[#This Row],[Destino]]),validConcreto!K:O,4)</f>
        <v>13.96</v>
      </c>
    </row>
    <row r="137" spans="1:5" hidden="1" x14ac:dyDescent="0.25">
      <c r="A137" s="11">
        <v>11</v>
      </c>
      <c r="B137" s="11" t="s">
        <v>1992</v>
      </c>
      <c r="C137" s="11">
        <v>1</v>
      </c>
      <c r="D137" t="s">
        <v>1965</v>
      </c>
      <c r="E137">
        <f>VLOOKUP(CONCATENATE(validProjetado[[#This Row],[Tipo]],validProjetado[[#This Row],[Destino]]),validConcreto!K:O,4)</f>
        <v>13.96</v>
      </c>
    </row>
    <row r="138" spans="1:5" hidden="1" x14ac:dyDescent="0.25">
      <c r="A138" s="11">
        <v>12</v>
      </c>
      <c r="B138" s="11" t="s">
        <v>1992</v>
      </c>
      <c r="C138" s="11">
        <v>1</v>
      </c>
      <c r="D138" t="s">
        <v>1965</v>
      </c>
      <c r="E138">
        <f>VLOOKUP(CONCATENATE(validProjetado[[#This Row],[Tipo]],validProjetado[[#This Row],[Destino]]),validConcreto!K:O,4)</f>
        <v>13.96</v>
      </c>
    </row>
    <row r="139" spans="1:5" hidden="1" x14ac:dyDescent="0.25">
      <c r="A139" s="11">
        <v>13</v>
      </c>
      <c r="B139" s="11" t="s">
        <v>1992</v>
      </c>
      <c r="C139" s="11">
        <v>1</v>
      </c>
      <c r="D139" t="s">
        <v>1965</v>
      </c>
      <c r="E139">
        <f>VLOOKUP(CONCATENATE(validProjetado[[#This Row],[Tipo]],validProjetado[[#This Row],[Destino]]),validConcreto!K:O,4)</f>
        <v>13.96</v>
      </c>
    </row>
    <row r="140" spans="1:5" hidden="1" x14ac:dyDescent="0.25">
      <c r="A140" s="11">
        <v>14</v>
      </c>
      <c r="B140" s="11" t="s">
        <v>1992</v>
      </c>
      <c r="C140" s="11">
        <v>2</v>
      </c>
      <c r="D140" t="s">
        <v>1965</v>
      </c>
      <c r="E140">
        <f>VLOOKUP(CONCATENATE(validProjetado[[#This Row],[Tipo]],validProjetado[[#This Row],[Destino]]),validConcreto!K:O,4)</f>
        <v>17.940000000000001</v>
      </c>
    </row>
    <row r="141" spans="1:5" hidden="1" x14ac:dyDescent="0.25">
      <c r="A141" s="11">
        <v>15</v>
      </c>
      <c r="B141" s="11" t="s">
        <v>1992</v>
      </c>
      <c r="C141" s="11">
        <v>2</v>
      </c>
      <c r="D141" t="s">
        <v>1965</v>
      </c>
      <c r="E141">
        <f>VLOOKUP(CONCATENATE(validProjetado[[#This Row],[Tipo]],validProjetado[[#This Row],[Destino]]),validConcreto!K:O,4)</f>
        <v>17.940000000000001</v>
      </c>
    </row>
    <row r="142" spans="1:5" hidden="1" x14ac:dyDescent="0.25">
      <c r="A142" s="11">
        <v>1</v>
      </c>
      <c r="B142" s="11" t="s">
        <v>1995</v>
      </c>
      <c r="C142" s="11">
        <v>1</v>
      </c>
      <c r="D142" t="s">
        <v>1965</v>
      </c>
      <c r="E142">
        <f>VLOOKUP(CONCATENATE(validProjetado[[#This Row],[Tipo]],validProjetado[[#This Row],[Destino]]),validConcreto!K:O,4)</f>
        <v>13.96</v>
      </c>
    </row>
    <row r="143" spans="1:5" hidden="1" x14ac:dyDescent="0.25">
      <c r="A143" s="11">
        <v>2</v>
      </c>
      <c r="B143" s="11" t="s">
        <v>1995</v>
      </c>
      <c r="C143" s="11">
        <v>2</v>
      </c>
      <c r="D143" t="s">
        <v>1965</v>
      </c>
      <c r="E143">
        <f>VLOOKUP(CONCATENATE(validProjetado[[#This Row],[Tipo]],validProjetado[[#This Row],[Destino]]),validConcreto!K:O,4)</f>
        <v>17.940000000000001</v>
      </c>
    </row>
    <row r="144" spans="1:5" hidden="1" x14ac:dyDescent="0.25">
      <c r="A144" s="11">
        <v>3</v>
      </c>
      <c r="B144" s="11" t="s">
        <v>1995</v>
      </c>
      <c r="C144" s="11">
        <v>1</v>
      </c>
      <c r="D144" t="s">
        <v>1965</v>
      </c>
      <c r="E144">
        <f>VLOOKUP(CONCATENATE(validProjetado[[#This Row],[Tipo]],validProjetado[[#This Row],[Destino]]),validConcreto!K:O,4)</f>
        <v>13.96</v>
      </c>
    </row>
    <row r="145" spans="1:5" hidden="1" x14ac:dyDescent="0.25">
      <c r="A145" s="11">
        <v>4</v>
      </c>
      <c r="B145" s="11" t="s">
        <v>1995</v>
      </c>
      <c r="C145" s="11">
        <v>2</v>
      </c>
      <c r="D145" t="s">
        <v>1965</v>
      </c>
      <c r="E145">
        <f>VLOOKUP(CONCATENATE(validProjetado[[#This Row],[Tipo]],validProjetado[[#This Row],[Destino]]),validConcreto!K:O,4)</f>
        <v>17.940000000000001</v>
      </c>
    </row>
    <row r="146" spans="1:5" hidden="1" x14ac:dyDescent="0.25">
      <c r="A146" s="11">
        <v>5</v>
      </c>
      <c r="B146" s="11" t="s">
        <v>1995</v>
      </c>
      <c r="C146" s="11">
        <v>1</v>
      </c>
      <c r="D146" t="s">
        <v>1965</v>
      </c>
      <c r="E146">
        <f>VLOOKUP(CONCATENATE(validProjetado[[#This Row],[Tipo]],validProjetado[[#This Row],[Destino]]),validConcreto!K:O,4)</f>
        <v>13.96</v>
      </c>
    </row>
    <row r="147" spans="1:5" hidden="1" x14ac:dyDescent="0.25">
      <c r="A147" s="11">
        <v>6</v>
      </c>
      <c r="B147" s="11" t="s">
        <v>1995</v>
      </c>
      <c r="C147" s="11">
        <v>2</v>
      </c>
      <c r="D147" t="s">
        <v>1965</v>
      </c>
      <c r="E147">
        <f>VLOOKUP(CONCATENATE(validProjetado[[#This Row],[Tipo]],validProjetado[[#This Row],[Destino]]),validConcreto!K:O,4)</f>
        <v>17.940000000000001</v>
      </c>
    </row>
    <row r="148" spans="1:5" hidden="1" x14ac:dyDescent="0.25">
      <c r="A148" s="11">
        <v>7</v>
      </c>
      <c r="B148" s="11" t="s">
        <v>1995</v>
      </c>
      <c r="C148" s="11">
        <v>1</v>
      </c>
      <c r="D148" t="s">
        <v>1965</v>
      </c>
      <c r="E148">
        <f>VLOOKUP(CONCATENATE(validProjetado[[#This Row],[Tipo]],validProjetado[[#This Row],[Destino]]),validConcreto!K:O,4)</f>
        <v>13.96</v>
      </c>
    </row>
    <row r="149" spans="1:5" hidden="1" x14ac:dyDescent="0.25">
      <c r="A149" s="11">
        <v>8</v>
      </c>
      <c r="B149" s="11" t="s">
        <v>1995</v>
      </c>
      <c r="C149" s="11">
        <v>2</v>
      </c>
      <c r="D149" t="s">
        <v>1965</v>
      </c>
      <c r="E149">
        <f>VLOOKUP(CONCATENATE(validProjetado[[#This Row],[Tipo]],validProjetado[[#This Row],[Destino]]),validConcreto!K:O,4)</f>
        <v>17.940000000000001</v>
      </c>
    </row>
    <row r="150" spans="1:5" hidden="1" x14ac:dyDescent="0.25">
      <c r="A150" s="11">
        <v>9</v>
      </c>
      <c r="B150" s="11" t="s">
        <v>1995</v>
      </c>
      <c r="C150" s="11">
        <v>1</v>
      </c>
      <c r="D150" t="s">
        <v>1965</v>
      </c>
      <c r="E150">
        <f>VLOOKUP(CONCATENATE(validProjetado[[#This Row],[Tipo]],validProjetado[[#This Row],[Destino]]),validConcreto!K:O,4)</f>
        <v>13.96</v>
      </c>
    </row>
    <row r="151" spans="1:5" hidden="1" x14ac:dyDescent="0.25">
      <c r="A151" s="11">
        <v>10</v>
      </c>
      <c r="B151" s="11" t="s">
        <v>1995</v>
      </c>
      <c r="C151" s="11">
        <v>2</v>
      </c>
      <c r="D151" t="s">
        <v>1965</v>
      </c>
      <c r="E151">
        <f>VLOOKUP(CONCATENATE(validProjetado[[#This Row],[Tipo]],validProjetado[[#This Row],[Destino]]),validConcreto!K:O,4)</f>
        <v>17.940000000000001</v>
      </c>
    </row>
    <row r="152" spans="1:5" hidden="1" x14ac:dyDescent="0.25">
      <c r="A152" s="11">
        <v>11</v>
      </c>
      <c r="B152" s="11" t="s">
        <v>1995</v>
      </c>
      <c r="C152" s="11">
        <v>1</v>
      </c>
      <c r="D152" t="s">
        <v>1965</v>
      </c>
      <c r="E152">
        <f>VLOOKUP(CONCATENATE(validProjetado[[#This Row],[Tipo]],validProjetado[[#This Row],[Destino]]),validConcreto!K:O,4)</f>
        <v>13.96</v>
      </c>
    </row>
    <row r="153" spans="1:5" hidden="1" x14ac:dyDescent="0.25">
      <c r="A153" s="11">
        <v>12</v>
      </c>
      <c r="B153" s="11" t="s">
        <v>1995</v>
      </c>
      <c r="C153" s="11">
        <v>2</v>
      </c>
      <c r="D153" t="s">
        <v>1965</v>
      </c>
      <c r="E153">
        <f>VLOOKUP(CONCATENATE(validProjetado[[#This Row],[Tipo]],validProjetado[[#This Row],[Destino]]),validConcreto!K:O,4)</f>
        <v>17.940000000000001</v>
      </c>
    </row>
    <row r="154" spans="1:5" hidden="1" x14ac:dyDescent="0.25">
      <c r="A154" s="11">
        <v>13</v>
      </c>
      <c r="B154" s="11" t="s">
        <v>1995</v>
      </c>
      <c r="C154" s="11">
        <v>1</v>
      </c>
      <c r="D154" t="s">
        <v>1965</v>
      </c>
      <c r="E154">
        <f>VLOOKUP(CONCATENATE(validProjetado[[#This Row],[Tipo]],validProjetado[[#This Row],[Destino]]),validConcreto!K:O,4)</f>
        <v>13.96</v>
      </c>
    </row>
    <row r="155" spans="1:5" hidden="1" x14ac:dyDescent="0.25">
      <c r="A155" s="11">
        <v>14</v>
      </c>
      <c r="B155" s="11" t="s">
        <v>1995</v>
      </c>
      <c r="C155" s="11">
        <v>2</v>
      </c>
      <c r="D155" t="s">
        <v>1965</v>
      </c>
      <c r="E155">
        <f>VLOOKUP(CONCATENATE(validProjetado[[#This Row],[Tipo]],validProjetado[[#This Row],[Destino]]),validConcreto!K:O,4)</f>
        <v>17.940000000000001</v>
      </c>
    </row>
    <row r="156" spans="1:5" hidden="1" x14ac:dyDescent="0.25">
      <c r="A156" s="11">
        <v>15</v>
      </c>
      <c r="B156" s="11" t="s">
        <v>1995</v>
      </c>
      <c r="C156" s="11">
        <v>1</v>
      </c>
      <c r="D156" t="s">
        <v>1965</v>
      </c>
      <c r="E156">
        <f>VLOOKUP(CONCATENATE(validProjetado[[#This Row],[Tipo]],validProjetado[[#This Row],[Destino]]),validConcreto!K:O,4)</f>
        <v>13.96</v>
      </c>
    </row>
    <row r="157" spans="1:5" hidden="1" x14ac:dyDescent="0.25">
      <c r="A157" s="11">
        <v>16</v>
      </c>
      <c r="B157" s="11" t="s">
        <v>1995</v>
      </c>
      <c r="C157" s="11">
        <v>2</v>
      </c>
      <c r="D157" t="s">
        <v>1965</v>
      </c>
      <c r="E157">
        <f>VLOOKUP(CONCATENATE(validProjetado[[#This Row],[Tipo]],validProjetado[[#This Row],[Destino]]),validConcreto!K:O,4)</f>
        <v>17.940000000000001</v>
      </c>
    </row>
    <row r="158" spans="1:5" hidden="1" x14ac:dyDescent="0.25">
      <c r="A158" s="11">
        <v>17</v>
      </c>
      <c r="B158" s="11" t="s">
        <v>1995</v>
      </c>
      <c r="C158" s="11">
        <v>1</v>
      </c>
      <c r="D158" t="s">
        <v>1965</v>
      </c>
      <c r="E158">
        <f>VLOOKUP(CONCATENATE(validProjetado[[#This Row],[Tipo]],validProjetado[[#This Row],[Destino]]),validConcreto!K:O,4)</f>
        <v>13.96</v>
      </c>
    </row>
    <row r="159" spans="1:5" hidden="1" x14ac:dyDescent="0.25">
      <c r="A159" s="11">
        <v>1</v>
      </c>
      <c r="B159" s="11" t="s">
        <v>1999</v>
      </c>
      <c r="C159" s="11">
        <v>2</v>
      </c>
      <c r="D159" t="s">
        <v>1965</v>
      </c>
      <c r="E159">
        <f>VLOOKUP(CONCATENATE(validProjetado[[#This Row],[Tipo]],validProjetado[[#This Row],[Destino]]),validConcreto!K:O,4)</f>
        <v>17.940000000000001</v>
      </c>
    </row>
    <row r="160" spans="1:5" hidden="1" x14ac:dyDescent="0.25">
      <c r="A160" s="11">
        <v>2</v>
      </c>
      <c r="B160" s="11" t="s">
        <v>1999</v>
      </c>
      <c r="C160" s="11">
        <v>1</v>
      </c>
      <c r="D160" t="s">
        <v>1965</v>
      </c>
      <c r="E160">
        <f>VLOOKUP(CONCATENATE(validProjetado[[#This Row],[Tipo]],validProjetado[[#This Row],[Destino]]),validConcreto!K:O,4)</f>
        <v>13.96</v>
      </c>
    </row>
    <row r="161" spans="1:5" hidden="1" x14ac:dyDescent="0.25">
      <c r="A161" s="11">
        <v>3</v>
      </c>
      <c r="B161" s="11" t="s">
        <v>1999</v>
      </c>
      <c r="C161" s="11">
        <v>2</v>
      </c>
      <c r="D161" t="s">
        <v>1965</v>
      </c>
      <c r="E161">
        <f>VLOOKUP(CONCATENATE(validProjetado[[#This Row],[Tipo]],validProjetado[[#This Row],[Destino]]),validConcreto!K:O,4)</f>
        <v>17.940000000000001</v>
      </c>
    </row>
    <row r="162" spans="1:5" hidden="1" x14ac:dyDescent="0.25">
      <c r="A162" s="11">
        <v>4</v>
      </c>
      <c r="B162" s="11" t="s">
        <v>1999</v>
      </c>
      <c r="C162" s="11">
        <v>1</v>
      </c>
      <c r="D162" t="s">
        <v>1965</v>
      </c>
      <c r="E162">
        <f>VLOOKUP(CONCATENATE(validProjetado[[#This Row],[Tipo]],validProjetado[[#This Row],[Destino]]),validConcreto!K:O,4)</f>
        <v>13.96</v>
      </c>
    </row>
    <row r="163" spans="1:5" hidden="1" x14ac:dyDescent="0.25">
      <c r="A163" s="11">
        <v>5</v>
      </c>
      <c r="B163" s="11" t="s">
        <v>1999</v>
      </c>
      <c r="C163" s="11">
        <v>2</v>
      </c>
      <c r="D163" t="s">
        <v>1965</v>
      </c>
      <c r="E163">
        <f>VLOOKUP(CONCATENATE(validProjetado[[#This Row],[Tipo]],validProjetado[[#This Row],[Destino]]),validConcreto!K:O,4)</f>
        <v>17.940000000000001</v>
      </c>
    </row>
    <row r="164" spans="1:5" hidden="1" x14ac:dyDescent="0.25">
      <c r="A164" s="11">
        <v>6</v>
      </c>
      <c r="B164" s="11" t="s">
        <v>1999</v>
      </c>
      <c r="C164" s="11">
        <v>1</v>
      </c>
      <c r="D164" t="s">
        <v>1965</v>
      </c>
      <c r="E164">
        <f>VLOOKUP(CONCATENATE(validProjetado[[#This Row],[Tipo]],validProjetado[[#This Row],[Destino]]),validConcreto!K:O,4)</f>
        <v>13.96</v>
      </c>
    </row>
    <row r="165" spans="1:5" hidden="1" x14ac:dyDescent="0.25">
      <c r="A165" s="11">
        <v>7</v>
      </c>
      <c r="B165" s="11" t="s">
        <v>1999</v>
      </c>
      <c r="C165" s="11">
        <v>2</v>
      </c>
      <c r="D165" t="s">
        <v>1965</v>
      </c>
      <c r="E165">
        <f>VLOOKUP(CONCATENATE(validProjetado[[#This Row],[Tipo]],validProjetado[[#This Row],[Destino]]),validConcreto!K:O,4)</f>
        <v>17.940000000000001</v>
      </c>
    </row>
    <row r="166" spans="1:5" hidden="1" x14ac:dyDescent="0.25">
      <c r="A166" s="11">
        <v>8</v>
      </c>
      <c r="B166" s="11" t="s">
        <v>1999</v>
      </c>
      <c r="C166" s="11">
        <v>1</v>
      </c>
      <c r="D166" t="s">
        <v>1965</v>
      </c>
      <c r="E166">
        <f>VLOOKUP(CONCATENATE(validProjetado[[#This Row],[Tipo]],validProjetado[[#This Row],[Destino]]),validConcreto!K:O,4)</f>
        <v>13.96</v>
      </c>
    </row>
    <row r="167" spans="1:5" hidden="1" x14ac:dyDescent="0.25">
      <c r="A167" s="11">
        <v>9</v>
      </c>
      <c r="B167" s="11" t="s">
        <v>1999</v>
      </c>
      <c r="C167" s="11">
        <v>2</v>
      </c>
      <c r="D167" t="s">
        <v>1965</v>
      </c>
      <c r="E167">
        <f>VLOOKUP(CONCATENATE(validProjetado[[#This Row],[Tipo]],validProjetado[[#This Row],[Destino]]),validConcreto!K:O,4)</f>
        <v>17.940000000000001</v>
      </c>
    </row>
    <row r="168" spans="1:5" hidden="1" x14ac:dyDescent="0.25">
      <c r="A168" s="11">
        <v>10</v>
      </c>
      <c r="B168" s="11" t="s">
        <v>1999</v>
      </c>
      <c r="C168" s="11">
        <v>1</v>
      </c>
      <c r="D168" t="s">
        <v>1965</v>
      </c>
      <c r="E168">
        <f>VLOOKUP(CONCATENATE(validProjetado[[#This Row],[Tipo]],validProjetado[[#This Row],[Destino]]),validConcreto!K:O,4)</f>
        <v>13.96</v>
      </c>
    </row>
    <row r="169" spans="1:5" hidden="1" x14ac:dyDescent="0.25">
      <c r="A169" s="11">
        <v>11</v>
      </c>
      <c r="B169" s="11" t="s">
        <v>1999</v>
      </c>
      <c r="C169" s="11">
        <v>2</v>
      </c>
      <c r="D169" t="s">
        <v>1965</v>
      </c>
      <c r="E169">
        <f>VLOOKUP(CONCATENATE(validProjetado[[#This Row],[Tipo]],validProjetado[[#This Row],[Destino]]),validConcreto!K:O,4)</f>
        <v>17.940000000000001</v>
      </c>
    </row>
    <row r="170" spans="1:5" hidden="1" x14ac:dyDescent="0.25">
      <c r="A170" s="11">
        <v>12</v>
      </c>
      <c r="B170" s="11" t="s">
        <v>1999</v>
      </c>
      <c r="C170" s="11">
        <v>1</v>
      </c>
      <c r="D170" t="s">
        <v>1965</v>
      </c>
      <c r="E170">
        <f>VLOOKUP(CONCATENATE(validProjetado[[#This Row],[Tipo]],validProjetado[[#This Row],[Destino]]),validConcreto!K:O,4)</f>
        <v>13.96</v>
      </c>
    </row>
    <row r="171" spans="1:5" hidden="1" x14ac:dyDescent="0.25">
      <c r="A171" s="11">
        <v>13</v>
      </c>
      <c r="B171" s="11" t="s">
        <v>1999</v>
      </c>
      <c r="C171" s="11">
        <v>2</v>
      </c>
      <c r="D171" t="s">
        <v>1965</v>
      </c>
      <c r="E171">
        <f>VLOOKUP(CONCATENATE(validProjetado[[#This Row],[Tipo]],validProjetado[[#This Row],[Destino]]),validConcreto!K:O,4)</f>
        <v>17.940000000000001</v>
      </c>
    </row>
    <row r="172" spans="1:5" hidden="1" x14ac:dyDescent="0.25">
      <c r="A172" s="11">
        <v>14</v>
      </c>
      <c r="B172" s="11" t="s">
        <v>1999</v>
      </c>
      <c r="C172" s="11">
        <v>1</v>
      </c>
      <c r="D172" t="s">
        <v>1965</v>
      </c>
      <c r="E172">
        <f>VLOOKUP(CONCATENATE(validProjetado[[#This Row],[Tipo]],validProjetado[[#This Row],[Destino]]),validConcreto!K:O,4)</f>
        <v>13.96</v>
      </c>
    </row>
    <row r="173" spans="1:5" hidden="1" x14ac:dyDescent="0.25">
      <c r="A173" s="11">
        <v>1</v>
      </c>
      <c r="B173" s="11" t="s">
        <v>2002</v>
      </c>
      <c r="C173" s="11">
        <v>2</v>
      </c>
      <c r="D173" t="s">
        <v>1965</v>
      </c>
      <c r="E173">
        <f>VLOOKUP(CONCATENATE(validProjetado[[#This Row],[Tipo]],validProjetado[[#This Row],[Destino]]),validConcreto!K:O,4)</f>
        <v>17.940000000000001</v>
      </c>
    </row>
    <row r="174" spans="1:5" hidden="1" x14ac:dyDescent="0.25">
      <c r="A174" s="11">
        <v>2</v>
      </c>
      <c r="B174" s="11" t="s">
        <v>2002</v>
      </c>
      <c r="C174" s="11">
        <v>2</v>
      </c>
      <c r="D174" t="s">
        <v>1965</v>
      </c>
      <c r="E174">
        <f>VLOOKUP(CONCATENATE(validProjetado[[#This Row],[Tipo]],validProjetado[[#This Row],[Destino]]),validConcreto!K:O,4)</f>
        <v>17.940000000000001</v>
      </c>
    </row>
    <row r="175" spans="1:5" hidden="1" x14ac:dyDescent="0.25">
      <c r="A175" s="11">
        <v>3</v>
      </c>
      <c r="B175" s="11" t="s">
        <v>2002</v>
      </c>
      <c r="C175" s="11">
        <v>2</v>
      </c>
      <c r="D175" t="s">
        <v>1965</v>
      </c>
      <c r="E175">
        <f>VLOOKUP(CONCATENATE(validProjetado[[#This Row],[Tipo]],validProjetado[[#This Row],[Destino]]),validConcreto!K:O,4)</f>
        <v>17.940000000000001</v>
      </c>
    </row>
    <row r="176" spans="1:5" hidden="1" x14ac:dyDescent="0.25">
      <c r="A176" s="11">
        <v>4</v>
      </c>
      <c r="B176" s="11" t="s">
        <v>2002</v>
      </c>
      <c r="C176" s="11">
        <v>2</v>
      </c>
      <c r="D176" t="s">
        <v>1965</v>
      </c>
      <c r="E176">
        <f>VLOOKUP(CONCATENATE(validProjetado[[#This Row],[Tipo]],validProjetado[[#This Row],[Destino]]),validConcreto!K:O,4)</f>
        <v>17.940000000000001</v>
      </c>
    </row>
    <row r="177" spans="1:5" hidden="1" x14ac:dyDescent="0.25">
      <c r="A177" s="11">
        <v>5</v>
      </c>
      <c r="B177" s="11" t="s">
        <v>2002</v>
      </c>
      <c r="C177" s="11">
        <v>2</v>
      </c>
      <c r="D177" t="s">
        <v>1965</v>
      </c>
      <c r="E177">
        <f>VLOOKUP(CONCATENATE(validProjetado[[#This Row],[Tipo]],validProjetado[[#This Row],[Destino]]),validConcreto!K:O,4)</f>
        <v>17.940000000000001</v>
      </c>
    </row>
    <row r="178" spans="1:5" hidden="1" x14ac:dyDescent="0.25">
      <c r="A178" s="11">
        <v>6</v>
      </c>
      <c r="B178" s="11" t="s">
        <v>2002</v>
      </c>
      <c r="C178" s="11">
        <v>1</v>
      </c>
      <c r="D178" t="s">
        <v>1965</v>
      </c>
      <c r="E178">
        <f>VLOOKUP(CONCATENATE(validProjetado[[#This Row],[Tipo]],validProjetado[[#This Row],[Destino]]),validConcreto!K:O,4)</f>
        <v>13.96</v>
      </c>
    </row>
    <row r="179" spans="1:5" hidden="1" x14ac:dyDescent="0.25">
      <c r="A179" s="11">
        <v>7</v>
      </c>
      <c r="B179" s="11" t="s">
        <v>2002</v>
      </c>
      <c r="C179" s="11">
        <v>2</v>
      </c>
      <c r="D179" t="s">
        <v>1965</v>
      </c>
      <c r="E179">
        <f>VLOOKUP(CONCATENATE(validProjetado[[#This Row],[Tipo]],validProjetado[[#This Row],[Destino]]),validConcreto!K:O,4)</f>
        <v>17.940000000000001</v>
      </c>
    </row>
    <row r="180" spans="1:5" hidden="1" x14ac:dyDescent="0.25">
      <c r="A180" s="11">
        <v>8</v>
      </c>
      <c r="B180" s="11" t="s">
        <v>2002</v>
      </c>
      <c r="C180" s="11">
        <v>1</v>
      </c>
      <c r="D180" t="s">
        <v>1965</v>
      </c>
      <c r="E180">
        <f>VLOOKUP(CONCATENATE(validProjetado[[#This Row],[Tipo]],validProjetado[[#This Row],[Destino]]),validConcreto!K:O,4)</f>
        <v>13.96</v>
      </c>
    </row>
    <row r="181" spans="1:5" hidden="1" x14ac:dyDescent="0.25">
      <c r="A181" s="11">
        <v>9</v>
      </c>
      <c r="B181" s="11" t="s">
        <v>2002</v>
      </c>
      <c r="C181" s="11">
        <v>2</v>
      </c>
      <c r="D181" t="s">
        <v>1965</v>
      </c>
      <c r="E181">
        <f>VLOOKUP(CONCATENATE(validProjetado[[#This Row],[Tipo]],validProjetado[[#This Row],[Destino]]),validConcreto!K:O,4)</f>
        <v>17.940000000000001</v>
      </c>
    </row>
    <row r="182" spans="1:5" hidden="1" x14ac:dyDescent="0.25">
      <c r="A182" s="11">
        <v>10</v>
      </c>
      <c r="B182" s="11" t="s">
        <v>2002</v>
      </c>
      <c r="C182" s="11">
        <v>1</v>
      </c>
      <c r="D182" t="s">
        <v>1965</v>
      </c>
      <c r="E182">
        <f>VLOOKUP(CONCATENATE(validProjetado[[#This Row],[Tipo]],validProjetado[[#This Row],[Destino]]),validConcreto!K:O,4)</f>
        <v>13.96</v>
      </c>
    </row>
    <row r="183" spans="1:5" hidden="1" x14ac:dyDescent="0.25">
      <c r="A183" s="11">
        <v>11</v>
      </c>
      <c r="B183" s="11" t="s">
        <v>2002</v>
      </c>
      <c r="C183" s="11">
        <v>2</v>
      </c>
      <c r="D183" t="s">
        <v>1965</v>
      </c>
      <c r="E183">
        <f>VLOOKUP(CONCATENATE(validProjetado[[#This Row],[Tipo]],validProjetado[[#This Row],[Destino]]),validConcreto!K:O,4)</f>
        <v>17.940000000000001</v>
      </c>
    </row>
    <row r="184" spans="1:5" hidden="1" x14ac:dyDescent="0.25">
      <c r="A184" s="11">
        <v>12</v>
      </c>
      <c r="B184" s="11" t="s">
        <v>2002</v>
      </c>
      <c r="C184" s="11">
        <v>2</v>
      </c>
      <c r="D184" t="s">
        <v>1965</v>
      </c>
      <c r="E184">
        <f>VLOOKUP(CONCATENATE(validProjetado[[#This Row],[Tipo]],validProjetado[[#This Row],[Destino]]),validConcreto!K:O,4)</f>
        <v>17.940000000000001</v>
      </c>
    </row>
    <row r="185" spans="1:5" hidden="1" x14ac:dyDescent="0.25">
      <c r="A185" s="11">
        <v>13</v>
      </c>
      <c r="B185" s="11" t="s">
        <v>2002</v>
      </c>
      <c r="C185" s="11">
        <v>2</v>
      </c>
      <c r="D185" t="s">
        <v>1965</v>
      </c>
      <c r="E185">
        <f>VLOOKUP(CONCATENATE(validProjetado[[#This Row],[Tipo]],validProjetado[[#This Row],[Destino]]),validConcreto!K:O,4)</f>
        <v>17.940000000000001</v>
      </c>
    </row>
    <row r="186" spans="1:5" hidden="1" x14ac:dyDescent="0.25">
      <c r="A186" s="11">
        <v>14</v>
      </c>
      <c r="B186" s="11" t="s">
        <v>2002</v>
      </c>
      <c r="C186" s="11">
        <v>2</v>
      </c>
      <c r="D186" t="s">
        <v>1965</v>
      </c>
      <c r="E186">
        <f>VLOOKUP(CONCATENATE(validProjetado[[#This Row],[Tipo]],validProjetado[[#This Row],[Destino]]),validConcreto!K:O,4)</f>
        <v>17.940000000000001</v>
      </c>
    </row>
    <row r="187" spans="1:5" hidden="1" x14ac:dyDescent="0.25">
      <c r="A187" s="11">
        <v>1</v>
      </c>
      <c r="B187" s="11" t="s">
        <v>2005</v>
      </c>
      <c r="C187" s="11">
        <v>2</v>
      </c>
      <c r="D187" t="s">
        <v>1965</v>
      </c>
      <c r="E187">
        <f>VLOOKUP(CONCATENATE(validProjetado[[#This Row],[Tipo]],validProjetado[[#This Row],[Destino]]),validConcreto!K:O,4)</f>
        <v>17.940000000000001</v>
      </c>
    </row>
    <row r="188" spans="1:5" hidden="1" x14ac:dyDescent="0.25">
      <c r="A188" s="11">
        <v>2</v>
      </c>
      <c r="B188" s="11" t="s">
        <v>2005</v>
      </c>
      <c r="C188" s="11">
        <v>2</v>
      </c>
      <c r="D188" t="s">
        <v>1965</v>
      </c>
      <c r="E188">
        <f>VLOOKUP(CONCATENATE(validProjetado[[#This Row],[Tipo]],validProjetado[[#This Row],[Destino]]),validConcreto!K:O,4)</f>
        <v>17.940000000000001</v>
      </c>
    </row>
    <row r="189" spans="1:5" hidden="1" x14ac:dyDescent="0.25">
      <c r="A189" s="11">
        <v>3</v>
      </c>
      <c r="B189" s="11" t="s">
        <v>2005</v>
      </c>
      <c r="C189" s="11">
        <v>2</v>
      </c>
      <c r="D189" t="s">
        <v>1965</v>
      </c>
      <c r="E189">
        <f>VLOOKUP(CONCATENATE(validProjetado[[#This Row],[Tipo]],validProjetado[[#This Row],[Destino]]),validConcreto!K:O,4)</f>
        <v>17.940000000000001</v>
      </c>
    </row>
    <row r="190" spans="1:5" hidden="1" x14ac:dyDescent="0.25">
      <c r="A190" s="11">
        <v>4</v>
      </c>
      <c r="B190" s="11" t="s">
        <v>2005</v>
      </c>
      <c r="C190" s="11">
        <v>1</v>
      </c>
      <c r="D190" t="s">
        <v>1965</v>
      </c>
      <c r="E190">
        <f>VLOOKUP(CONCATENATE(validProjetado[[#This Row],[Tipo]],validProjetado[[#This Row],[Destino]]),validConcreto!K:O,4)</f>
        <v>13.96</v>
      </c>
    </row>
    <row r="191" spans="1:5" hidden="1" x14ac:dyDescent="0.25">
      <c r="A191" s="11">
        <v>5</v>
      </c>
      <c r="B191" s="11" t="s">
        <v>2005</v>
      </c>
      <c r="C191" s="11">
        <v>2</v>
      </c>
      <c r="D191" t="s">
        <v>1965</v>
      </c>
      <c r="E191">
        <f>VLOOKUP(CONCATENATE(validProjetado[[#This Row],[Tipo]],validProjetado[[#This Row],[Destino]]),validConcreto!K:O,4)</f>
        <v>17.940000000000001</v>
      </c>
    </row>
    <row r="192" spans="1:5" hidden="1" x14ac:dyDescent="0.25">
      <c r="A192" s="11">
        <v>6</v>
      </c>
      <c r="B192" s="11" t="s">
        <v>2005</v>
      </c>
      <c r="C192" s="11">
        <v>1</v>
      </c>
      <c r="D192" t="s">
        <v>1965</v>
      </c>
      <c r="E192">
        <f>VLOOKUP(CONCATENATE(validProjetado[[#This Row],[Tipo]],validProjetado[[#This Row],[Destino]]),validConcreto!K:O,4)</f>
        <v>13.96</v>
      </c>
    </row>
    <row r="193" spans="1:5" hidden="1" x14ac:dyDescent="0.25">
      <c r="A193" s="11">
        <v>7</v>
      </c>
      <c r="B193" s="11" t="s">
        <v>2005</v>
      </c>
      <c r="C193" s="11">
        <v>2</v>
      </c>
      <c r="D193" t="s">
        <v>1965</v>
      </c>
      <c r="E193">
        <f>VLOOKUP(CONCATENATE(validProjetado[[#This Row],[Tipo]],validProjetado[[#This Row],[Destino]]),validConcreto!K:O,4)</f>
        <v>17.940000000000001</v>
      </c>
    </row>
    <row r="194" spans="1:5" hidden="1" x14ac:dyDescent="0.25">
      <c r="A194" s="11">
        <v>8</v>
      </c>
      <c r="B194" s="11" t="s">
        <v>2005</v>
      </c>
      <c r="C194" s="11">
        <v>1</v>
      </c>
      <c r="D194" t="s">
        <v>1965</v>
      </c>
      <c r="E194">
        <f>VLOOKUP(CONCATENATE(validProjetado[[#This Row],[Tipo]],validProjetado[[#This Row],[Destino]]),validConcreto!K:O,4)</f>
        <v>13.96</v>
      </c>
    </row>
    <row r="195" spans="1:5" hidden="1" x14ac:dyDescent="0.25">
      <c r="A195" s="11">
        <v>9</v>
      </c>
      <c r="B195" s="11" t="s">
        <v>2005</v>
      </c>
      <c r="C195" s="11">
        <v>2</v>
      </c>
      <c r="D195" t="s">
        <v>1965</v>
      </c>
      <c r="E195">
        <f>VLOOKUP(CONCATENATE(validProjetado[[#This Row],[Tipo]],validProjetado[[#This Row],[Destino]]),validConcreto!K:O,4)</f>
        <v>17.940000000000001</v>
      </c>
    </row>
    <row r="196" spans="1:5" hidden="1" x14ac:dyDescent="0.25">
      <c r="A196" s="11">
        <v>10</v>
      </c>
      <c r="B196" s="11" t="s">
        <v>2005</v>
      </c>
      <c r="C196" s="11">
        <v>1</v>
      </c>
      <c r="D196" t="s">
        <v>1965</v>
      </c>
      <c r="E196">
        <f>VLOOKUP(CONCATENATE(validProjetado[[#This Row],[Tipo]],validProjetado[[#This Row],[Destino]]),validConcreto!K:O,4)</f>
        <v>13.96</v>
      </c>
    </row>
    <row r="197" spans="1:5" hidden="1" x14ac:dyDescent="0.25">
      <c r="A197" s="11">
        <v>11</v>
      </c>
      <c r="B197" s="11" t="s">
        <v>2005</v>
      </c>
      <c r="C197" s="11">
        <v>2</v>
      </c>
      <c r="D197" t="s">
        <v>1965</v>
      </c>
      <c r="E197">
        <f>VLOOKUP(CONCATENATE(validProjetado[[#This Row],[Tipo]],validProjetado[[#This Row],[Destino]]),validConcreto!K:O,4)</f>
        <v>17.940000000000001</v>
      </c>
    </row>
    <row r="198" spans="1:5" hidden="1" x14ac:dyDescent="0.25">
      <c r="A198" s="11">
        <v>12</v>
      </c>
      <c r="B198" s="11" t="s">
        <v>2005</v>
      </c>
      <c r="C198" s="11">
        <v>1</v>
      </c>
      <c r="D198" t="s">
        <v>1965</v>
      </c>
      <c r="E198">
        <f>VLOOKUP(CONCATENATE(validProjetado[[#This Row],[Tipo]],validProjetado[[#This Row],[Destino]]),validConcreto!K:O,4)</f>
        <v>13.96</v>
      </c>
    </row>
    <row r="199" spans="1:5" hidden="1" x14ac:dyDescent="0.25">
      <c r="A199" s="11">
        <v>13</v>
      </c>
      <c r="B199" s="11" t="s">
        <v>2005</v>
      </c>
      <c r="C199" s="11">
        <v>2</v>
      </c>
      <c r="D199" t="s">
        <v>1965</v>
      </c>
      <c r="E199">
        <f>VLOOKUP(CONCATENATE(validProjetado[[#This Row],[Tipo]],validProjetado[[#This Row],[Destino]]),validConcreto!K:O,4)</f>
        <v>17.940000000000001</v>
      </c>
    </row>
    <row r="200" spans="1:5" hidden="1" x14ac:dyDescent="0.25">
      <c r="A200" s="11">
        <v>14</v>
      </c>
      <c r="B200" s="11" t="s">
        <v>2005</v>
      </c>
      <c r="C200" s="11">
        <v>1</v>
      </c>
      <c r="D200" t="s">
        <v>1965</v>
      </c>
      <c r="E200">
        <f>VLOOKUP(CONCATENATE(validProjetado[[#This Row],[Tipo]],validProjetado[[#This Row],[Destino]]),validConcreto!K:O,4)</f>
        <v>13.96</v>
      </c>
    </row>
    <row r="201" spans="1:5" hidden="1" x14ac:dyDescent="0.25">
      <c r="A201" s="11">
        <v>15</v>
      </c>
      <c r="B201" s="11" t="s">
        <v>2005</v>
      </c>
      <c r="C201" s="11">
        <v>2</v>
      </c>
      <c r="D201" t="s">
        <v>1965</v>
      </c>
      <c r="E201">
        <f>VLOOKUP(CONCATENATE(validProjetado[[#This Row],[Tipo]],validProjetado[[#This Row],[Destino]]),validConcreto!K:O,4)</f>
        <v>17.940000000000001</v>
      </c>
    </row>
    <row r="202" spans="1:5" hidden="1" x14ac:dyDescent="0.25">
      <c r="A202" s="11">
        <v>16</v>
      </c>
      <c r="B202" s="11" t="s">
        <v>2005</v>
      </c>
      <c r="C202" s="11">
        <v>1</v>
      </c>
      <c r="D202" t="s">
        <v>1965</v>
      </c>
      <c r="E202">
        <f>VLOOKUP(CONCATENATE(validProjetado[[#This Row],[Tipo]],validProjetado[[#This Row],[Destino]]),validConcreto!K:O,4)</f>
        <v>13.96</v>
      </c>
    </row>
    <row r="203" spans="1:5" hidden="1" x14ac:dyDescent="0.25">
      <c r="A203" s="11">
        <v>17</v>
      </c>
      <c r="B203" s="11" t="s">
        <v>2005</v>
      </c>
      <c r="C203" s="11">
        <v>2</v>
      </c>
      <c r="D203" t="s">
        <v>1965</v>
      </c>
      <c r="E203">
        <f>VLOOKUP(CONCATENATE(validProjetado[[#This Row],[Tipo]],validProjetado[[#This Row],[Destino]]),validConcreto!K:O,4)</f>
        <v>17.940000000000001</v>
      </c>
    </row>
    <row r="204" spans="1:5" hidden="1" x14ac:dyDescent="0.25">
      <c r="A204" s="11">
        <v>18</v>
      </c>
      <c r="B204" s="11" t="s">
        <v>2005</v>
      </c>
      <c r="C204" s="11">
        <v>1</v>
      </c>
      <c r="D204" t="s">
        <v>1965</v>
      </c>
      <c r="E204">
        <f>VLOOKUP(CONCATENATE(validProjetado[[#This Row],[Tipo]],validProjetado[[#This Row],[Destino]]),validConcreto!K:O,4)</f>
        <v>13.96</v>
      </c>
    </row>
    <row r="205" spans="1:5" hidden="1" x14ac:dyDescent="0.25">
      <c r="A205" s="11">
        <v>19</v>
      </c>
      <c r="B205" s="11" t="s">
        <v>2005</v>
      </c>
      <c r="C205" s="11">
        <v>2</v>
      </c>
      <c r="D205" t="s">
        <v>1965</v>
      </c>
      <c r="E205">
        <f>VLOOKUP(CONCATENATE(validProjetado[[#This Row],[Tipo]],validProjetado[[#This Row],[Destino]]),validConcreto!K:O,4)</f>
        <v>17.940000000000001</v>
      </c>
    </row>
    <row r="206" spans="1:5" hidden="1" x14ac:dyDescent="0.25">
      <c r="A206" s="11">
        <v>20</v>
      </c>
      <c r="B206" s="11" t="s">
        <v>2005</v>
      </c>
      <c r="C206" s="11">
        <v>1</v>
      </c>
      <c r="D206" t="s">
        <v>1965</v>
      </c>
      <c r="E206">
        <f>VLOOKUP(CONCATENATE(validProjetado[[#This Row],[Tipo]],validProjetado[[#This Row],[Destino]]),validConcreto!K:O,4)</f>
        <v>13.96</v>
      </c>
    </row>
    <row r="207" spans="1:5" hidden="1" x14ac:dyDescent="0.25">
      <c r="A207" s="11">
        <v>21</v>
      </c>
      <c r="B207" s="11" t="s">
        <v>2005</v>
      </c>
      <c r="C207" s="11">
        <v>2</v>
      </c>
      <c r="D207" t="s">
        <v>1965</v>
      </c>
      <c r="E207">
        <f>VLOOKUP(CONCATENATE(validProjetado[[#This Row],[Tipo]],validProjetado[[#This Row],[Destino]]),validConcreto!K:O,4)</f>
        <v>17.940000000000001</v>
      </c>
    </row>
    <row r="208" spans="1:5" hidden="1" x14ac:dyDescent="0.25">
      <c r="A208" s="11">
        <v>22</v>
      </c>
      <c r="B208" s="11" t="s">
        <v>2005</v>
      </c>
      <c r="C208" s="11">
        <v>1</v>
      </c>
      <c r="D208" t="s">
        <v>1965</v>
      </c>
      <c r="E208">
        <f>VLOOKUP(CONCATENATE(validProjetado[[#This Row],[Tipo]],validProjetado[[#This Row],[Destino]]),validConcreto!K:O,4)</f>
        <v>13.96</v>
      </c>
    </row>
    <row r="209" spans="1:5" hidden="1" x14ac:dyDescent="0.25">
      <c r="A209" s="11">
        <v>23</v>
      </c>
      <c r="B209" s="11" t="s">
        <v>2005</v>
      </c>
      <c r="C209" s="11">
        <v>2</v>
      </c>
      <c r="D209" t="s">
        <v>1965</v>
      </c>
      <c r="E209">
        <f>VLOOKUP(CONCATENATE(validProjetado[[#This Row],[Tipo]],validProjetado[[#This Row],[Destino]]),validConcreto!K:O,4)</f>
        <v>17.940000000000001</v>
      </c>
    </row>
    <row r="210" spans="1:5" hidden="1" x14ac:dyDescent="0.25">
      <c r="A210" s="11">
        <v>24</v>
      </c>
      <c r="B210" s="11" t="s">
        <v>2005</v>
      </c>
      <c r="C210" s="11">
        <v>1</v>
      </c>
      <c r="D210" t="s">
        <v>1965</v>
      </c>
      <c r="E210">
        <f>VLOOKUP(CONCATENATE(validProjetado[[#This Row],[Tipo]],validProjetado[[#This Row],[Destino]]),validConcreto!K:O,4)</f>
        <v>13.96</v>
      </c>
    </row>
    <row r="211" spans="1:5" hidden="1" x14ac:dyDescent="0.25">
      <c r="A211" s="11">
        <v>25</v>
      </c>
      <c r="B211" s="11" t="s">
        <v>2005</v>
      </c>
      <c r="C211" s="11">
        <v>2</v>
      </c>
      <c r="D211" t="s">
        <v>1965</v>
      </c>
      <c r="E211">
        <f>VLOOKUP(CONCATENATE(validProjetado[[#This Row],[Tipo]],validProjetado[[#This Row],[Destino]]),validConcreto!K:O,4)</f>
        <v>17.940000000000001</v>
      </c>
    </row>
    <row r="212" spans="1:5" hidden="1" x14ac:dyDescent="0.25">
      <c r="A212" s="11">
        <v>26</v>
      </c>
      <c r="B212" s="11" t="s">
        <v>2005</v>
      </c>
      <c r="C212" s="11">
        <v>1</v>
      </c>
      <c r="D212" t="s">
        <v>1965</v>
      </c>
      <c r="E212">
        <f>VLOOKUP(CONCATENATE(validProjetado[[#This Row],[Tipo]],validProjetado[[#This Row],[Destino]]),validConcreto!K:O,4)</f>
        <v>13.96</v>
      </c>
    </row>
    <row r="213" spans="1:5" hidden="1" x14ac:dyDescent="0.25">
      <c r="A213" s="11">
        <v>27</v>
      </c>
      <c r="B213" s="11" t="s">
        <v>2005</v>
      </c>
      <c r="C213" s="11">
        <v>2</v>
      </c>
      <c r="D213" t="s">
        <v>1965</v>
      </c>
      <c r="E213">
        <f>VLOOKUP(CONCATENATE(validProjetado[[#This Row],[Tipo]],validProjetado[[#This Row],[Destino]]),validConcreto!K:O,4)</f>
        <v>17.940000000000001</v>
      </c>
    </row>
    <row r="214" spans="1:5" hidden="1" x14ac:dyDescent="0.25">
      <c r="A214" s="11">
        <v>28</v>
      </c>
      <c r="B214" s="11" t="s">
        <v>2005</v>
      </c>
      <c r="C214" s="11">
        <v>1</v>
      </c>
      <c r="D214" t="s">
        <v>1965</v>
      </c>
      <c r="E214">
        <f>VLOOKUP(CONCATENATE(validProjetado[[#This Row],[Tipo]],validProjetado[[#This Row],[Destino]]),validConcreto!K:O,4)</f>
        <v>13.96</v>
      </c>
    </row>
    <row r="215" spans="1:5" hidden="1" x14ac:dyDescent="0.25">
      <c r="A215" s="11">
        <v>29</v>
      </c>
      <c r="B215" s="11" t="s">
        <v>2005</v>
      </c>
      <c r="C215" s="11">
        <v>2</v>
      </c>
      <c r="D215" t="s">
        <v>1965</v>
      </c>
      <c r="E215">
        <f>VLOOKUP(CONCATENATE(validProjetado[[#This Row],[Tipo]],validProjetado[[#This Row],[Destino]]),validConcreto!K:O,4)</f>
        <v>17.940000000000001</v>
      </c>
    </row>
    <row r="216" spans="1:5" hidden="1" x14ac:dyDescent="0.25">
      <c r="A216" s="11">
        <v>30</v>
      </c>
      <c r="B216" s="11" t="s">
        <v>2005</v>
      </c>
      <c r="C216" s="11">
        <v>1</v>
      </c>
      <c r="D216" t="s">
        <v>1965</v>
      </c>
      <c r="E216">
        <f>VLOOKUP(CONCATENATE(validProjetado[[#This Row],[Tipo]],validProjetado[[#This Row],[Destino]]),validConcreto!K:O,4)</f>
        <v>13.96</v>
      </c>
    </row>
    <row r="217" spans="1:5" hidden="1" x14ac:dyDescent="0.25">
      <c r="A217" s="11">
        <v>31</v>
      </c>
      <c r="B217" s="11" t="s">
        <v>2005</v>
      </c>
      <c r="C217" s="11">
        <v>1</v>
      </c>
      <c r="D217" t="s">
        <v>1965</v>
      </c>
      <c r="E217">
        <f>VLOOKUP(CONCATENATE(validProjetado[[#This Row],[Tipo]],validProjetado[[#This Row],[Destino]]),validConcreto!K:O,4)</f>
        <v>13.96</v>
      </c>
    </row>
    <row r="218" spans="1:5" hidden="1" x14ac:dyDescent="0.25">
      <c r="A218" s="11">
        <v>32</v>
      </c>
      <c r="B218" s="11" t="s">
        <v>2005</v>
      </c>
      <c r="C218" s="11">
        <v>1</v>
      </c>
      <c r="D218" t="s">
        <v>1965</v>
      </c>
      <c r="E218">
        <f>VLOOKUP(CONCATENATE(validProjetado[[#This Row],[Tipo]],validProjetado[[#This Row],[Destino]]),validConcreto!K:O,4)</f>
        <v>13.96</v>
      </c>
    </row>
    <row r="219" spans="1:5" hidden="1" x14ac:dyDescent="0.25">
      <c r="A219" s="11">
        <v>33</v>
      </c>
      <c r="B219" s="11" t="s">
        <v>2005</v>
      </c>
      <c r="C219" s="11">
        <v>1</v>
      </c>
      <c r="D219" t="s">
        <v>1965</v>
      </c>
      <c r="E219">
        <f>VLOOKUP(CONCATENATE(validProjetado[[#This Row],[Tipo]],validProjetado[[#This Row],[Destino]]),validConcreto!K:O,4)</f>
        <v>13.96</v>
      </c>
    </row>
    <row r="220" spans="1:5" hidden="1" x14ac:dyDescent="0.25">
      <c r="A220" s="11">
        <v>34</v>
      </c>
      <c r="B220" s="11" t="s">
        <v>2005</v>
      </c>
      <c r="C220" s="11">
        <v>1</v>
      </c>
      <c r="D220" t="s">
        <v>1965</v>
      </c>
      <c r="E220">
        <f>VLOOKUP(CONCATENATE(validProjetado[[#This Row],[Tipo]],validProjetado[[#This Row],[Destino]]),validConcreto!K:O,4)</f>
        <v>13.96</v>
      </c>
    </row>
    <row r="221" spans="1:5" hidden="1" x14ac:dyDescent="0.25">
      <c r="A221" s="11">
        <v>35</v>
      </c>
      <c r="B221" s="11" t="s">
        <v>2005</v>
      </c>
      <c r="C221" s="11">
        <v>1</v>
      </c>
      <c r="D221" t="s">
        <v>1965</v>
      </c>
      <c r="E221">
        <f>VLOOKUP(CONCATENATE(validProjetado[[#This Row],[Tipo]],validProjetado[[#This Row],[Destino]]),validConcreto!K:O,4)</f>
        <v>13.96</v>
      </c>
    </row>
    <row r="222" spans="1:5" hidden="1" x14ac:dyDescent="0.25">
      <c r="A222" s="11">
        <v>36</v>
      </c>
      <c r="B222" s="11" t="s">
        <v>2005</v>
      </c>
      <c r="C222" s="11">
        <v>1</v>
      </c>
      <c r="D222" t="s">
        <v>1965</v>
      </c>
      <c r="E222">
        <f>VLOOKUP(CONCATENATE(validProjetado[[#This Row],[Tipo]],validProjetado[[#This Row],[Destino]]),validConcreto!K:O,4)</f>
        <v>13.96</v>
      </c>
    </row>
    <row r="223" spans="1:5" hidden="1" x14ac:dyDescent="0.25">
      <c r="A223" s="11">
        <v>1</v>
      </c>
      <c r="B223" s="11" t="s">
        <v>2007</v>
      </c>
      <c r="C223" s="11">
        <v>2</v>
      </c>
      <c r="D223" t="s">
        <v>1965</v>
      </c>
      <c r="E223">
        <f>VLOOKUP(CONCATENATE(validProjetado[[#This Row],[Tipo]],validProjetado[[#This Row],[Destino]]),validConcreto!K:O,4)</f>
        <v>17.940000000000001</v>
      </c>
    </row>
    <row r="224" spans="1:5" hidden="1" x14ac:dyDescent="0.25">
      <c r="A224" s="11">
        <v>2</v>
      </c>
      <c r="B224" s="11" t="s">
        <v>2007</v>
      </c>
      <c r="C224" s="11">
        <v>2</v>
      </c>
      <c r="D224" t="s">
        <v>1965</v>
      </c>
      <c r="E224">
        <f>VLOOKUP(CONCATENATE(validProjetado[[#This Row],[Tipo]],validProjetado[[#This Row],[Destino]]),validConcreto!K:O,4)</f>
        <v>17.940000000000001</v>
      </c>
    </row>
    <row r="225" spans="1:5" hidden="1" x14ac:dyDescent="0.25">
      <c r="A225" s="11">
        <v>3</v>
      </c>
      <c r="B225" s="11" t="s">
        <v>2007</v>
      </c>
      <c r="C225" s="11">
        <v>2</v>
      </c>
      <c r="D225" t="s">
        <v>1965</v>
      </c>
      <c r="E225">
        <f>VLOOKUP(CONCATENATE(validProjetado[[#This Row],[Tipo]],validProjetado[[#This Row],[Destino]]),validConcreto!K:O,4)</f>
        <v>17.940000000000001</v>
      </c>
    </row>
    <row r="226" spans="1:5" hidden="1" x14ac:dyDescent="0.25">
      <c r="A226" s="11">
        <v>4</v>
      </c>
      <c r="B226" s="11" t="s">
        <v>2007</v>
      </c>
      <c r="C226" s="11">
        <v>2</v>
      </c>
      <c r="D226" t="s">
        <v>1965</v>
      </c>
      <c r="E226">
        <f>VLOOKUP(CONCATENATE(validProjetado[[#This Row],[Tipo]],validProjetado[[#This Row],[Destino]]),validConcreto!K:O,4)</f>
        <v>17.940000000000001</v>
      </c>
    </row>
    <row r="227" spans="1:5" hidden="1" x14ac:dyDescent="0.25">
      <c r="A227" s="11">
        <v>5</v>
      </c>
      <c r="B227" s="11" t="s">
        <v>2007</v>
      </c>
      <c r="C227" s="11">
        <v>2</v>
      </c>
      <c r="D227" t="s">
        <v>1965</v>
      </c>
      <c r="E227">
        <f>VLOOKUP(CONCATENATE(validProjetado[[#This Row],[Tipo]],validProjetado[[#This Row],[Destino]]),validConcreto!K:O,4)</f>
        <v>17.940000000000001</v>
      </c>
    </row>
    <row r="228" spans="1:5" hidden="1" x14ac:dyDescent="0.25">
      <c r="A228" s="11">
        <v>6</v>
      </c>
      <c r="B228" s="11" t="s">
        <v>2007</v>
      </c>
      <c r="C228" s="11">
        <v>2</v>
      </c>
      <c r="D228" t="s">
        <v>1965</v>
      </c>
      <c r="E228">
        <f>VLOOKUP(CONCATENATE(validProjetado[[#This Row],[Tipo]],validProjetado[[#This Row],[Destino]]),validConcreto!K:O,4)</f>
        <v>17.940000000000001</v>
      </c>
    </row>
    <row r="229" spans="1:5" hidden="1" x14ac:dyDescent="0.25">
      <c r="A229" s="11">
        <v>7</v>
      </c>
      <c r="B229" s="11" t="s">
        <v>2007</v>
      </c>
      <c r="C229" s="11">
        <v>2</v>
      </c>
      <c r="D229" t="s">
        <v>1965</v>
      </c>
      <c r="E229">
        <f>VLOOKUP(CONCATENATE(validProjetado[[#This Row],[Tipo]],validProjetado[[#This Row],[Destino]]),validConcreto!K:O,4)</f>
        <v>17.940000000000001</v>
      </c>
    </row>
    <row r="230" spans="1:5" hidden="1" x14ac:dyDescent="0.25">
      <c r="A230" s="11">
        <v>8</v>
      </c>
      <c r="B230" s="11" t="s">
        <v>2007</v>
      </c>
      <c r="C230" s="11">
        <v>2</v>
      </c>
      <c r="D230" t="s">
        <v>1965</v>
      </c>
      <c r="E230">
        <f>VLOOKUP(CONCATENATE(validProjetado[[#This Row],[Tipo]],validProjetado[[#This Row],[Destino]]),validConcreto!K:O,4)</f>
        <v>17.940000000000001</v>
      </c>
    </row>
    <row r="231" spans="1:5" hidden="1" x14ac:dyDescent="0.25">
      <c r="A231" s="11">
        <v>9</v>
      </c>
      <c r="B231" s="11" t="s">
        <v>2007</v>
      </c>
      <c r="C231" s="11">
        <v>2</v>
      </c>
      <c r="D231" t="s">
        <v>1965</v>
      </c>
      <c r="E231">
        <f>VLOOKUP(CONCATENATE(validProjetado[[#This Row],[Tipo]],validProjetado[[#This Row],[Destino]]),validConcreto!K:O,4)</f>
        <v>17.940000000000001</v>
      </c>
    </row>
    <row r="232" spans="1:5" hidden="1" x14ac:dyDescent="0.25">
      <c r="A232" s="11">
        <v>10</v>
      </c>
      <c r="B232" s="11" t="s">
        <v>2007</v>
      </c>
      <c r="C232" s="11">
        <v>1</v>
      </c>
      <c r="D232" t="s">
        <v>1965</v>
      </c>
      <c r="E232">
        <f>VLOOKUP(CONCATENATE(validProjetado[[#This Row],[Tipo]],validProjetado[[#This Row],[Destino]]),validConcreto!K:O,4)</f>
        <v>13.96</v>
      </c>
    </row>
    <row r="233" spans="1:5" hidden="1" x14ac:dyDescent="0.25">
      <c r="A233" s="11">
        <v>11</v>
      </c>
      <c r="B233" s="11" t="s">
        <v>2007</v>
      </c>
      <c r="C233" s="11">
        <v>2</v>
      </c>
      <c r="D233" t="s">
        <v>1965</v>
      </c>
      <c r="E233">
        <f>VLOOKUP(CONCATENATE(validProjetado[[#This Row],[Tipo]],validProjetado[[#This Row],[Destino]]),validConcreto!K:O,4)</f>
        <v>17.940000000000001</v>
      </c>
    </row>
    <row r="234" spans="1:5" hidden="1" x14ac:dyDescent="0.25">
      <c r="A234" s="11">
        <v>12</v>
      </c>
      <c r="B234" s="11" t="s">
        <v>2007</v>
      </c>
      <c r="C234" s="11">
        <v>1</v>
      </c>
      <c r="D234" t="s">
        <v>1965</v>
      </c>
      <c r="E234">
        <f>VLOOKUP(CONCATENATE(validProjetado[[#This Row],[Tipo]],validProjetado[[#This Row],[Destino]]),validConcreto!K:O,4)</f>
        <v>13.96</v>
      </c>
    </row>
    <row r="235" spans="1:5" hidden="1" x14ac:dyDescent="0.25">
      <c r="A235" s="11">
        <v>13</v>
      </c>
      <c r="B235" s="11" t="s">
        <v>2007</v>
      </c>
      <c r="C235" s="11">
        <v>2</v>
      </c>
      <c r="D235" t="s">
        <v>1965</v>
      </c>
      <c r="E235">
        <f>VLOOKUP(CONCATENATE(validProjetado[[#This Row],[Tipo]],validProjetado[[#This Row],[Destino]]),validConcreto!K:O,4)</f>
        <v>17.940000000000001</v>
      </c>
    </row>
    <row r="236" spans="1:5" hidden="1" x14ac:dyDescent="0.25">
      <c r="A236" s="11">
        <v>14</v>
      </c>
      <c r="B236" s="11" t="s">
        <v>2007</v>
      </c>
      <c r="C236" s="11">
        <v>1</v>
      </c>
      <c r="D236" t="s">
        <v>1965</v>
      </c>
      <c r="E236">
        <f>VLOOKUP(CONCATENATE(validProjetado[[#This Row],[Tipo]],validProjetado[[#This Row],[Destino]]),validConcreto!K:O,4)</f>
        <v>13.96</v>
      </c>
    </row>
    <row r="237" spans="1:5" hidden="1" x14ac:dyDescent="0.25">
      <c r="A237" s="11">
        <v>15</v>
      </c>
      <c r="B237" s="11" t="s">
        <v>2007</v>
      </c>
      <c r="C237" s="11">
        <v>2</v>
      </c>
      <c r="D237" t="s">
        <v>1965</v>
      </c>
      <c r="E237">
        <f>VLOOKUP(CONCATENATE(validProjetado[[#This Row],[Tipo]],validProjetado[[#This Row],[Destino]]),validConcreto!K:O,4)</f>
        <v>17.940000000000001</v>
      </c>
    </row>
    <row r="238" spans="1:5" hidden="1" x14ac:dyDescent="0.25">
      <c r="A238" s="11">
        <v>16</v>
      </c>
      <c r="B238" s="11" t="s">
        <v>2007</v>
      </c>
      <c r="C238" s="11">
        <v>1</v>
      </c>
      <c r="D238" t="s">
        <v>1965</v>
      </c>
      <c r="E238">
        <f>VLOOKUP(CONCATENATE(validProjetado[[#This Row],[Tipo]],validProjetado[[#This Row],[Destino]]),validConcreto!K:O,4)</f>
        <v>13.96</v>
      </c>
    </row>
    <row r="239" spans="1:5" hidden="1" x14ac:dyDescent="0.25">
      <c r="A239" s="11">
        <v>17</v>
      </c>
      <c r="B239" s="11" t="s">
        <v>2007</v>
      </c>
      <c r="C239" s="11">
        <v>2</v>
      </c>
      <c r="D239" t="s">
        <v>1965</v>
      </c>
      <c r="E239">
        <f>VLOOKUP(CONCATENATE(validProjetado[[#This Row],[Tipo]],validProjetado[[#This Row],[Destino]]),validConcreto!K:O,4)</f>
        <v>17.940000000000001</v>
      </c>
    </row>
    <row r="240" spans="1:5" hidden="1" x14ac:dyDescent="0.25">
      <c r="A240" s="11">
        <v>18</v>
      </c>
      <c r="B240" s="11" t="s">
        <v>2007</v>
      </c>
      <c r="C240" s="11">
        <v>1</v>
      </c>
      <c r="D240" t="s">
        <v>1965</v>
      </c>
      <c r="E240">
        <f>VLOOKUP(CONCATENATE(validProjetado[[#This Row],[Tipo]],validProjetado[[#This Row],[Destino]]),validConcreto!K:O,4)</f>
        <v>13.96</v>
      </c>
    </row>
    <row r="241" spans="1:5" hidden="1" x14ac:dyDescent="0.25">
      <c r="A241" s="11">
        <v>19</v>
      </c>
      <c r="B241" s="11" t="s">
        <v>2007</v>
      </c>
      <c r="C241" s="11">
        <v>2</v>
      </c>
      <c r="D241" t="s">
        <v>1965</v>
      </c>
      <c r="E241">
        <f>VLOOKUP(CONCATENATE(validProjetado[[#This Row],[Tipo]],validProjetado[[#This Row],[Destino]]),validConcreto!K:O,4)</f>
        <v>17.940000000000001</v>
      </c>
    </row>
    <row r="242" spans="1:5" hidden="1" x14ac:dyDescent="0.25">
      <c r="A242" s="11">
        <v>20</v>
      </c>
      <c r="B242" s="11" t="s">
        <v>2007</v>
      </c>
      <c r="C242" s="11">
        <v>1</v>
      </c>
      <c r="D242" t="s">
        <v>1965</v>
      </c>
      <c r="E242">
        <f>VLOOKUP(CONCATENATE(validProjetado[[#This Row],[Tipo]],validProjetado[[#This Row],[Destino]]),validConcreto!K:O,4)</f>
        <v>13.96</v>
      </c>
    </row>
    <row r="243" spans="1:5" hidden="1" x14ac:dyDescent="0.25">
      <c r="A243" s="11">
        <v>21</v>
      </c>
      <c r="B243" s="11" t="s">
        <v>2007</v>
      </c>
      <c r="C243" s="11">
        <v>1</v>
      </c>
      <c r="D243" t="s">
        <v>1965</v>
      </c>
      <c r="E243">
        <f>VLOOKUP(CONCATENATE(validProjetado[[#This Row],[Tipo]],validProjetado[[#This Row],[Destino]]),validConcreto!K:O,4)</f>
        <v>13.96</v>
      </c>
    </row>
    <row r="244" spans="1:5" hidden="1" x14ac:dyDescent="0.25">
      <c r="A244" s="11">
        <v>22</v>
      </c>
      <c r="B244" s="11" t="s">
        <v>2007</v>
      </c>
      <c r="C244" s="11">
        <v>1</v>
      </c>
      <c r="D244" t="s">
        <v>1965</v>
      </c>
      <c r="E244">
        <f>VLOOKUP(CONCATENATE(validProjetado[[#This Row],[Tipo]],validProjetado[[#This Row],[Destino]]),validConcreto!K:O,4)</f>
        <v>13.96</v>
      </c>
    </row>
    <row r="245" spans="1:5" hidden="1" x14ac:dyDescent="0.25">
      <c r="A245" s="11">
        <v>23</v>
      </c>
      <c r="B245" s="11" t="s">
        <v>2007</v>
      </c>
      <c r="C245" s="11">
        <v>1</v>
      </c>
      <c r="D245" t="s">
        <v>1965</v>
      </c>
      <c r="E245">
        <f>VLOOKUP(CONCATENATE(validProjetado[[#This Row],[Tipo]],validProjetado[[#This Row],[Destino]]),validConcreto!K:O,4)</f>
        <v>13.96</v>
      </c>
    </row>
    <row r="246" spans="1:5" hidden="1" x14ac:dyDescent="0.25">
      <c r="A246" s="11">
        <v>24</v>
      </c>
      <c r="B246" s="11" t="s">
        <v>2007</v>
      </c>
      <c r="C246" s="11">
        <v>1</v>
      </c>
      <c r="D246" t="s">
        <v>1965</v>
      </c>
      <c r="E246">
        <f>VLOOKUP(CONCATENATE(validProjetado[[#This Row],[Tipo]],validProjetado[[#This Row],[Destino]]),validConcreto!K:O,4)</f>
        <v>13.96</v>
      </c>
    </row>
    <row r="247" spans="1:5" hidden="1" x14ac:dyDescent="0.25">
      <c r="A247" s="11">
        <v>25</v>
      </c>
      <c r="B247" s="11" t="s">
        <v>2007</v>
      </c>
      <c r="C247" s="11">
        <v>1</v>
      </c>
      <c r="D247" t="s">
        <v>1965</v>
      </c>
      <c r="E247">
        <f>VLOOKUP(CONCATENATE(validProjetado[[#This Row],[Tipo]],validProjetado[[#This Row],[Destino]]),validConcreto!K:O,4)</f>
        <v>13.96</v>
      </c>
    </row>
    <row r="248" spans="1:5" hidden="1" x14ac:dyDescent="0.25">
      <c r="A248" s="11">
        <v>26</v>
      </c>
      <c r="B248" s="11" t="s">
        <v>2007</v>
      </c>
      <c r="C248" s="11">
        <v>1</v>
      </c>
      <c r="D248" t="s">
        <v>1965</v>
      </c>
      <c r="E248">
        <f>VLOOKUP(CONCATENATE(validProjetado[[#This Row],[Tipo]],validProjetado[[#This Row],[Destino]]),validConcreto!K:O,4)</f>
        <v>13.96</v>
      </c>
    </row>
    <row r="249" spans="1:5" hidden="1" x14ac:dyDescent="0.25">
      <c r="A249" s="11">
        <v>27</v>
      </c>
      <c r="B249" s="11" t="s">
        <v>2007</v>
      </c>
      <c r="C249" s="11">
        <v>1</v>
      </c>
      <c r="D249" t="s">
        <v>1965</v>
      </c>
      <c r="E249">
        <f>VLOOKUP(CONCATENATE(validProjetado[[#This Row],[Tipo]],validProjetado[[#This Row],[Destino]]),validConcreto!K:O,4)</f>
        <v>13.96</v>
      </c>
    </row>
    <row r="250" spans="1:5" hidden="1" x14ac:dyDescent="0.25">
      <c r="A250" s="11">
        <v>1</v>
      </c>
      <c r="B250" s="11" t="s">
        <v>2010</v>
      </c>
      <c r="C250" s="11">
        <v>2</v>
      </c>
      <c r="D250" t="s">
        <v>1965</v>
      </c>
      <c r="E250">
        <f>VLOOKUP(CONCATENATE(validProjetado[[#This Row],[Tipo]],validProjetado[[#This Row],[Destino]]),validConcreto!K:O,4)</f>
        <v>17.940000000000001</v>
      </c>
    </row>
    <row r="251" spans="1:5" hidden="1" x14ac:dyDescent="0.25">
      <c r="A251" s="11">
        <v>2</v>
      </c>
      <c r="B251" s="11" t="s">
        <v>2010</v>
      </c>
      <c r="C251" s="11">
        <v>2</v>
      </c>
      <c r="D251" t="s">
        <v>1965</v>
      </c>
      <c r="E251">
        <f>VLOOKUP(CONCATENATE(validProjetado[[#This Row],[Tipo]],validProjetado[[#This Row],[Destino]]),validConcreto!K:O,4)</f>
        <v>17.940000000000001</v>
      </c>
    </row>
    <row r="252" spans="1:5" hidden="1" x14ac:dyDescent="0.25">
      <c r="A252" s="11">
        <v>3</v>
      </c>
      <c r="B252" s="11" t="s">
        <v>2010</v>
      </c>
      <c r="C252" s="11">
        <v>2</v>
      </c>
      <c r="D252" t="s">
        <v>1965</v>
      </c>
      <c r="E252">
        <f>VLOOKUP(CONCATENATE(validProjetado[[#This Row],[Tipo]],validProjetado[[#This Row],[Destino]]),validConcreto!K:O,4)</f>
        <v>17.940000000000001</v>
      </c>
    </row>
    <row r="253" spans="1:5" hidden="1" x14ac:dyDescent="0.25">
      <c r="A253" s="11">
        <v>4</v>
      </c>
      <c r="B253" s="11" t="s">
        <v>2010</v>
      </c>
      <c r="C253" s="11">
        <v>1</v>
      </c>
      <c r="D253" t="s">
        <v>1965</v>
      </c>
      <c r="E253">
        <f>VLOOKUP(CONCATENATE(validProjetado[[#This Row],[Tipo]],validProjetado[[#This Row],[Destino]]),validConcreto!K:O,4)</f>
        <v>13.96</v>
      </c>
    </row>
    <row r="254" spans="1:5" hidden="1" x14ac:dyDescent="0.25">
      <c r="A254" s="11">
        <v>5</v>
      </c>
      <c r="B254" s="11" t="s">
        <v>2010</v>
      </c>
      <c r="C254" s="11">
        <v>2</v>
      </c>
      <c r="D254" t="s">
        <v>1965</v>
      </c>
      <c r="E254">
        <f>VLOOKUP(CONCATENATE(validProjetado[[#This Row],[Tipo]],validProjetado[[#This Row],[Destino]]),validConcreto!K:O,4)</f>
        <v>17.940000000000001</v>
      </c>
    </row>
    <row r="255" spans="1:5" hidden="1" x14ac:dyDescent="0.25">
      <c r="A255" s="11">
        <v>6</v>
      </c>
      <c r="B255" s="11" t="s">
        <v>2010</v>
      </c>
      <c r="C255" s="11">
        <v>1</v>
      </c>
      <c r="D255" t="s">
        <v>1965</v>
      </c>
      <c r="E255">
        <f>VLOOKUP(CONCATENATE(validProjetado[[#This Row],[Tipo]],validProjetado[[#This Row],[Destino]]),validConcreto!K:O,4)</f>
        <v>13.96</v>
      </c>
    </row>
    <row r="256" spans="1:5" hidden="1" x14ac:dyDescent="0.25">
      <c r="A256" s="11">
        <v>7</v>
      </c>
      <c r="B256" s="11" t="s">
        <v>2010</v>
      </c>
      <c r="C256" s="11">
        <v>2</v>
      </c>
      <c r="D256" t="s">
        <v>1965</v>
      </c>
      <c r="E256">
        <f>VLOOKUP(CONCATENATE(validProjetado[[#This Row],[Tipo]],validProjetado[[#This Row],[Destino]]),validConcreto!K:O,4)</f>
        <v>17.940000000000001</v>
      </c>
    </row>
    <row r="257" spans="1:5" hidden="1" x14ac:dyDescent="0.25">
      <c r="A257" s="11">
        <v>8</v>
      </c>
      <c r="B257" s="11" t="s">
        <v>2010</v>
      </c>
      <c r="C257" s="11">
        <v>1</v>
      </c>
      <c r="D257" t="s">
        <v>1965</v>
      </c>
      <c r="E257">
        <f>VLOOKUP(CONCATENATE(validProjetado[[#This Row],[Tipo]],validProjetado[[#This Row],[Destino]]),validConcreto!K:O,4)</f>
        <v>13.96</v>
      </c>
    </row>
    <row r="258" spans="1:5" hidden="1" x14ac:dyDescent="0.25">
      <c r="A258" s="11">
        <v>9</v>
      </c>
      <c r="B258" s="11" t="s">
        <v>2010</v>
      </c>
      <c r="C258" s="11">
        <v>2</v>
      </c>
      <c r="D258" t="s">
        <v>1965</v>
      </c>
      <c r="E258">
        <f>VLOOKUP(CONCATENATE(validProjetado[[#This Row],[Tipo]],validProjetado[[#This Row],[Destino]]),validConcreto!K:O,4)</f>
        <v>17.940000000000001</v>
      </c>
    </row>
    <row r="259" spans="1:5" hidden="1" x14ac:dyDescent="0.25">
      <c r="A259" s="11">
        <v>10</v>
      </c>
      <c r="B259" s="11" t="s">
        <v>2010</v>
      </c>
      <c r="C259" s="11">
        <v>1</v>
      </c>
      <c r="D259" t="s">
        <v>1965</v>
      </c>
      <c r="E259">
        <f>VLOOKUP(CONCATENATE(validProjetado[[#This Row],[Tipo]],validProjetado[[#This Row],[Destino]]),validConcreto!K:O,4)</f>
        <v>13.96</v>
      </c>
    </row>
    <row r="260" spans="1:5" hidden="1" x14ac:dyDescent="0.25">
      <c r="A260" s="11">
        <v>11</v>
      </c>
      <c r="B260" s="11" t="s">
        <v>2010</v>
      </c>
      <c r="C260" s="11">
        <v>2</v>
      </c>
      <c r="D260" t="s">
        <v>1965</v>
      </c>
      <c r="E260">
        <f>VLOOKUP(CONCATENATE(validProjetado[[#This Row],[Tipo]],validProjetado[[#This Row],[Destino]]),validConcreto!K:O,4)</f>
        <v>17.940000000000001</v>
      </c>
    </row>
    <row r="261" spans="1:5" hidden="1" x14ac:dyDescent="0.25">
      <c r="A261" s="11">
        <v>12</v>
      </c>
      <c r="B261" s="11" t="s">
        <v>2010</v>
      </c>
      <c r="C261" s="11">
        <v>1</v>
      </c>
      <c r="D261" t="s">
        <v>1965</v>
      </c>
      <c r="E261">
        <f>VLOOKUP(CONCATENATE(validProjetado[[#This Row],[Tipo]],validProjetado[[#This Row],[Destino]]),validConcreto!K:O,4)</f>
        <v>13.96</v>
      </c>
    </row>
    <row r="262" spans="1:5" hidden="1" x14ac:dyDescent="0.25">
      <c r="A262" s="11">
        <v>13</v>
      </c>
      <c r="B262" s="11" t="s">
        <v>2010</v>
      </c>
      <c r="C262" s="11">
        <v>1</v>
      </c>
      <c r="D262" t="s">
        <v>1965</v>
      </c>
      <c r="E262">
        <f>VLOOKUP(CONCATENATE(validProjetado[[#This Row],[Tipo]],validProjetado[[#This Row],[Destino]]),validConcreto!K:O,4)</f>
        <v>13.96</v>
      </c>
    </row>
    <row r="263" spans="1:5" hidden="1" x14ac:dyDescent="0.25">
      <c r="A263" s="11">
        <v>14</v>
      </c>
      <c r="B263" s="11" t="s">
        <v>2010</v>
      </c>
      <c r="C263" s="11">
        <v>1</v>
      </c>
      <c r="D263" t="s">
        <v>1965</v>
      </c>
      <c r="E263">
        <f>VLOOKUP(CONCATENATE(validProjetado[[#This Row],[Tipo]],validProjetado[[#This Row],[Destino]]),validConcreto!K:O,4)</f>
        <v>13.96</v>
      </c>
    </row>
    <row r="264" spans="1:5" hidden="1" x14ac:dyDescent="0.25">
      <c r="A264" s="11">
        <v>15</v>
      </c>
      <c r="B264" s="11" t="s">
        <v>2010</v>
      </c>
      <c r="C264" s="11">
        <v>1</v>
      </c>
      <c r="D264" t="s">
        <v>1965</v>
      </c>
      <c r="E264">
        <f>VLOOKUP(CONCATENATE(validProjetado[[#This Row],[Tipo]],validProjetado[[#This Row],[Destino]]),validConcreto!K:O,4)</f>
        <v>13.96</v>
      </c>
    </row>
    <row r="265" spans="1:5" hidden="1" x14ac:dyDescent="0.25">
      <c r="A265" s="11">
        <v>16</v>
      </c>
      <c r="B265" s="11" t="s">
        <v>2010</v>
      </c>
      <c r="C265" s="11">
        <v>1</v>
      </c>
      <c r="D265" t="s">
        <v>1965</v>
      </c>
      <c r="E265">
        <f>VLOOKUP(CONCATENATE(validProjetado[[#This Row],[Tipo]],validProjetado[[#This Row],[Destino]]),validConcreto!K:O,4)</f>
        <v>13.96</v>
      </c>
    </row>
    <row r="266" spans="1:5" hidden="1" x14ac:dyDescent="0.25">
      <c r="A266" s="11">
        <v>17</v>
      </c>
      <c r="B266" s="11" t="s">
        <v>2010</v>
      </c>
      <c r="C266" s="11">
        <v>1</v>
      </c>
      <c r="D266" t="s">
        <v>1965</v>
      </c>
      <c r="E266">
        <f>VLOOKUP(CONCATENATE(validProjetado[[#This Row],[Tipo]],validProjetado[[#This Row],[Destino]]),validConcreto!K:O,4)</f>
        <v>13.96</v>
      </c>
    </row>
    <row r="267" spans="1:5" hidden="1" x14ac:dyDescent="0.25">
      <c r="A267" s="11">
        <v>18</v>
      </c>
      <c r="B267" s="11" t="s">
        <v>2010</v>
      </c>
      <c r="C267" s="11">
        <v>1</v>
      </c>
      <c r="D267" t="s">
        <v>1965</v>
      </c>
      <c r="E267">
        <f>VLOOKUP(CONCATENATE(validProjetado[[#This Row],[Tipo]],validProjetado[[#This Row],[Destino]]),validConcreto!K:O,4)</f>
        <v>13.96</v>
      </c>
    </row>
    <row r="268" spans="1:5" hidden="1" x14ac:dyDescent="0.25">
      <c r="A268" s="11">
        <v>19</v>
      </c>
      <c r="B268" s="11" t="s">
        <v>2010</v>
      </c>
      <c r="C268" s="11">
        <v>1</v>
      </c>
      <c r="D268" t="s">
        <v>1965</v>
      </c>
      <c r="E268">
        <f>VLOOKUP(CONCATENATE(validProjetado[[#This Row],[Tipo]],validProjetado[[#This Row],[Destino]]),validConcreto!K:O,4)</f>
        <v>13.96</v>
      </c>
    </row>
    <row r="269" spans="1:5" hidden="1" x14ac:dyDescent="0.25">
      <c r="A269" s="11">
        <v>20</v>
      </c>
      <c r="B269" s="11" t="s">
        <v>2010</v>
      </c>
      <c r="C269" s="11">
        <v>1</v>
      </c>
      <c r="D269" t="s">
        <v>1965</v>
      </c>
      <c r="E269">
        <f>VLOOKUP(CONCATENATE(validProjetado[[#This Row],[Tipo]],validProjetado[[#This Row],[Destino]]),validConcreto!K:O,4)</f>
        <v>13.96</v>
      </c>
    </row>
    <row r="270" spans="1:5" hidden="1" x14ac:dyDescent="0.25">
      <c r="A270" s="11">
        <v>21</v>
      </c>
      <c r="B270" s="11" t="s">
        <v>2010</v>
      </c>
      <c r="C270" s="11">
        <v>1</v>
      </c>
      <c r="D270" t="s">
        <v>1965</v>
      </c>
      <c r="E270">
        <f>VLOOKUP(CONCATENATE(validProjetado[[#This Row],[Tipo]],validProjetado[[#This Row],[Destino]]),validConcreto!K:O,4)</f>
        <v>13.96</v>
      </c>
    </row>
    <row r="271" spans="1:5" hidden="1" x14ac:dyDescent="0.25">
      <c r="A271" s="11">
        <v>22</v>
      </c>
      <c r="B271" s="11" t="s">
        <v>2010</v>
      </c>
      <c r="C271" s="11">
        <v>1</v>
      </c>
      <c r="D271" t="s">
        <v>1965</v>
      </c>
      <c r="E271">
        <f>VLOOKUP(CONCATENATE(validProjetado[[#This Row],[Tipo]],validProjetado[[#This Row],[Destino]]),validConcreto!K:O,4)</f>
        <v>13.96</v>
      </c>
    </row>
    <row r="272" spans="1:5" hidden="1" x14ac:dyDescent="0.25">
      <c r="A272" s="11">
        <v>23</v>
      </c>
      <c r="B272" s="11" t="s">
        <v>2010</v>
      </c>
      <c r="C272" s="11">
        <v>1</v>
      </c>
      <c r="D272" t="s">
        <v>1965</v>
      </c>
      <c r="E272">
        <f>VLOOKUP(CONCATENATE(validProjetado[[#This Row],[Tipo]],validProjetado[[#This Row],[Destino]]),validConcreto!K:O,4)</f>
        <v>13.96</v>
      </c>
    </row>
    <row r="273" spans="1:5" hidden="1" x14ac:dyDescent="0.25">
      <c r="A273" s="11">
        <v>24</v>
      </c>
      <c r="B273" s="11" t="s">
        <v>2010</v>
      </c>
      <c r="C273" s="11">
        <v>1</v>
      </c>
      <c r="D273" t="s">
        <v>1965</v>
      </c>
      <c r="E273">
        <f>VLOOKUP(CONCATENATE(validProjetado[[#This Row],[Tipo]],validProjetado[[#This Row],[Destino]]),validConcreto!K:O,4)</f>
        <v>13.96</v>
      </c>
    </row>
    <row r="274" spans="1:5" hidden="1" x14ac:dyDescent="0.25">
      <c r="A274" s="11">
        <v>25</v>
      </c>
      <c r="B274" s="11" t="s">
        <v>2010</v>
      </c>
      <c r="C274" s="11">
        <v>1</v>
      </c>
      <c r="D274" t="s">
        <v>1965</v>
      </c>
      <c r="E274">
        <f>VLOOKUP(CONCATENATE(validProjetado[[#This Row],[Tipo]],validProjetado[[#This Row],[Destino]]),validConcreto!K:O,4)</f>
        <v>13.96</v>
      </c>
    </row>
    <row r="275" spans="1:5" hidden="1" x14ac:dyDescent="0.25">
      <c r="A275" s="11">
        <v>26</v>
      </c>
      <c r="B275" s="11" t="s">
        <v>2010</v>
      </c>
      <c r="C275" s="11">
        <v>1</v>
      </c>
      <c r="D275" t="s">
        <v>1965</v>
      </c>
      <c r="E275">
        <f>VLOOKUP(CONCATENATE(validProjetado[[#This Row],[Tipo]],validProjetado[[#This Row],[Destino]]),validConcreto!K:O,4)</f>
        <v>13.96</v>
      </c>
    </row>
    <row r="276" spans="1:5" hidden="1" x14ac:dyDescent="0.25">
      <c r="A276" s="11">
        <v>27</v>
      </c>
      <c r="B276" s="11" t="s">
        <v>2010</v>
      </c>
      <c r="C276" s="11">
        <v>1</v>
      </c>
      <c r="D276" t="s">
        <v>1965</v>
      </c>
      <c r="E276">
        <f>VLOOKUP(CONCATENATE(validProjetado[[#This Row],[Tipo]],validProjetado[[#This Row],[Destino]]),validConcreto!K:O,4)</f>
        <v>13.96</v>
      </c>
    </row>
    <row r="277" spans="1:5" hidden="1" x14ac:dyDescent="0.25">
      <c r="A277" s="11">
        <v>28</v>
      </c>
      <c r="B277" s="11" t="s">
        <v>2010</v>
      </c>
      <c r="C277" s="11">
        <v>1</v>
      </c>
      <c r="D277" t="s">
        <v>1965</v>
      </c>
      <c r="E277">
        <f>VLOOKUP(CONCATENATE(validProjetado[[#This Row],[Tipo]],validProjetado[[#This Row],[Destino]]),validConcreto!K:O,4)</f>
        <v>13.96</v>
      </c>
    </row>
    <row r="278" spans="1:5" hidden="1" x14ac:dyDescent="0.25">
      <c r="A278" s="11">
        <v>29</v>
      </c>
      <c r="B278" s="11" t="s">
        <v>2010</v>
      </c>
      <c r="C278" s="11">
        <v>1</v>
      </c>
      <c r="D278" t="s">
        <v>1965</v>
      </c>
      <c r="E278">
        <f>VLOOKUP(CONCATENATE(validProjetado[[#This Row],[Tipo]],validProjetado[[#This Row],[Destino]]),validConcreto!K:O,4)</f>
        <v>13.96</v>
      </c>
    </row>
    <row r="279" spans="1:5" hidden="1" x14ac:dyDescent="0.25">
      <c r="A279" s="11">
        <v>30</v>
      </c>
      <c r="B279" s="11" t="s">
        <v>2010</v>
      </c>
      <c r="C279" s="11">
        <v>2</v>
      </c>
      <c r="D279" t="s">
        <v>1965</v>
      </c>
      <c r="E279">
        <f>VLOOKUP(CONCATENATE(validProjetado[[#This Row],[Tipo]],validProjetado[[#This Row],[Destino]]),validConcreto!K:O,4)</f>
        <v>17.940000000000001</v>
      </c>
    </row>
    <row r="280" spans="1:5" hidden="1" x14ac:dyDescent="0.25">
      <c r="A280" s="11">
        <v>31</v>
      </c>
      <c r="B280" s="11" t="s">
        <v>2010</v>
      </c>
      <c r="C280" s="11">
        <v>1</v>
      </c>
      <c r="D280" t="s">
        <v>1965</v>
      </c>
      <c r="E280">
        <f>VLOOKUP(CONCATENATE(validProjetado[[#This Row],[Tipo]],validProjetado[[#This Row],[Destino]]),validConcreto!K:O,4)</f>
        <v>13.96</v>
      </c>
    </row>
    <row r="281" spans="1:5" hidden="1" x14ac:dyDescent="0.25">
      <c r="A281" s="11">
        <v>32</v>
      </c>
      <c r="B281" s="11" t="s">
        <v>2010</v>
      </c>
      <c r="C281" s="11">
        <v>1</v>
      </c>
      <c r="D281" t="s">
        <v>1965</v>
      </c>
      <c r="E281">
        <f>VLOOKUP(CONCATENATE(validProjetado[[#This Row],[Tipo]],validProjetado[[#This Row],[Destino]]),validConcreto!K:O,4)</f>
        <v>13.96</v>
      </c>
    </row>
    <row r="282" spans="1:5" hidden="1" x14ac:dyDescent="0.25">
      <c r="A282" s="11">
        <v>33</v>
      </c>
      <c r="B282" s="11" t="s">
        <v>2010</v>
      </c>
      <c r="C282" s="11">
        <v>1</v>
      </c>
      <c r="D282" t="s">
        <v>1965</v>
      </c>
      <c r="E282">
        <f>VLOOKUP(CONCATENATE(validProjetado[[#This Row],[Tipo]],validProjetado[[#This Row],[Destino]]),validConcreto!K:O,4)</f>
        <v>13.96</v>
      </c>
    </row>
    <row r="283" spans="1:5" hidden="1" x14ac:dyDescent="0.25">
      <c r="A283" s="11">
        <v>34</v>
      </c>
      <c r="B283" s="11" t="s">
        <v>2010</v>
      </c>
      <c r="C283" s="11">
        <v>1</v>
      </c>
      <c r="D283" t="s">
        <v>1965</v>
      </c>
      <c r="E283">
        <f>VLOOKUP(CONCATENATE(validProjetado[[#This Row],[Tipo]],validProjetado[[#This Row],[Destino]]),validConcreto!K:O,4)</f>
        <v>13.96</v>
      </c>
    </row>
    <row r="284" spans="1:5" hidden="1" x14ac:dyDescent="0.25">
      <c r="A284" s="11">
        <v>35</v>
      </c>
      <c r="B284" s="11" t="s">
        <v>2010</v>
      </c>
      <c r="C284" s="11">
        <v>1</v>
      </c>
      <c r="D284" t="s">
        <v>1965</v>
      </c>
      <c r="E284">
        <f>VLOOKUP(CONCATENATE(validProjetado[[#This Row],[Tipo]],validProjetado[[#This Row],[Destino]]),validConcreto!K:O,4)</f>
        <v>13.96</v>
      </c>
    </row>
    <row r="285" spans="1:5" hidden="1" x14ac:dyDescent="0.25">
      <c r="A285" s="11">
        <v>36</v>
      </c>
      <c r="B285" s="11" t="s">
        <v>2010</v>
      </c>
      <c r="C285" s="11">
        <v>1</v>
      </c>
      <c r="D285" t="s">
        <v>1965</v>
      </c>
      <c r="E285">
        <f>VLOOKUP(CONCATENATE(validProjetado[[#This Row],[Tipo]],validProjetado[[#This Row],[Destino]]),validConcreto!K:O,4)</f>
        <v>13.96</v>
      </c>
    </row>
    <row r="286" spans="1:5" hidden="1" x14ac:dyDescent="0.25">
      <c r="A286" s="11">
        <v>37</v>
      </c>
      <c r="B286" s="11" t="s">
        <v>2010</v>
      </c>
      <c r="C286" s="11">
        <v>1</v>
      </c>
      <c r="D286" t="s">
        <v>1965</v>
      </c>
      <c r="E286">
        <f>VLOOKUP(CONCATENATE(validProjetado[[#This Row],[Tipo]],validProjetado[[#This Row],[Destino]]),validConcreto!K:O,4)</f>
        <v>13.96</v>
      </c>
    </row>
    <row r="287" spans="1:5" hidden="1" x14ac:dyDescent="0.25">
      <c r="A287" s="11">
        <v>1</v>
      </c>
      <c r="B287" s="11" t="s">
        <v>2013</v>
      </c>
      <c r="C287" s="11">
        <v>1</v>
      </c>
      <c r="D287" t="s">
        <v>1965</v>
      </c>
      <c r="E287">
        <f>VLOOKUP(CONCATENATE(validProjetado[[#This Row],[Tipo]],validProjetado[[#This Row],[Destino]]),validConcreto!K:O,4)</f>
        <v>13.96</v>
      </c>
    </row>
    <row r="288" spans="1:5" hidden="1" x14ac:dyDescent="0.25">
      <c r="A288" s="11">
        <v>2</v>
      </c>
      <c r="B288" s="11" t="s">
        <v>2013</v>
      </c>
      <c r="C288" s="11">
        <v>1</v>
      </c>
      <c r="D288" t="s">
        <v>1965</v>
      </c>
      <c r="E288">
        <f>VLOOKUP(CONCATENATE(validProjetado[[#This Row],[Tipo]],validProjetado[[#This Row],[Destino]]),validConcreto!K:O,4)</f>
        <v>13.96</v>
      </c>
    </row>
    <row r="289" spans="1:5" hidden="1" x14ac:dyDescent="0.25">
      <c r="A289" s="11">
        <v>3</v>
      </c>
      <c r="B289" s="11" t="s">
        <v>2013</v>
      </c>
      <c r="C289" s="11">
        <v>1</v>
      </c>
      <c r="D289" t="s">
        <v>1965</v>
      </c>
      <c r="E289">
        <f>VLOOKUP(CONCATENATE(validProjetado[[#This Row],[Tipo]],validProjetado[[#This Row],[Destino]]),validConcreto!K:O,4)</f>
        <v>13.96</v>
      </c>
    </row>
    <row r="290" spans="1:5" hidden="1" x14ac:dyDescent="0.25">
      <c r="A290" s="11">
        <v>4</v>
      </c>
      <c r="B290" s="11" t="s">
        <v>2013</v>
      </c>
      <c r="C290" s="11">
        <v>1</v>
      </c>
      <c r="D290" t="s">
        <v>1965</v>
      </c>
      <c r="E290">
        <f>VLOOKUP(CONCATENATE(validProjetado[[#This Row],[Tipo]],validProjetado[[#This Row],[Destino]]),validConcreto!K:O,4)</f>
        <v>13.96</v>
      </c>
    </row>
    <row r="291" spans="1:5" hidden="1" x14ac:dyDescent="0.25">
      <c r="A291" s="11">
        <v>5</v>
      </c>
      <c r="B291" s="11" t="s">
        <v>2013</v>
      </c>
      <c r="C291" s="11">
        <v>1</v>
      </c>
      <c r="D291" t="s">
        <v>1965</v>
      </c>
      <c r="E291">
        <f>VLOOKUP(CONCATENATE(validProjetado[[#This Row],[Tipo]],validProjetado[[#This Row],[Destino]]),validConcreto!K:O,4)</f>
        <v>13.96</v>
      </c>
    </row>
    <row r="292" spans="1:5" hidden="1" x14ac:dyDescent="0.25">
      <c r="A292" s="11">
        <v>6</v>
      </c>
      <c r="B292" s="11" t="s">
        <v>2013</v>
      </c>
      <c r="C292" s="11">
        <v>1</v>
      </c>
      <c r="D292" t="s">
        <v>1965</v>
      </c>
      <c r="E292">
        <f>VLOOKUP(CONCATENATE(validProjetado[[#This Row],[Tipo]],validProjetado[[#This Row],[Destino]]),validConcreto!K:O,4)</f>
        <v>13.96</v>
      </c>
    </row>
    <row r="293" spans="1:5" hidden="1" x14ac:dyDescent="0.25">
      <c r="A293" s="11">
        <v>7</v>
      </c>
      <c r="B293" s="11" t="s">
        <v>2013</v>
      </c>
      <c r="C293" s="11">
        <v>1</v>
      </c>
      <c r="D293" t="s">
        <v>1965</v>
      </c>
      <c r="E293">
        <f>VLOOKUP(CONCATENATE(validProjetado[[#This Row],[Tipo]],validProjetado[[#This Row],[Destino]]),validConcreto!K:O,4)</f>
        <v>13.96</v>
      </c>
    </row>
    <row r="294" spans="1:5" hidden="1" x14ac:dyDescent="0.25">
      <c r="A294" s="11">
        <v>8</v>
      </c>
      <c r="B294" s="11" t="s">
        <v>2013</v>
      </c>
      <c r="C294" s="11">
        <v>1</v>
      </c>
      <c r="D294" t="s">
        <v>1965</v>
      </c>
      <c r="E294">
        <f>VLOOKUP(CONCATENATE(validProjetado[[#This Row],[Tipo]],validProjetado[[#This Row],[Destino]]),validConcreto!K:O,4)</f>
        <v>13.96</v>
      </c>
    </row>
    <row r="295" spans="1:5" hidden="1" x14ac:dyDescent="0.25">
      <c r="A295" s="11">
        <v>9</v>
      </c>
      <c r="B295" s="11" t="s">
        <v>2013</v>
      </c>
      <c r="C295" s="11">
        <v>1</v>
      </c>
      <c r="D295" t="s">
        <v>1965</v>
      </c>
      <c r="E295">
        <f>VLOOKUP(CONCATENATE(validProjetado[[#This Row],[Tipo]],validProjetado[[#This Row],[Destino]]),validConcreto!K:O,4)</f>
        <v>13.96</v>
      </c>
    </row>
    <row r="296" spans="1:5" hidden="1" x14ac:dyDescent="0.25">
      <c r="A296" s="11">
        <v>10</v>
      </c>
      <c r="B296" s="11" t="s">
        <v>2013</v>
      </c>
      <c r="C296" s="11">
        <v>1</v>
      </c>
      <c r="D296" t="s">
        <v>1965</v>
      </c>
      <c r="E296">
        <f>VLOOKUP(CONCATENATE(validProjetado[[#This Row],[Tipo]],validProjetado[[#This Row],[Destino]]),validConcreto!K:O,4)</f>
        <v>13.96</v>
      </c>
    </row>
    <row r="297" spans="1:5" hidden="1" x14ac:dyDescent="0.25">
      <c r="A297" s="11">
        <v>11</v>
      </c>
      <c r="B297" s="11" t="s">
        <v>2013</v>
      </c>
      <c r="C297" s="11">
        <v>1</v>
      </c>
      <c r="D297" t="s">
        <v>1965</v>
      </c>
      <c r="E297">
        <f>VLOOKUP(CONCATENATE(validProjetado[[#This Row],[Tipo]],validProjetado[[#This Row],[Destino]]),validConcreto!K:O,4)</f>
        <v>13.96</v>
      </c>
    </row>
    <row r="298" spans="1:5" hidden="1" x14ac:dyDescent="0.25">
      <c r="A298" s="11">
        <v>12</v>
      </c>
      <c r="B298" s="11" t="s">
        <v>2013</v>
      </c>
      <c r="C298" s="11">
        <v>1</v>
      </c>
      <c r="D298" t="s">
        <v>1965</v>
      </c>
      <c r="E298">
        <f>VLOOKUP(CONCATENATE(validProjetado[[#This Row],[Tipo]],validProjetado[[#This Row],[Destino]]),validConcreto!K:O,4)</f>
        <v>13.96</v>
      </c>
    </row>
    <row r="299" spans="1:5" hidden="1" x14ac:dyDescent="0.25">
      <c r="A299" s="11">
        <v>13</v>
      </c>
      <c r="B299" s="11" t="s">
        <v>2013</v>
      </c>
      <c r="C299" s="11">
        <v>1</v>
      </c>
      <c r="D299" t="s">
        <v>1965</v>
      </c>
      <c r="E299">
        <f>VLOOKUP(CONCATENATE(validProjetado[[#This Row],[Tipo]],validProjetado[[#This Row],[Destino]]),validConcreto!K:O,4)</f>
        <v>13.96</v>
      </c>
    </row>
    <row r="300" spans="1:5" hidden="1" x14ac:dyDescent="0.25">
      <c r="A300" s="11">
        <v>14</v>
      </c>
      <c r="B300" s="11" t="s">
        <v>2013</v>
      </c>
      <c r="C300" s="11">
        <v>1</v>
      </c>
      <c r="D300" t="s">
        <v>1965</v>
      </c>
      <c r="E300">
        <f>VLOOKUP(CONCATENATE(validProjetado[[#This Row],[Tipo]],validProjetado[[#This Row],[Destino]]),validConcreto!K:O,4)</f>
        <v>13.96</v>
      </c>
    </row>
    <row r="301" spans="1:5" hidden="1" x14ac:dyDescent="0.25">
      <c r="A301" s="11">
        <v>15</v>
      </c>
      <c r="B301" s="11" t="s">
        <v>2013</v>
      </c>
      <c r="C301" s="11">
        <v>1</v>
      </c>
      <c r="D301" t="s">
        <v>1965</v>
      </c>
      <c r="E301">
        <f>VLOOKUP(CONCATENATE(validProjetado[[#This Row],[Tipo]],validProjetado[[#This Row],[Destino]]),validConcreto!K:O,4)</f>
        <v>13.96</v>
      </c>
    </row>
    <row r="302" spans="1:5" hidden="1" x14ac:dyDescent="0.25">
      <c r="A302" s="11">
        <v>16</v>
      </c>
      <c r="B302" s="11" t="s">
        <v>2013</v>
      </c>
      <c r="C302" s="11">
        <v>1</v>
      </c>
      <c r="D302" t="s">
        <v>1965</v>
      </c>
      <c r="E302">
        <f>VLOOKUP(CONCATENATE(validProjetado[[#This Row],[Tipo]],validProjetado[[#This Row],[Destino]]),validConcreto!K:O,4)</f>
        <v>13.96</v>
      </c>
    </row>
    <row r="303" spans="1:5" hidden="1" x14ac:dyDescent="0.25">
      <c r="A303" s="11">
        <v>17</v>
      </c>
      <c r="B303" s="11" t="s">
        <v>2013</v>
      </c>
      <c r="C303" s="11">
        <v>1</v>
      </c>
      <c r="D303" t="s">
        <v>1965</v>
      </c>
      <c r="E303">
        <f>VLOOKUP(CONCATENATE(validProjetado[[#This Row],[Tipo]],validProjetado[[#This Row],[Destino]]),validConcreto!K:O,4)</f>
        <v>13.96</v>
      </c>
    </row>
    <row r="304" spans="1:5" hidden="1" x14ac:dyDescent="0.25">
      <c r="A304" s="11">
        <v>18</v>
      </c>
      <c r="B304" s="11" t="s">
        <v>2013</v>
      </c>
      <c r="C304" s="11">
        <v>1</v>
      </c>
      <c r="D304" t="s">
        <v>1965</v>
      </c>
      <c r="E304">
        <f>VLOOKUP(CONCATENATE(validProjetado[[#This Row],[Tipo]],validProjetado[[#This Row],[Destino]]),validConcreto!K:O,4)</f>
        <v>13.96</v>
      </c>
    </row>
    <row r="305" spans="1:5" hidden="1" x14ac:dyDescent="0.25">
      <c r="A305" s="11">
        <v>19</v>
      </c>
      <c r="B305" s="11" t="s">
        <v>2013</v>
      </c>
      <c r="C305" s="11">
        <v>1</v>
      </c>
      <c r="D305" t="s">
        <v>1965</v>
      </c>
      <c r="E305">
        <f>VLOOKUP(CONCATENATE(validProjetado[[#This Row],[Tipo]],validProjetado[[#This Row],[Destino]]),validConcreto!K:O,4)</f>
        <v>13.96</v>
      </c>
    </row>
    <row r="306" spans="1:5" hidden="1" x14ac:dyDescent="0.25">
      <c r="A306" s="11">
        <v>20</v>
      </c>
      <c r="B306" s="11" t="s">
        <v>2013</v>
      </c>
      <c r="C306" s="11">
        <v>1</v>
      </c>
      <c r="D306" t="s">
        <v>1965</v>
      </c>
      <c r="E306">
        <f>VLOOKUP(CONCATENATE(validProjetado[[#This Row],[Tipo]],validProjetado[[#This Row],[Destino]]),validConcreto!K:O,4)</f>
        <v>13.96</v>
      </c>
    </row>
    <row r="307" spans="1:5" hidden="1" x14ac:dyDescent="0.25">
      <c r="A307" s="11">
        <v>21</v>
      </c>
      <c r="B307" s="11" t="s">
        <v>2013</v>
      </c>
      <c r="C307" s="11">
        <v>1</v>
      </c>
      <c r="D307" t="s">
        <v>1965</v>
      </c>
      <c r="E307">
        <f>VLOOKUP(CONCATENATE(validProjetado[[#This Row],[Tipo]],validProjetado[[#This Row],[Destino]]),validConcreto!K:O,4)</f>
        <v>13.96</v>
      </c>
    </row>
    <row r="308" spans="1:5" hidden="1" x14ac:dyDescent="0.25">
      <c r="A308" s="11">
        <v>22</v>
      </c>
      <c r="B308" s="11" t="s">
        <v>2013</v>
      </c>
      <c r="C308" s="11">
        <v>1</v>
      </c>
      <c r="D308" t="s">
        <v>1965</v>
      </c>
      <c r="E308">
        <f>VLOOKUP(CONCATENATE(validProjetado[[#This Row],[Tipo]],validProjetado[[#This Row],[Destino]]),validConcreto!K:O,4)</f>
        <v>13.96</v>
      </c>
    </row>
    <row r="309" spans="1:5" hidden="1" x14ac:dyDescent="0.25">
      <c r="A309" s="11">
        <v>23</v>
      </c>
      <c r="B309" s="11" t="s">
        <v>2013</v>
      </c>
      <c r="C309" s="11">
        <v>1</v>
      </c>
      <c r="D309" t="s">
        <v>1965</v>
      </c>
      <c r="E309">
        <f>VLOOKUP(CONCATENATE(validProjetado[[#This Row],[Tipo]],validProjetado[[#This Row],[Destino]]),validConcreto!K:O,4)</f>
        <v>13.96</v>
      </c>
    </row>
    <row r="310" spans="1:5" hidden="1" x14ac:dyDescent="0.25">
      <c r="A310" s="11">
        <v>24</v>
      </c>
      <c r="B310" s="11" t="s">
        <v>2013</v>
      </c>
      <c r="C310" s="11">
        <v>1</v>
      </c>
      <c r="D310" t="s">
        <v>1965</v>
      </c>
      <c r="E310">
        <f>VLOOKUP(CONCATENATE(validProjetado[[#This Row],[Tipo]],validProjetado[[#This Row],[Destino]]),validConcreto!K:O,4)</f>
        <v>13.96</v>
      </c>
    </row>
    <row r="311" spans="1:5" hidden="1" x14ac:dyDescent="0.25">
      <c r="A311" s="11">
        <v>25</v>
      </c>
      <c r="B311" s="11" t="s">
        <v>2013</v>
      </c>
      <c r="C311" s="11">
        <v>1</v>
      </c>
      <c r="D311" t="s">
        <v>1965</v>
      </c>
      <c r="E311">
        <f>VLOOKUP(CONCATENATE(validProjetado[[#This Row],[Tipo]],validProjetado[[#This Row],[Destino]]),validConcreto!K:O,4)</f>
        <v>13.96</v>
      </c>
    </row>
    <row r="312" spans="1:5" hidden="1" x14ac:dyDescent="0.25">
      <c r="A312" s="11">
        <v>26</v>
      </c>
      <c r="B312" s="11" t="s">
        <v>2013</v>
      </c>
      <c r="C312" s="11">
        <v>1</v>
      </c>
      <c r="D312" t="s">
        <v>1965</v>
      </c>
      <c r="E312">
        <f>VLOOKUP(CONCATENATE(validProjetado[[#This Row],[Tipo]],validProjetado[[#This Row],[Destino]]),validConcreto!K:O,4)</f>
        <v>13.96</v>
      </c>
    </row>
    <row r="313" spans="1:5" hidden="1" x14ac:dyDescent="0.25">
      <c r="A313" s="11">
        <v>27</v>
      </c>
      <c r="B313" s="11" t="s">
        <v>2013</v>
      </c>
      <c r="C313" s="11">
        <v>1</v>
      </c>
      <c r="D313" t="s">
        <v>1965</v>
      </c>
      <c r="E313">
        <f>VLOOKUP(CONCATENATE(validProjetado[[#This Row],[Tipo]],validProjetado[[#This Row],[Destino]]),validConcreto!K:O,4)</f>
        <v>13.96</v>
      </c>
    </row>
    <row r="314" spans="1:5" hidden="1" x14ac:dyDescent="0.25">
      <c r="A314" s="11">
        <v>28</v>
      </c>
      <c r="B314" s="11" t="s">
        <v>2013</v>
      </c>
      <c r="C314" s="11">
        <v>1</v>
      </c>
      <c r="D314" t="s">
        <v>1965</v>
      </c>
      <c r="E314">
        <f>VLOOKUP(CONCATENATE(validProjetado[[#This Row],[Tipo]],validProjetado[[#This Row],[Destino]]),validConcreto!K:O,4)</f>
        <v>13.96</v>
      </c>
    </row>
    <row r="315" spans="1:5" hidden="1" x14ac:dyDescent="0.25">
      <c r="A315" s="11">
        <v>29</v>
      </c>
      <c r="B315" s="11" t="s">
        <v>2013</v>
      </c>
      <c r="C315" s="11">
        <v>2</v>
      </c>
      <c r="D315" t="s">
        <v>1965</v>
      </c>
      <c r="E315">
        <f>VLOOKUP(CONCATENATE(validProjetado[[#This Row],[Tipo]],validProjetado[[#This Row],[Destino]]),validConcreto!K:O,4)</f>
        <v>17.940000000000001</v>
      </c>
    </row>
    <row r="316" spans="1:5" hidden="1" x14ac:dyDescent="0.25">
      <c r="A316" s="11">
        <v>30</v>
      </c>
      <c r="B316" s="11" t="s">
        <v>2013</v>
      </c>
      <c r="C316" s="11">
        <v>1</v>
      </c>
      <c r="D316" t="s">
        <v>1965</v>
      </c>
      <c r="E316">
        <f>VLOOKUP(CONCATENATE(validProjetado[[#This Row],[Tipo]],validProjetado[[#This Row],[Destino]]),validConcreto!K:O,4)</f>
        <v>13.96</v>
      </c>
    </row>
    <row r="317" spans="1:5" hidden="1" x14ac:dyDescent="0.25">
      <c r="A317" s="11">
        <v>31</v>
      </c>
      <c r="B317" s="11" t="s">
        <v>2013</v>
      </c>
      <c r="C317" s="11">
        <v>1</v>
      </c>
      <c r="D317" t="s">
        <v>1965</v>
      </c>
      <c r="E317">
        <f>VLOOKUP(CONCATENATE(validProjetado[[#This Row],[Tipo]],validProjetado[[#This Row],[Destino]]),validConcreto!K:O,4)</f>
        <v>13.96</v>
      </c>
    </row>
    <row r="318" spans="1:5" hidden="1" x14ac:dyDescent="0.25">
      <c r="A318" s="11">
        <v>32</v>
      </c>
      <c r="B318" s="11" t="s">
        <v>2013</v>
      </c>
      <c r="C318" s="11">
        <v>1</v>
      </c>
      <c r="D318" t="s">
        <v>1965</v>
      </c>
      <c r="E318">
        <f>VLOOKUP(CONCATENATE(validProjetado[[#This Row],[Tipo]],validProjetado[[#This Row],[Destino]]),validConcreto!K:O,4)</f>
        <v>13.96</v>
      </c>
    </row>
    <row r="319" spans="1:5" hidden="1" x14ac:dyDescent="0.25">
      <c r="A319" s="11">
        <v>33</v>
      </c>
      <c r="B319" s="11" t="s">
        <v>2013</v>
      </c>
      <c r="C319" s="11">
        <v>1</v>
      </c>
      <c r="D319" t="s">
        <v>1965</v>
      </c>
      <c r="E319">
        <f>VLOOKUP(CONCATENATE(validProjetado[[#This Row],[Tipo]],validProjetado[[#This Row],[Destino]]),validConcreto!K:O,4)</f>
        <v>13.96</v>
      </c>
    </row>
    <row r="320" spans="1:5" hidden="1" x14ac:dyDescent="0.25">
      <c r="A320" s="11">
        <v>34</v>
      </c>
      <c r="B320" s="11" t="s">
        <v>2013</v>
      </c>
      <c r="C320" s="11">
        <v>2</v>
      </c>
      <c r="D320" t="s">
        <v>1965</v>
      </c>
      <c r="E320">
        <f>VLOOKUP(CONCATENATE(validProjetado[[#This Row],[Tipo]],validProjetado[[#This Row],[Destino]]),validConcreto!K:O,4)</f>
        <v>17.940000000000001</v>
      </c>
    </row>
    <row r="321" spans="1:5" hidden="1" x14ac:dyDescent="0.25">
      <c r="A321" s="11">
        <v>1</v>
      </c>
      <c r="B321" s="11" t="s">
        <v>2016</v>
      </c>
      <c r="C321" s="11">
        <v>1</v>
      </c>
      <c r="D321" t="s">
        <v>1965</v>
      </c>
      <c r="E321">
        <f>VLOOKUP(CONCATENATE(validProjetado[[#This Row],[Tipo]],validProjetado[[#This Row],[Destino]]),validConcreto!K:O,4)</f>
        <v>13.96</v>
      </c>
    </row>
    <row r="322" spans="1:5" hidden="1" x14ac:dyDescent="0.25">
      <c r="A322" s="11">
        <v>2</v>
      </c>
      <c r="B322" s="11" t="s">
        <v>2016</v>
      </c>
      <c r="C322" s="11">
        <v>2</v>
      </c>
      <c r="D322" t="s">
        <v>1965</v>
      </c>
      <c r="E322">
        <f>VLOOKUP(CONCATENATE(validProjetado[[#This Row],[Tipo]],validProjetado[[#This Row],[Destino]]),validConcreto!K:O,4)</f>
        <v>17.940000000000001</v>
      </c>
    </row>
    <row r="323" spans="1:5" hidden="1" x14ac:dyDescent="0.25">
      <c r="A323" s="11">
        <v>3</v>
      </c>
      <c r="B323" s="11" t="s">
        <v>2016</v>
      </c>
      <c r="C323" s="11">
        <v>1</v>
      </c>
      <c r="D323" t="s">
        <v>1965</v>
      </c>
      <c r="E323">
        <f>VLOOKUP(CONCATENATE(validProjetado[[#This Row],[Tipo]],validProjetado[[#This Row],[Destino]]),validConcreto!K:O,4)</f>
        <v>13.96</v>
      </c>
    </row>
    <row r="324" spans="1:5" hidden="1" x14ac:dyDescent="0.25">
      <c r="A324" s="11">
        <v>4</v>
      </c>
      <c r="B324" s="11" t="s">
        <v>2016</v>
      </c>
      <c r="C324" s="11">
        <v>2</v>
      </c>
      <c r="D324" t="s">
        <v>1965</v>
      </c>
      <c r="E324">
        <f>VLOOKUP(CONCATENATE(validProjetado[[#This Row],[Tipo]],validProjetado[[#This Row],[Destino]]),validConcreto!K:O,4)</f>
        <v>17.940000000000001</v>
      </c>
    </row>
    <row r="325" spans="1:5" hidden="1" x14ac:dyDescent="0.25">
      <c r="A325" s="11">
        <v>5</v>
      </c>
      <c r="B325" s="11" t="s">
        <v>2016</v>
      </c>
      <c r="C325" s="11">
        <v>1</v>
      </c>
      <c r="D325" t="s">
        <v>1965</v>
      </c>
      <c r="E325">
        <f>VLOOKUP(CONCATENATE(validProjetado[[#This Row],[Tipo]],validProjetado[[#This Row],[Destino]]),validConcreto!K:O,4)</f>
        <v>13.96</v>
      </c>
    </row>
    <row r="326" spans="1:5" hidden="1" x14ac:dyDescent="0.25">
      <c r="A326" s="11">
        <v>6</v>
      </c>
      <c r="B326" s="11" t="s">
        <v>2016</v>
      </c>
      <c r="C326" s="11">
        <v>2</v>
      </c>
      <c r="D326" t="s">
        <v>1965</v>
      </c>
      <c r="E326">
        <f>VLOOKUP(CONCATENATE(validProjetado[[#This Row],[Tipo]],validProjetado[[#This Row],[Destino]]),validConcreto!K:O,4)</f>
        <v>17.940000000000001</v>
      </c>
    </row>
    <row r="327" spans="1:5" hidden="1" x14ac:dyDescent="0.25">
      <c r="A327" s="11">
        <v>7</v>
      </c>
      <c r="B327" s="11" t="s">
        <v>2016</v>
      </c>
      <c r="C327" s="11">
        <v>1</v>
      </c>
      <c r="D327" t="s">
        <v>1965</v>
      </c>
      <c r="E327">
        <f>VLOOKUP(CONCATENATE(validProjetado[[#This Row],[Tipo]],validProjetado[[#This Row],[Destino]]),validConcreto!K:O,4)</f>
        <v>13.96</v>
      </c>
    </row>
    <row r="328" spans="1:5" hidden="1" x14ac:dyDescent="0.25">
      <c r="A328" s="11">
        <v>8</v>
      </c>
      <c r="B328" s="11" t="s">
        <v>2016</v>
      </c>
      <c r="C328" s="11">
        <v>2</v>
      </c>
      <c r="D328" t="s">
        <v>1965</v>
      </c>
      <c r="E328">
        <f>VLOOKUP(CONCATENATE(validProjetado[[#This Row],[Tipo]],validProjetado[[#This Row],[Destino]]),validConcreto!K:O,4)</f>
        <v>17.940000000000001</v>
      </c>
    </row>
    <row r="329" spans="1:5" hidden="1" x14ac:dyDescent="0.25">
      <c r="A329" s="11">
        <v>9</v>
      </c>
      <c r="B329" s="11" t="s">
        <v>2016</v>
      </c>
      <c r="C329" s="11">
        <v>1</v>
      </c>
      <c r="D329" t="s">
        <v>1965</v>
      </c>
      <c r="E329">
        <f>VLOOKUP(CONCATENATE(validProjetado[[#This Row],[Tipo]],validProjetado[[#This Row],[Destino]]),validConcreto!K:O,4)</f>
        <v>13.96</v>
      </c>
    </row>
    <row r="330" spans="1:5" hidden="1" x14ac:dyDescent="0.25">
      <c r="A330" s="11">
        <v>10</v>
      </c>
      <c r="B330" s="11" t="s">
        <v>2016</v>
      </c>
      <c r="C330" s="11">
        <v>2</v>
      </c>
      <c r="D330" t="s">
        <v>1965</v>
      </c>
      <c r="E330">
        <f>VLOOKUP(CONCATENATE(validProjetado[[#This Row],[Tipo]],validProjetado[[#This Row],[Destino]]),validConcreto!K:O,4)</f>
        <v>17.940000000000001</v>
      </c>
    </row>
    <row r="331" spans="1:5" hidden="1" x14ac:dyDescent="0.25">
      <c r="A331" s="11">
        <v>11</v>
      </c>
      <c r="B331" s="11" t="s">
        <v>2016</v>
      </c>
      <c r="C331" s="11">
        <v>1</v>
      </c>
      <c r="D331" t="s">
        <v>1965</v>
      </c>
      <c r="E331">
        <f>VLOOKUP(CONCATENATE(validProjetado[[#This Row],[Tipo]],validProjetado[[#This Row],[Destino]]),validConcreto!K:O,4)</f>
        <v>13.96</v>
      </c>
    </row>
    <row r="332" spans="1:5" hidden="1" x14ac:dyDescent="0.25">
      <c r="A332" s="11">
        <v>12</v>
      </c>
      <c r="B332" s="11" t="s">
        <v>2016</v>
      </c>
      <c r="C332" s="11">
        <v>2</v>
      </c>
      <c r="D332" t="s">
        <v>1965</v>
      </c>
      <c r="E332">
        <f>VLOOKUP(CONCATENATE(validProjetado[[#This Row],[Tipo]],validProjetado[[#This Row],[Destino]]),validConcreto!K:O,4)</f>
        <v>17.940000000000001</v>
      </c>
    </row>
    <row r="333" spans="1:5" hidden="1" x14ac:dyDescent="0.25">
      <c r="A333" s="11">
        <v>13</v>
      </c>
      <c r="B333" s="11" t="s">
        <v>2016</v>
      </c>
      <c r="C333" s="11">
        <v>1</v>
      </c>
      <c r="D333" t="s">
        <v>1965</v>
      </c>
      <c r="E333">
        <f>VLOOKUP(CONCATENATE(validProjetado[[#This Row],[Tipo]],validProjetado[[#This Row],[Destino]]),validConcreto!K:O,4)</f>
        <v>13.96</v>
      </c>
    </row>
    <row r="334" spans="1:5" hidden="1" x14ac:dyDescent="0.25">
      <c r="A334" s="11">
        <v>14</v>
      </c>
      <c r="B334" s="11" t="s">
        <v>2016</v>
      </c>
      <c r="C334" s="11">
        <v>2</v>
      </c>
      <c r="D334" t="s">
        <v>1965</v>
      </c>
      <c r="E334">
        <f>VLOOKUP(CONCATENATE(validProjetado[[#This Row],[Tipo]],validProjetado[[#This Row],[Destino]]),validConcreto!K:O,4)</f>
        <v>17.940000000000001</v>
      </c>
    </row>
    <row r="335" spans="1:5" hidden="1" x14ac:dyDescent="0.25">
      <c r="A335" s="11">
        <v>15</v>
      </c>
      <c r="B335" s="11" t="s">
        <v>2016</v>
      </c>
      <c r="C335" s="11">
        <v>1</v>
      </c>
      <c r="D335" t="s">
        <v>1965</v>
      </c>
      <c r="E335">
        <f>VLOOKUP(CONCATENATE(validProjetado[[#This Row],[Tipo]],validProjetado[[#This Row],[Destino]]),validConcreto!K:O,4)</f>
        <v>13.96</v>
      </c>
    </row>
    <row r="336" spans="1:5" hidden="1" x14ac:dyDescent="0.25">
      <c r="A336" s="11">
        <v>16</v>
      </c>
      <c r="B336" s="11" t="s">
        <v>2016</v>
      </c>
      <c r="C336" s="11">
        <v>2</v>
      </c>
      <c r="D336" t="s">
        <v>1965</v>
      </c>
      <c r="E336">
        <f>VLOOKUP(CONCATENATE(validProjetado[[#This Row],[Tipo]],validProjetado[[#This Row],[Destino]]),validConcreto!K:O,4)</f>
        <v>17.940000000000001</v>
      </c>
    </row>
    <row r="337" spans="1:5" hidden="1" x14ac:dyDescent="0.25">
      <c r="A337" s="11">
        <v>17</v>
      </c>
      <c r="B337" s="11" t="s">
        <v>2016</v>
      </c>
      <c r="C337" s="11">
        <v>1</v>
      </c>
      <c r="D337" t="s">
        <v>1965</v>
      </c>
      <c r="E337">
        <f>VLOOKUP(CONCATENATE(validProjetado[[#This Row],[Tipo]],validProjetado[[#This Row],[Destino]]),validConcreto!K:O,4)</f>
        <v>13.96</v>
      </c>
    </row>
    <row r="338" spans="1:5" hidden="1" x14ac:dyDescent="0.25">
      <c r="A338" s="11">
        <v>1</v>
      </c>
      <c r="B338" s="11" t="s">
        <v>2021</v>
      </c>
      <c r="C338" s="11">
        <v>2</v>
      </c>
      <c r="D338" t="s">
        <v>1965</v>
      </c>
      <c r="E338">
        <f>VLOOKUP(CONCATENATE(validProjetado[[#This Row],[Tipo]],validProjetado[[#This Row],[Destino]]),validConcreto!K:O,4)</f>
        <v>17.940000000000001</v>
      </c>
    </row>
    <row r="339" spans="1:5" hidden="1" x14ac:dyDescent="0.25">
      <c r="A339" s="11">
        <v>2</v>
      </c>
      <c r="B339" s="11" t="s">
        <v>2021</v>
      </c>
      <c r="C339" s="11">
        <v>1</v>
      </c>
      <c r="D339" t="s">
        <v>1965</v>
      </c>
      <c r="E339">
        <f>VLOOKUP(CONCATENATE(validProjetado[[#This Row],[Tipo]],validProjetado[[#This Row],[Destino]]),validConcreto!K:O,4)</f>
        <v>13.96</v>
      </c>
    </row>
    <row r="340" spans="1:5" hidden="1" x14ac:dyDescent="0.25">
      <c r="A340" s="11">
        <v>3</v>
      </c>
      <c r="B340" s="11" t="s">
        <v>2021</v>
      </c>
      <c r="C340" s="11">
        <v>2</v>
      </c>
      <c r="D340" t="s">
        <v>1965</v>
      </c>
      <c r="E340">
        <f>VLOOKUP(CONCATENATE(validProjetado[[#This Row],[Tipo]],validProjetado[[#This Row],[Destino]]),validConcreto!K:O,4)</f>
        <v>17.940000000000001</v>
      </c>
    </row>
    <row r="341" spans="1:5" hidden="1" x14ac:dyDescent="0.25">
      <c r="A341" s="11">
        <v>4</v>
      </c>
      <c r="B341" s="11" t="s">
        <v>2021</v>
      </c>
      <c r="C341" s="11">
        <v>1</v>
      </c>
      <c r="D341" t="s">
        <v>1965</v>
      </c>
      <c r="E341">
        <f>VLOOKUP(CONCATENATE(validProjetado[[#This Row],[Tipo]],validProjetado[[#This Row],[Destino]]),validConcreto!K:O,4)</f>
        <v>13.96</v>
      </c>
    </row>
    <row r="342" spans="1:5" hidden="1" x14ac:dyDescent="0.25">
      <c r="A342" s="11">
        <v>5</v>
      </c>
      <c r="B342" s="11" t="s">
        <v>2021</v>
      </c>
      <c r="C342" s="11">
        <v>2</v>
      </c>
      <c r="D342" t="s">
        <v>1965</v>
      </c>
      <c r="E342">
        <f>VLOOKUP(CONCATENATE(validProjetado[[#This Row],[Tipo]],validProjetado[[#This Row],[Destino]]),validConcreto!K:O,4)</f>
        <v>17.940000000000001</v>
      </c>
    </row>
    <row r="343" spans="1:5" hidden="1" x14ac:dyDescent="0.25">
      <c r="A343" s="11">
        <v>6</v>
      </c>
      <c r="B343" s="11" t="s">
        <v>2021</v>
      </c>
      <c r="C343" s="11">
        <v>1</v>
      </c>
      <c r="D343" t="s">
        <v>1965</v>
      </c>
      <c r="E343">
        <f>VLOOKUP(CONCATENATE(validProjetado[[#This Row],[Tipo]],validProjetado[[#This Row],[Destino]]),validConcreto!K:O,4)</f>
        <v>13.96</v>
      </c>
    </row>
    <row r="344" spans="1:5" hidden="1" x14ac:dyDescent="0.25">
      <c r="A344" s="11">
        <v>7</v>
      </c>
      <c r="B344" s="11" t="s">
        <v>2021</v>
      </c>
      <c r="C344" s="11">
        <v>2</v>
      </c>
      <c r="D344" t="s">
        <v>1965</v>
      </c>
      <c r="E344">
        <f>VLOOKUP(CONCATENATE(validProjetado[[#This Row],[Tipo]],validProjetado[[#This Row],[Destino]]),validConcreto!K:O,4)</f>
        <v>17.940000000000001</v>
      </c>
    </row>
    <row r="345" spans="1:5" hidden="1" x14ac:dyDescent="0.25">
      <c r="A345" s="11">
        <v>8</v>
      </c>
      <c r="B345" s="11" t="s">
        <v>2021</v>
      </c>
      <c r="C345" s="11">
        <v>1</v>
      </c>
      <c r="D345" t="s">
        <v>1965</v>
      </c>
      <c r="E345">
        <f>VLOOKUP(CONCATENATE(validProjetado[[#This Row],[Tipo]],validProjetado[[#This Row],[Destino]]),validConcreto!K:O,4)</f>
        <v>13.96</v>
      </c>
    </row>
    <row r="346" spans="1:5" hidden="1" x14ac:dyDescent="0.25">
      <c r="A346" s="11">
        <v>9</v>
      </c>
      <c r="B346" s="11" t="s">
        <v>2021</v>
      </c>
      <c r="C346" s="11">
        <v>2</v>
      </c>
      <c r="D346" t="s">
        <v>1965</v>
      </c>
      <c r="E346">
        <f>VLOOKUP(CONCATENATE(validProjetado[[#This Row],[Tipo]],validProjetado[[#This Row],[Destino]]),validConcreto!K:O,4)</f>
        <v>17.940000000000001</v>
      </c>
    </row>
    <row r="347" spans="1:5" hidden="1" x14ac:dyDescent="0.25">
      <c r="A347" s="11">
        <v>10</v>
      </c>
      <c r="B347" s="11" t="s">
        <v>2021</v>
      </c>
      <c r="C347" s="11">
        <v>1</v>
      </c>
      <c r="D347" t="s">
        <v>1965</v>
      </c>
      <c r="E347">
        <f>VLOOKUP(CONCATENATE(validProjetado[[#This Row],[Tipo]],validProjetado[[#This Row],[Destino]]),validConcreto!K:O,4)</f>
        <v>13.96</v>
      </c>
    </row>
    <row r="348" spans="1:5" hidden="1" x14ac:dyDescent="0.25">
      <c r="A348" s="11">
        <v>11</v>
      </c>
      <c r="B348" s="11" t="s">
        <v>2021</v>
      </c>
      <c r="C348" s="11">
        <v>2</v>
      </c>
      <c r="D348" t="s">
        <v>1965</v>
      </c>
      <c r="E348">
        <f>VLOOKUP(CONCATENATE(validProjetado[[#This Row],[Tipo]],validProjetado[[#This Row],[Destino]]),validConcreto!K:O,4)</f>
        <v>17.940000000000001</v>
      </c>
    </row>
    <row r="349" spans="1:5" hidden="1" x14ac:dyDescent="0.25">
      <c r="A349" s="11">
        <v>12</v>
      </c>
      <c r="B349" s="11" t="s">
        <v>2021</v>
      </c>
      <c r="C349" s="11">
        <v>1</v>
      </c>
      <c r="D349" t="s">
        <v>1965</v>
      </c>
      <c r="E349">
        <f>VLOOKUP(CONCATENATE(validProjetado[[#This Row],[Tipo]],validProjetado[[#This Row],[Destino]]),validConcreto!K:O,4)</f>
        <v>13.96</v>
      </c>
    </row>
    <row r="350" spans="1:5" hidden="1" x14ac:dyDescent="0.25">
      <c r="A350" s="11">
        <v>13</v>
      </c>
      <c r="B350" s="11" t="s">
        <v>2021</v>
      </c>
      <c r="C350" s="11">
        <v>2</v>
      </c>
      <c r="D350" t="s">
        <v>1965</v>
      </c>
      <c r="E350">
        <f>VLOOKUP(CONCATENATE(validProjetado[[#This Row],[Tipo]],validProjetado[[#This Row],[Destino]]),validConcreto!K:O,4)</f>
        <v>17.940000000000001</v>
      </c>
    </row>
    <row r="351" spans="1:5" hidden="1" x14ac:dyDescent="0.25">
      <c r="A351" s="11">
        <v>14</v>
      </c>
      <c r="B351" s="11" t="s">
        <v>2021</v>
      </c>
      <c r="C351" s="11">
        <v>1</v>
      </c>
      <c r="D351" t="s">
        <v>1965</v>
      </c>
      <c r="E351">
        <f>VLOOKUP(CONCATENATE(validProjetado[[#This Row],[Tipo]],validProjetado[[#This Row],[Destino]]),validConcreto!K:O,4)</f>
        <v>13.96</v>
      </c>
    </row>
    <row r="352" spans="1:5" hidden="1" x14ac:dyDescent="0.25">
      <c r="A352" s="11">
        <v>1</v>
      </c>
      <c r="B352" s="11" t="s">
        <v>2024</v>
      </c>
      <c r="C352" s="11">
        <v>1</v>
      </c>
      <c r="D352" t="s">
        <v>1965</v>
      </c>
      <c r="E352">
        <f>VLOOKUP(CONCATENATE(validProjetado[[#This Row],[Tipo]],validProjetado[[#This Row],[Destino]]),validConcreto!K:O,4)</f>
        <v>13.96</v>
      </c>
    </row>
    <row r="353" spans="1:5" hidden="1" x14ac:dyDescent="0.25">
      <c r="A353" s="11">
        <v>2</v>
      </c>
      <c r="B353" s="11" t="s">
        <v>2024</v>
      </c>
      <c r="C353" s="11">
        <v>1</v>
      </c>
      <c r="D353" t="s">
        <v>1965</v>
      </c>
      <c r="E353">
        <f>VLOOKUP(CONCATENATE(validProjetado[[#This Row],[Tipo]],validProjetado[[#This Row],[Destino]]),validConcreto!K:O,4)</f>
        <v>13.96</v>
      </c>
    </row>
    <row r="354" spans="1:5" hidden="1" x14ac:dyDescent="0.25">
      <c r="A354" s="11">
        <v>3</v>
      </c>
      <c r="B354" s="11" t="s">
        <v>2024</v>
      </c>
      <c r="C354" s="11">
        <v>1</v>
      </c>
      <c r="D354" t="s">
        <v>1965</v>
      </c>
      <c r="E354">
        <f>VLOOKUP(CONCATENATE(validProjetado[[#This Row],[Tipo]],validProjetado[[#This Row],[Destino]]),validConcreto!K:O,4)</f>
        <v>13.96</v>
      </c>
    </row>
    <row r="355" spans="1:5" hidden="1" x14ac:dyDescent="0.25">
      <c r="A355" s="11">
        <v>4</v>
      </c>
      <c r="B355" s="11" t="s">
        <v>2024</v>
      </c>
      <c r="C355" s="11">
        <v>1</v>
      </c>
      <c r="D355" t="s">
        <v>1965</v>
      </c>
      <c r="E355">
        <f>VLOOKUP(CONCATENATE(validProjetado[[#This Row],[Tipo]],validProjetado[[#This Row],[Destino]]),validConcreto!K:O,4)</f>
        <v>13.96</v>
      </c>
    </row>
    <row r="356" spans="1:5" hidden="1" x14ac:dyDescent="0.25">
      <c r="A356" s="11">
        <v>5</v>
      </c>
      <c r="B356" s="11" t="s">
        <v>2024</v>
      </c>
      <c r="C356" s="11">
        <v>1</v>
      </c>
      <c r="D356" t="s">
        <v>1965</v>
      </c>
      <c r="E356">
        <f>VLOOKUP(CONCATENATE(validProjetado[[#This Row],[Tipo]],validProjetado[[#This Row],[Destino]]),validConcreto!K:O,4)</f>
        <v>13.96</v>
      </c>
    </row>
    <row r="357" spans="1:5" hidden="1" x14ac:dyDescent="0.25">
      <c r="A357" s="11">
        <v>6</v>
      </c>
      <c r="B357" s="11" t="s">
        <v>2024</v>
      </c>
      <c r="C357" s="11">
        <v>1</v>
      </c>
      <c r="D357" t="s">
        <v>1965</v>
      </c>
      <c r="E357">
        <f>VLOOKUP(CONCATENATE(validProjetado[[#This Row],[Tipo]],validProjetado[[#This Row],[Destino]]),validConcreto!K:O,4)</f>
        <v>13.96</v>
      </c>
    </row>
    <row r="358" spans="1:5" hidden="1" x14ac:dyDescent="0.25">
      <c r="A358" s="11">
        <v>7</v>
      </c>
      <c r="B358" s="11" t="s">
        <v>2024</v>
      </c>
      <c r="C358" s="11">
        <v>1</v>
      </c>
      <c r="D358" t="s">
        <v>1965</v>
      </c>
      <c r="E358">
        <f>VLOOKUP(CONCATENATE(validProjetado[[#This Row],[Tipo]],validProjetado[[#This Row],[Destino]]),validConcreto!K:O,4)</f>
        <v>13.96</v>
      </c>
    </row>
    <row r="359" spans="1:5" hidden="1" x14ac:dyDescent="0.25">
      <c r="A359" s="11">
        <v>8</v>
      </c>
      <c r="B359" s="11" t="s">
        <v>2024</v>
      </c>
      <c r="C359" s="11">
        <v>1</v>
      </c>
      <c r="D359" t="s">
        <v>1965</v>
      </c>
      <c r="E359">
        <f>VLOOKUP(CONCATENATE(validProjetado[[#This Row],[Tipo]],validProjetado[[#This Row],[Destino]]),validConcreto!K:O,4)</f>
        <v>13.96</v>
      </c>
    </row>
    <row r="360" spans="1:5" hidden="1" x14ac:dyDescent="0.25">
      <c r="A360" s="11">
        <v>9</v>
      </c>
      <c r="B360" s="11" t="s">
        <v>2024</v>
      </c>
      <c r="C360" s="11">
        <v>1</v>
      </c>
      <c r="D360" t="s">
        <v>1965</v>
      </c>
      <c r="E360">
        <f>VLOOKUP(CONCATENATE(validProjetado[[#This Row],[Tipo]],validProjetado[[#This Row],[Destino]]),validConcreto!K:O,4)</f>
        <v>13.96</v>
      </c>
    </row>
    <row r="361" spans="1:5" hidden="1" x14ac:dyDescent="0.25">
      <c r="A361" s="11">
        <v>10</v>
      </c>
      <c r="B361" s="11" t="s">
        <v>2024</v>
      </c>
      <c r="C361" s="11">
        <v>1</v>
      </c>
      <c r="D361" t="s">
        <v>1965</v>
      </c>
      <c r="E361">
        <f>VLOOKUP(CONCATENATE(validProjetado[[#This Row],[Tipo]],validProjetado[[#This Row],[Destino]]),validConcreto!K:O,4)</f>
        <v>13.96</v>
      </c>
    </row>
    <row r="362" spans="1:5" hidden="1" x14ac:dyDescent="0.25">
      <c r="A362" s="11">
        <v>11</v>
      </c>
      <c r="B362" s="11" t="s">
        <v>2024</v>
      </c>
      <c r="C362" s="11">
        <v>1</v>
      </c>
      <c r="D362" t="s">
        <v>1965</v>
      </c>
      <c r="E362">
        <f>VLOOKUP(CONCATENATE(validProjetado[[#This Row],[Tipo]],validProjetado[[#This Row],[Destino]]),validConcreto!K:O,4)</f>
        <v>13.96</v>
      </c>
    </row>
    <row r="363" spans="1:5" hidden="1" x14ac:dyDescent="0.25">
      <c r="A363" s="11">
        <v>12</v>
      </c>
      <c r="B363" s="11" t="s">
        <v>2024</v>
      </c>
      <c r="C363" s="11">
        <v>1</v>
      </c>
      <c r="D363" t="s">
        <v>1965</v>
      </c>
      <c r="E363">
        <f>VLOOKUP(CONCATENATE(validProjetado[[#This Row],[Tipo]],validProjetado[[#This Row],[Destino]]),validConcreto!K:O,4)</f>
        <v>13.96</v>
      </c>
    </row>
    <row r="364" spans="1:5" hidden="1" x14ac:dyDescent="0.25">
      <c r="A364" s="11">
        <v>13</v>
      </c>
      <c r="B364" s="11" t="s">
        <v>2024</v>
      </c>
      <c r="C364" s="11">
        <v>1</v>
      </c>
      <c r="D364" t="s">
        <v>1965</v>
      </c>
      <c r="E364">
        <f>VLOOKUP(CONCATENATE(validProjetado[[#This Row],[Tipo]],validProjetado[[#This Row],[Destino]]),validConcreto!K:O,4)</f>
        <v>13.96</v>
      </c>
    </row>
    <row r="365" spans="1:5" hidden="1" x14ac:dyDescent="0.25">
      <c r="A365" s="11">
        <v>14</v>
      </c>
      <c r="B365" s="11" t="s">
        <v>2024</v>
      </c>
      <c r="C365" s="11">
        <v>1</v>
      </c>
      <c r="D365" t="s">
        <v>1965</v>
      </c>
      <c r="E365">
        <f>VLOOKUP(CONCATENATE(validProjetado[[#This Row],[Tipo]],validProjetado[[#This Row],[Destino]]),validConcreto!K:O,4)</f>
        <v>13.96</v>
      </c>
    </row>
    <row r="366" spans="1:5" hidden="1" x14ac:dyDescent="0.25">
      <c r="A366" s="11">
        <v>15</v>
      </c>
      <c r="B366" s="11" t="s">
        <v>2024</v>
      </c>
      <c r="C366" s="11">
        <v>1</v>
      </c>
      <c r="D366" t="s">
        <v>1965</v>
      </c>
      <c r="E366">
        <f>VLOOKUP(CONCATENATE(validProjetado[[#This Row],[Tipo]],validProjetado[[#This Row],[Destino]]),validConcreto!K:O,4)</f>
        <v>13.96</v>
      </c>
    </row>
    <row r="367" spans="1:5" hidden="1" x14ac:dyDescent="0.25">
      <c r="A367" s="11">
        <v>16</v>
      </c>
      <c r="B367" s="11" t="s">
        <v>2024</v>
      </c>
      <c r="C367" s="11">
        <v>1</v>
      </c>
      <c r="D367" t="s">
        <v>1965</v>
      </c>
      <c r="E367">
        <f>VLOOKUP(CONCATENATE(validProjetado[[#This Row],[Tipo]],validProjetado[[#This Row],[Destino]]),validConcreto!K:O,4)</f>
        <v>13.96</v>
      </c>
    </row>
    <row r="368" spans="1:5" hidden="1" x14ac:dyDescent="0.25">
      <c r="A368" s="11">
        <v>17</v>
      </c>
      <c r="B368" s="11" t="s">
        <v>2024</v>
      </c>
      <c r="C368" s="11">
        <v>1</v>
      </c>
      <c r="D368" t="s">
        <v>1965</v>
      </c>
      <c r="E368">
        <f>VLOOKUP(CONCATENATE(validProjetado[[#This Row],[Tipo]],validProjetado[[#This Row],[Destino]]),validConcreto!K:O,4)</f>
        <v>13.96</v>
      </c>
    </row>
    <row r="369" spans="1:5" hidden="1" x14ac:dyDescent="0.25">
      <c r="A369" s="11">
        <v>18</v>
      </c>
      <c r="B369" s="11" t="s">
        <v>2024</v>
      </c>
      <c r="C369" s="11">
        <v>1</v>
      </c>
      <c r="D369" t="s">
        <v>1965</v>
      </c>
      <c r="E369">
        <f>VLOOKUP(CONCATENATE(validProjetado[[#This Row],[Tipo]],validProjetado[[#This Row],[Destino]]),validConcreto!K:O,4)</f>
        <v>13.96</v>
      </c>
    </row>
    <row r="370" spans="1:5" hidden="1" x14ac:dyDescent="0.25">
      <c r="A370" s="11">
        <v>19</v>
      </c>
      <c r="B370" s="11" t="s">
        <v>2024</v>
      </c>
      <c r="C370" s="11">
        <v>1</v>
      </c>
      <c r="D370" t="s">
        <v>1965</v>
      </c>
      <c r="E370">
        <f>VLOOKUP(CONCATENATE(validProjetado[[#This Row],[Tipo]],validProjetado[[#This Row],[Destino]]),validConcreto!K:O,4)</f>
        <v>13.96</v>
      </c>
    </row>
    <row r="371" spans="1:5" hidden="1" x14ac:dyDescent="0.25">
      <c r="A371" s="11">
        <v>20</v>
      </c>
      <c r="B371" s="11" t="s">
        <v>2024</v>
      </c>
      <c r="C371" s="11">
        <v>1</v>
      </c>
      <c r="D371" t="s">
        <v>1965</v>
      </c>
      <c r="E371">
        <f>VLOOKUP(CONCATENATE(validProjetado[[#This Row],[Tipo]],validProjetado[[#This Row],[Destino]]),validConcreto!K:O,4)</f>
        <v>13.96</v>
      </c>
    </row>
    <row r="372" spans="1:5" hidden="1" x14ac:dyDescent="0.25">
      <c r="A372" s="11">
        <v>21</v>
      </c>
      <c r="B372" s="11" t="s">
        <v>2024</v>
      </c>
      <c r="C372" s="11">
        <v>1</v>
      </c>
      <c r="D372" t="s">
        <v>1965</v>
      </c>
      <c r="E372">
        <f>VLOOKUP(CONCATENATE(validProjetado[[#This Row],[Tipo]],validProjetado[[#This Row],[Destino]]),validConcreto!K:O,4)</f>
        <v>13.96</v>
      </c>
    </row>
    <row r="373" spans="1:5" hidden="1" x14ac:dyDescent="0.25">
      <c r="A373" s="11">
        <v>22</v>
      </c>
      <c r="B373" s="11" t="s">
        <v>2024</v>
      </c>
      <c r="C373" s="11">
        <v>1</v>
      </c>
      <c r="D373" t="s">
        <v>1965</v>
      </c>
      <c r="E373">
        <f>VLOOKUP(CONCATENATE(validProjetado[[#This Row],[Tipo]],validProjetado[[#This Row],[Destino]]),validConcreto!K:O,4)</f>
        <v>13.96</v>
      </c>
    </row>
    <row r="374" spans="1:5" hidden="1" x14ac:dyDescent="0.25">
      <c r="A374" s="11">
        <v>23</v>
      </c>
      <c r="B374" s="11" t="s">
        <v>2024</v>
      </c>
      <c r="C374" s="11">
        <v>1</v>
      </c>
      <c r="D374" t="s">
        <v>1965</v>
      </c>
      <c r="E374">
        <f>VLOOKUP(CONCATENATE(validProjetado[[#This Row],[Tipo]],validProjetado[[#This Row],[Destino]]),validConcreto!K:O,4)</f>
        <v>13.96</v>
      </c>
    </row>
    <row r="375" spans="1:5" hidden="1" x14ac:dyDescent="0.25">
      <c r="A375" s="11">
        <v>24</v>
      </c>
      <c r="B375" s="11" t="s">
        <v>2024</v>
      </c>
      <c r="C375" s="11">
        <v>1</v>
      </c>
      <c r="D375" t="s">
        <v>1965</v>
      </c>
      <c r="E375">
        <f>VLOOKUP(CONCATENATE(validProjetado[[#This Row],[Tipo]],validProjetado[[#This Row],[Destino]]),validConcreto!K:O,4)</f>
        <v>13.96</v>
      </c>
    </row>
    <row r="376" spans="1:5" hidden="1" x14ac:dyDescent="0.25">
      <c r="A376" s="11">
        <v>25</v>
      </c>
      <c r="B376" s="11" t="s">
        <v>2024</v>
      </c>
      <c r="C376" s="11">
        <v>1</v>
      </c>
      <c r="D376" t="s">
        <v>1965</v>
      </c>
      <c r="E376">
        <f>VLOOKUP(CONCATENATE(validProjetado[[#This Row],[Tipo]],validProjetado[[#This Row],[Destino]]),validConcreto!K:O,4)</f>
        <v>13.96</v>
      </c>
    </row>
    <row r="377" spans="1:5" hidden="1" x14ac:dyDescent="0.25">
      <c r="A377" s="11">
        <v>26</v>
      </c>
      <c r="B377" s="11" t="s">
        <v>2024</v>
      </c>
      <c r="C377" s="11">
        <v>1</v>
      </c>
      <c r="D377" t="s">
        <v>1965</v>
      </c>
      <c r="E377">
        <f>VLOOKUP(CONCATENATE(validProjetado[[#This Row],[Tipo]],validProjetado[[#This Row],[Destino]]),validConcreto!K:O,4)</f>
        <v>13.96</v>
      </c>
    </row>
    <row r="378" spans="1:5" hidden="1" x14ac:dyDescent="0.25">
      <c r="A378" s="11">
        <v>27</v>
      </c>
      <c r="B378" s="11" t="s">
        <v>2024</v>
      </c>
      <c r="C378" s="11">
        <v>1</v>
      </c>
      <c r="D378" t="s">
        <v>1965</v>
      </c>
      <c r="E378">
        <f>VLOOKUP(CONCATENATE(validProjetado[[#This Row],[Tipo]],validProjetado[[#This Row],[Destino]]),validConcreto!K:O,4)</f>
        <v>13.96</v>
      </c>
    </row>
    <row r="379" spans="1:5" hidden="1" x14ac:dyDescent="0.25">
      <c r="A379" s="11">
        <v>28</v>
      </c>
      <c r="B379" s="11" t="s">
        <v>2024</v>
      </c>
      <c r="C379" s="11">
        <v>1</v>
      </c>
      <c r="D379" t="s">
        <v>1965</v>
      </c>
      <c r="E379">
        <f>VLOOKUP(CONCATENATE(validProjetado[[#This Row],[Tipo]],validProjetado[[#This Row],[Destino]]),validConcreto!K:O,4)</f>
        <v>13.96</v>
      </c>
    </row>
    <row r="380" spans="1:5" hidden="1" x14ac:dyDescent="0.25">
      <c r="A380" s="11">
        <v>29</v>
      </c>
      <c r="B380" s="11" t="s">
        <v>2024</v>
      </c>
      <c r="C380" s="11">
        <v>1</v>
      </c>
      <c r="D380" t="s">
        <v>1965</v>
      </c>
      <c r="E380">
        <f>VLOOKUP(CONCATENATE(validProjetado[[#This Row],[Tipo]],validProjetado[[#This Row],[Destino]]),validConcreto!K:O,4)</f>
        <v>13.96</v>
      </c>
    </row>
    <row r="381" spans="1:5" hidden="1" x14ac:dyDescent="0.25">
      <c r="A381" s="11">
        <v>30</v>
      </c>
      <c r="B381" s="11" t="s">
        <v>2024</v>
      </c>
      <c r="C381" s="11">
        <v>1</v>
      </c>
      <c r="D381" t="s">
        <v>1965</v>
      </c>
      <c r="E381">
        <f>VLOOKUP(CONCATENATE(validProjetado[[#This Row],[Tipo]],validProjetado[[#This Row],[Destino]]),validConcreto!K:O,4)</f>
        <v>13.96</v>
      </c>
    </row>
    <row r="382" spans="1:5" hidden="1" x14ac:dyDescent="0.25">
      <c r="A382" s="11">
        <v>31</v>
      </c>
      <c r="B382" s="11" t="s">
        <v>2024</v>
      </c>
      <c r="C382" s="11">
        <v>1</v>
      </c>
      <c r="D382" t="s">
        <v>1965</v>
      </c>
      <c r="E382">
        <f>VLOOKUP(CONCATENATE(validProjetado[[#This Row],[Tipo]],validProjetado[[#This Row],[Destino]]),validConcreto!K:O,4)</f>
        <v>13.96</v>
      </c>
    </row>
    <row r="383" spans="1:5" hidden="1" x14ac:dyDescent="0.25">
      <c r="A383" s="11">
        <v>32</v>
      </c>
      <c r="B383" s="11" t="s">
        <v>2024</v>
      </c>
      <c r="C383" s="11">
        <v>1</v>
      </c>
      <c r="D383" t="s">
        <v>1965</v>
      </c>
      <c r="E383">
        <f>VLOOKUP(CONCATENATE(validProjetado[[#This Row],[Tipo]],validProjetado[[#This Row],[Destino]]),validConcreto!K:O,4)</f>
        <v>13.96</v>
      </c>
    </row>
    <row r="384" spans="1:5" x14ac:dyDescent="0.25">
      <c r="A384" s="11">
        <v>1</v>
      </c>
      <c r="B384" s="11" t="s">
        <v>2027</v>
      </c>
      <c r="C384" s="11">
        <v>1</v>
      </c>
      <c r="D384" t="s">
        <v>1965</v>
      </c>
      <c r="E384">
        <f>VLOOKUP(CONCATENATE(validProjetado[[#This Row],[Tipo]],validProjetado[[#This Row],[Destino]]),validConcreto!K:O,4)</f>
        <v>13.96</v>
      </c>
    </row>
    <row r="385" spans="1:5" x14ac:dyDescent="0.25">
      <c r="A385" s="11">
        <v>3</v>
      </c>
      <c r="B385" s="11" t="s">
        <v>2027</v>
      </c>
      <c r="C385" s="11">
        <v>1</v>
      </c>
      <c r="D385" t="s">
        <v>1965</v>
      </c>
      <c r="E385">
        <f>VLOOKUP(CONCATENATE(validProjetado[[#This Row],[Tipo]],validProjetado[[#This Row],[Destino]]),validConcreto!K:O,4)</f>
        <v>13.96</v>
      </c>
    </row>
    <row r="386" spans="1:5" x14ac:dyDescent="0.25">
      <c r="A386" s="11">
        <v>5</v>
      </c>
      <c r="B386" s="11" t="s">
        <v>2027</v>
      </c>
      <c r="C386" s="11">
        <v>1</v>
      </c>
      <c r="D386" t="s">
        <v>1965</v>
      </c>
      <c r="E386">
        <f>VLOOKUP(CONCATENATE(validProjetado[[#This Row],[Tipo]],validProjetado[[#This Row],[Destino]]),validConcreto!K:O,4)</f>
        <v>13.96</v>
      </c>
    </row>
    <row r="387" spans="1:5" x14ac:dyDescent="0.25">
      <c r="A387" s="11">
        <v>7</v>
      </c>
      <c r="B387" s="11" t="s">
        <v>2027</v>
      </c>
      <c r="C387" s="11">
        <v>1</v>
      </c>
      <c r="D387" t="s">
        <v>1965</v>
      </c>
      <c r="E387">
        <f>VLOOKUP(CONCATENATE(validProjetado[[#This Row],[Tipo]],validProjetado[[#This Row],[Destino]]),validConcreto!K:O,4)</f>
        <v>13.96</v>
      </c>
    </row>
    <row r="388" spans="1:5" x14ac:dyDescent="0.25">
      <c r="A388" s="11">
        <v>9</v>
      </c>
      <c r="B388" s="11" t="s">
        <v>2027</v>
      </c>
      <c r="C388" s="11">
        <v>1</v>
      </c>
      <c r="D388" t="s">
        <v>1965</v>
      </c>
      <c r="E388">
        <f>VLOOKUP(CONCATENATE(validProjetado[[#This Row],[Tipo]],validProjetado[[#This Row],[Destino]]),validConcreto!K:O,4)</f>
        <v>13.96</v>
      </c>
    </row>
    <row r="389" spans="1:5" x14ac:dyDescent="0.25">
      <c r="A389" s="11">
        <v>11</v>
      </c>
      <c r="B389" s="11" t="s">
        <v>2027</v>
      </c>
      <c r="C389" s="11">
        <v>1</v>
      </c>
      <c r="D389" t="s">
        <v>1965</v>
      </c>
      <c r="E389">
        <f>VLOOKUP(CONCATENATE(validProjetado[[#This Row],[Tipo]],validProjetado[[#This Row],[Destino]]),validConcreto!K:O,4)</f>
        <v>13.96</v>
      </c>
    </row>
    <row r="390" spans="1:5" x14ac:dyDescent="0.25">
      <c r="A390" s="11">
        <v>13</v>
      </c>
      <c r="B390" s="11" t="s">
        <v>2027</v>
      </c>
      <c r="C390" s="11">
        <v>1</v>
      </c>
      <c r="D390" t="s">
        <v>1965</v>
      </c>
      <c r="E390">
        <f>VLOOKUP(CONCATENATE(validProjetado[[#This Row],[Tipo]],validProjetado[[#This Row],[Destino]]),validConcreto!K:O,4)</f>
        <v>13.96</v>
      </c>
    </row>
    <row r="391" spans="1:5" x14ac:dyDescent="0.25">
      <c r="A391" s="11">
        <v>15</v>
      </c>
      <c r="B391" s="11" t="s">
        <v>2027</v>
      </c>
      <c r="C391" s="11">
        <v>1</v>
      </c>
      <c r="D391" t="s">
        <v>1965</v>
      </c>
      <c r="E391">
        <f>VLOOKUP(CONCATENATE(validProjetado[[#This Row],[Tipo]],validProjetado[[#This Row],[Destino]]),validConcreto!K:O,4)</f>
        <v>13.96</v>
      </c>
    </row>
    <row r="392" spans="1:5" x14ac:dyDescent="0.25">
      <c r="A392" s="11">
        <v>17</v>
      </c>
      <c r="B392" s="11" t="s">
        <v>2027</v>
      </c>
      <c r="C392" s="11">
        <v>1</v>
      </c>
      <c r="D392" t="s">
        <v>1965</v>
      </c>
      <c r="E392">
        <f>VLOOKUP(CONCATENATE(validProjetado[[#This Row],[Tipo]],validProjetado[[#This Row],[Destino]]),validConcreto!K:O,4)</f>
        <v>13.96</v>
      </c>
    </row>
    <row r="393" spans="1:5" x14ac:dyDescent="0.25">
      <c r="A393" s="11">
        <v>19</v>
      </c>
      <c r="B393" s="11" t="s">
        <v>2027</v>
      </c>
      <c r="C393" s="11">
        <v>1</v>
      </c>
      <c r="D393" t="s">
        <v>1965</v>
      </c>
      <c r="E393">
        <f>VLOOKUP(CONCATENATE(validProjetado[[#This Row],[Tipo]],validProjetado[[#This Row],[Destino]]),validConcreto!K:O,4)</f>
        <v>13.96</v>
      </c>
    </row>
    <row r="394" spans="1:5" x14ac:dyDescent="0.25">
      <c r="A394" s="11">
        <v>21</v>
      </c>
      <c r="B394" s="11" t="s">
        <v>2027</v>
      </c>
      <c r="C394" s="11">
        <v>1</v>
      </c>
      <c r="D394" t="s">
        <v>1965</v>
      </c>
      <c r="E394">
        <f>VLOOKUP(CONCATENATE(validProjetado[[#This Row],[Tipo]],validProjetado[[#This Row],[Destino]]),validConcreto!K:O,4)</f>
        <v>13.96</v>
      </c>
    </row>
    <row r="395" spans="1:5" x14ac:dyDescent="0.25">
      <c r="A395" s="11">
        <v>23</v>
      </c>
      <c r="B395" s="11" t="s">
        <v>2027</v>
      </c>
      <c r="C395" s="11">
        <v>1</v>
      </c>
      <c r="D395" t="s">
        <v>1965</v>
      </c>
      <c r="E395">
        <f>VLOOKUP(CONCATENATE(validProjetado[[#This Row],[Tipo]],validProjetado[[#This Row],[Destino]]),validConcreto!K:O,4)</f>
        <v>13.96</v>
      </c>
    </row>
    <row r="396" spans="1:5" x14ac:dyDescent="0.25">
      <c r="A396" s="11">
        <v>27</v>
      </c>
      <c r="B396" s="11" t="s">
        <v>2027</v>
      </c>
      <c r="C396" s="11">
        <v>1</v>
      </c>
      <c r="D396" t="s">
        <v>1965</v>
      </c>
      <c r="E396">
        <f>VLOOKUP(CONCATENATE(validProjetado[[#This Row],[Tipo]],validProjetado[[#This Row],[Destino]]),validConcreto!K:O,4)</f>
        <v>13.96</v>
      </c>
    </row>
    <row r="397" spans="1:5" x14ac:dyDescent="0.25">
      <c r="A397" s="11">
        <v>36</v>
      </c>
      <c r="B397" s="11" t="s">
        <v>2027</v>
      </c>
      <c r="C397" s="11">
        <v>1</v>
      </c>
      <c r="D397" t="s">
        <v>1965</v>
      </c>
      <c r="E397">
        <f>VLOOKUP(CONCATENATE(validProjetado[[#This Row],[Tipo]],validProjetado[[#This Row],[Destino]]),validConcreto!K:O,4)</f>
        <v>13.96</v>
      </c>
    </row>
    <row r="398" spans="1:5" hidden="1" x14ac:dyDescent="0.25">
      <c r="A398" s="11">
        <v>1</v>
      </c>
      <c r="B398" s="11" t="s">
        <v>2030</v>
      </c>
      <c r="C398" s="11">
        <v>1</v>
      </c>
      <c r="D398" t="s">
        <v>1965</v>
      </c>
      <c r="E398">
        <f>VLOOKUP(CONCATENATE(validProjetado[[#This Row],[Tipo]],validProjetado[[#This Row],[Destino]]),validConcreto!K:O,4)</f>
        <v>13.96</v>
      </c>
    </row>
    <row r="399" spans="1:5" hidden="1" x14ac:dyDescent="0.25">
      <c r="A399" s="11">
        <v>2</v>
      </c>
      <c r="B399" s="11" t="s">
        <v>2030</v>
      </c>
      <c r="C399" s="11">
        <v>1</v>
      </c>
      <c r="D399" t="s">
        <v>1965</v>
      </c>
      <c r="E399">
        <f>VLOOKUP(CONCATENATE(validProjetado[[#This Row],[Tipo]],validProjetado[[#This Row],[Destino]]),validConcreto!K:O,4)</f>
        <v>13.96</v>
      </c>
    </row>
    <row r="400" spans="1:5" hidden="1" x14ac:dyDescent="0.25">
      <c r="A400" s="11">
        <v>3</v>
      </c>
      <c r="B400" s="11" t="s">
        <v>2030</v>
      </c>
      <c r="C400" s="11">
        <v>1</v>
      </c>
      <c r="D400" t="s">
        <v>1965</v>
      </c>
      <c r="E400">
        <f>VLOOKUP(CONCATENATE(validProjetado[[#This Row],[Tipo]],validProjetado[[#This Row],[Destino]]),validConcreto!K:O,4)</f>
        <v>13.96</v>
      </c>
    </row>
    <row r="401" spans="1:5" hidden="1" x14ac:dyDescent="0.25">
      <c r="A401" s="11">
        <v>4</v>
      </c>
      <c r="B401" s="11" t="s">
        <v>2030</v>
      </c>
      <c r="C401" s="11">
        <v>1</v>
      </c>
      <c r="D401" t="s">
        <v>1965</v>
      </c>
      <c r="E401">
        <f>VLOOKUP(CONCATENATE(validProjetado[[#This Row],[Tipo]],validProjetado[[#This Row],[Destino]]),validConcreto!K:O,4)</f>
        <v>13.96</v>
      </c>
    </row>
    <row r="402" spans="1:5" hidden="1" x14ac:dyDescent="0.25">
      <c r="A402" s="11">
        <v>5</v>
      </c>
      <c r="B402" s="11" t="s">
        <v>2030</v>
      </c>
      <c r="C402" s="11">
        <v>1</v>
      </c>
      <c r="D402" t="s">
        <v>1965</v>
      </c>
      <c r="E402">
        <f>VLOOKUP(CONCATENATE(validProjetado[[#This Row],[Tipo]],validProjetado[[#This Row],[Destino]]),validConcreto!K:O,4)</f>
        <v>13.96</v>
      </c>
    </row>
    <row r="403" spans="1:5" hidden="1" x14ac:dyDescent="0.25">
      <c r="A403" s="11">
        <v>6</v>
      </c>
      <c r="B403" s="11" t="s">
        <v>2030</v>
      </c>
      <c r="C403" s="11">
        <v>1</v>
      </c>
      <c r="D403" t="s">
        <v>1965</v>
      </c>
      <c r="E403">
        <f>VLOOKUP(CONCATENATE(validProjetado[[#This Row],[Tipo]],validProjetado[[#This Row],[Destino]]),validConcreto!K:O,4)</f>
        <v>13.96</v>
      </c>
    </row>
    <row r="404" spans="1:5" hidden="1" x14ac:dyDescent="0.25">
      <c r="A404" s="11">
        <v>7</v>
      </c>
      <c r="B404" s="11" t="s">
        <v>2030</v>
      </c>
      <c r="C404" s="11">
        <v>1</v>
      </c>
      <c r="D404" t="s">
        <v>1965</v>
      </c>
      <c r="E404">
        <f>VLOOKUP(CONCATENATE(validProjetado[[#This Row],[Tipo]],validProjetado[[#This Row],[Destino]]),validConcreto!K:O,4)</f>
        <v>13.96</v>
      </c>
    </row>
    <row r="405" spans="1:5" hidden="1" x14ac:dyDescent="0.25">
      <c r="A405" s="11">
        <v>8</v>
      </c>
      <c r="B405" s="11" t="s">
        <v>2030</v>
      </c>
      <c r="C405" s="11">
        <v>1</v>
      </c>
      <c r="D405" t="s">
        <v>1965</v>
      </c>
      <c r="E405">
        <f>VLOOKUP(CONCATENATE(validProjetado[[#This Row],[Tipo]],validProjetado[[#This Row],[Destino]]),validConcreto!K:O,4)</f>
        <v>13.96</v>
      </c>
    </row>
    <row r="406" spans="1:5" hidden="1" x14ac:dyDescent="0.25">
      <c r="A406" s="11">
        <v>9</v>
      </c>
      <c r="B406" s="11" t="s">
        <v>2030</v>
      </c>
      <c r="C406" s="11">
        <v>1</v>
      </c>
      <c r="D406" t="s">
        <v>1965</v>
      </c>
      <c r="E406">
        <f>VLOOKUP(CONCATENATE(validProjetado[[#This Row],[Tipo]],validProjetado[[#This Row],[Destino]]),validConcreto!K:O,4)</f>
        <v>13.96</v>
      </c>
    </row>
    <row r="407" spans="1:5" hidden="1" x14ac:dyDescent="0.25">
      <c r="A407" s="11">
        <v>10</v>
      </c>
      <c r="B407" s="11" t="s">
        <v>2030</v>
      </c>
      <c r="C407" s="11">
        <v>1</v>
      </c>
      <c r="D407" t="s">
        <v>1965</v>
      </c>
      <c r="E407">
        <f>VLOOKUP(CONCATENATE(validProjetado[[#This Row],[Tipo]],validProjetado[[#This Row],[Destino]]),validConcreto!K:O,4)</f>
        <v>13.96</v>
      </c>
    </row>
    <row r="408" spans="1:5" hidden="1" x14ac:dyDescent="0.25">
      <c r="A408" s="11">
        <v>11</v>
      </c>
      <c r="B408" s="11" t="s">
        <v>2030</v>
      </c>
      <c r="C408" s="11">
        <v>1</v>
      </c>
      <c r="D408" t="s">
        <v>1965</v>
      </c>
      <c r="E408">
        <f>VLOOKUP(CONCATENATE(validProjetado[[#This Row],[Tipo]],validProjetado[[#This Row],[Destino]]),validConcreto!K:O,4)</f>
        <v>13.96</v>
      </c>
    </row>
    <row r="409" spans="1:5" hidden="1" x14ac:dyDescent="0.25">
      <c r="A409" s="11">
        <v>12</v>
      </c>
      <c r="B409" s="11" t="s">
        <v>2030</v>
      </c>
      <c r="C409" s="11">
        <v>1</v>
      </c>
      <c r="D409" t="s">
        <v>1965</v>
      </c>
      <c r="E409">
        <f>VLOOKUP(CONCATENATE(validProjetado[[#This Row],[Tipo]],validProjetado[[#This Row],[Destino]]),validConcreto!K:O,4)</f>
        <v>13.96</v>
      </c>
    </row>
    <row r="410" spans="1:5" hidden="1" x14ac:dyDescent="0.25">
      <c r="A410" s="11">
        <v>13</v>
      </c>
      <c r="B410" s="11" t="s">
        <v>2030</v>
      </c>
      <c r="C410" s="11">
        <v>1</v>
      </c>
      <c r="D410" t="s">
        <v>1965</v>
      </c>
      <c r="E410">
        <f>VLOOKUP(CONCATENATE(validProjetado[[#This Row],[Tipo]],validProjetado[[#This Row],[Destino]]),validConcreto!K:O,4)</f>
        <v>13.96</v>
      </c>
    </row>
    <row r="411" spans="1:5" hidden="1" x14ac:dyDescent="0.25">
      <c r="A411" s="11">
        <v>14</v>
      </c>
      <c r="B411" s="11" t="s">
        <v>2030</v>
      </c>
      <c r="C411" s="11">
        <v>1</v>
      </c>
      <c r="D411" t="s">
        <v>1965</v>
      </c>
      <c r="E411">
        <f>VLOOKUP(CONCATENATE(validProjetado[[#This Row],[Tipo]],validProjetado[[#This Row],[Destino]]),validConcreto!K:O,4)</f>
        <v>13.96</v>
      </c>
    </row>
    <row r="412" spans="1:5" hidden="1" x14ac:dyDescent="0.25">
      <c r="A412" s="11">
        <v>15</v>
      </c>
      <c r="B412" s="11" t="s">
        <v>2030</v>
      </c>
      <c r="C412" s="11">
        <v>1</v>
      </c>
      <c r="D412" t="s">
        <v>1965</v>
      </c>
      <c r="E412">
        <f>VLOOKUP(CONCATENATE(validProjetado[[#This Row],[Tipo]],validProjetado[[#This Row],[Destino]]),validConcreto!K:O,4)</f>
        <v>13.96</v>
      </c>
    </row>
    <row r="413" spans="1:5" hidden="1" x14ac:dyDescent="0.25">
      <c r="A413" s="11">
        <v>16</v>
      </c>
      <c r="B413" s="11" t="s">
        <v>2030</v>
      </c>
      <c r="C413" s="11">
        <v>1</v>
      </c>
      <c r="D413" t="s">
        <v>1965</v>
      </c>
      <c r="E413">
        <f>VLOOKUP(CONCATENATE(validProjetado[[#This Row],[Tipo]],validProjetado[[#This Row],[Destino]]),validConcreto!K:O,4)</f>
        <v>13.96</v>
      </c>
    </row>
    <row r="414" spans="1:5" hidden="1" x14ac:dyDescent="0.25">
      <c r="A414" s="11">
        <v>17</v>
      </c>
      <c r="B414" s="11" t="s">
        <v>2030</v>
      </c>
      <c r="C414" s="11">
        <v>1</v>
      </c>
      <c r="D414" t="s">
        <v>1965</v>
      </c>
      <c r="E414">
        <f>VLOOKUP(CONCATENATE(validProjetado[[#This Row],[Tipo]],validProjetado[[#This Row],[Destino]]),validConcreto!K:O,4)</f>
        <v>13.96</v>
      </c>
    </row>
    <row r="415" spans="1:5" hidden="1" x14ac:dyDescent="0.25">
      <c r="A415" s="11">
        <v>18</v>
      </c>
      <c r="B415" s="11" t="s">
        <v>2030</v>
      </c>
      <c r="C415" s="11">
        <v>1</v>
      </c>
      <c r="D415" t="s">
        <v>1965</v>
      </c>
      <c r="E415">
        <f>VLOOKUP(CONCATENATE(validProjetado[[#This Row],[Tipo]],validProjetado[[#This Row],[Destino]]),validConcreto!K:O,4)</f>
        <v>13.96</v>
      </c>
    </row>
    <row r="416" spans="1:5" hidden="1" x14ac:dyDescent="0.25">
      <c r="A416" s="11">
        <v>19</v>
      </c>
      <c r="B416" s="11" t="s">
        <v>2030</v>
      </c>
      <c r="C416" s="11">
        <v>1</v>
      </c>
      <c r="D416" t="s">
        <v>1965</v>
      </c>
      <c r="E416">
        <f>VLOOKUP(CONCATENATE(validProjetado[[#This Row],[Tipo]],validProjetado[[#This Row],[Destino]]),validConcreto!K:O,4)</f>
        <v>13.96</v>
      </c>
    </row>
    <row r="417" spans="1:5" hidden="1" x14ac:dyDescent="0.25">
      <c r="A417" s="11">
        <v>1</v>
      </c>
      <c r="B417" s="11" t="s">
        <v>2033</v>
      </c>
      <c r="C417" s="11">
        <v>1</v>
      </c>
      <c r="D417" t="s">
        <v>1965</v>
      </c>
      <c r="E417">
        <f>VLOOKUP(CONCATENATE(validProjetado[[#This Row],[Tipo]],validProjetado[[#This Row],[Destino]]),validConcreto!K:O,4)</f>
        <v>13.96</v>
      </c>
    </row>
    <row r="418" spans="1:5" hidden="1" x14ac:dyDescent="0.25">
      <c r="A418" s="11">
        <v>2</v>
      </c>
      <c r="B418" s="11" t="s">
        <v>2033</v>
      </c>
      <c r="C418" s="11">
        <v>1</v>
      </c>
      <c r="D418" t="s">
        <v>1965</v>
      </c>
      <c r="E418">
        <f>VLOOKUP(CONCATENATE(validProjetado[[#This Row],[Tipo]],validProjetado[[#This Row],[Destino]]),validConcreto!K:O,4)</f>
        <v>13.96</v>
      </c>
    </row>
    <row r="419" spans="1:5" hidden="1" x14ac:dyDescent="0.25">
      <c r="A419" s="11">
        <v>3</v>
      </c>
      <c r="B419" s="11" t="s">
        <v>2033</v>
      </c>
      <c r="C419" s="11">
        <v>1</v>
      </c>
      <c r="D419" t="s">
        <v>1965</v>
      </c>
      <c r="E419">
        <f>VLOOKUP(CONCATENATE(validProjetado[[#This Row],[Tipo]],validProjetado[[#This Row],[Destino]]),validConcreto!K:O,4)</f>
        <v>13.96</v>
      </c>
    </row>
    <row r="420" spans="1:5" hidden="1" x14ac:dyDescent="0.25">
      <c r="A420" s="11">
        <v>4</v>
      </c>
      <c r="B420" s="11" t="s">
        <v>2033</v>
      </c>
      <c r="C420" s="11">
        <v>1</v>
      </c>
      <c r="D420" t="s">
        <v>1965</v>
      </c>
      <c r="E420">
        <f>VLOOKUP(CONCATENATE(validProjetado[[#This Row],[Tipo]],validProjetado[[#This Row],[Destino]]),validConcreto!K:O,4)</f>
        <v>13.96</v>
      </c>
    </row>
    <row r="421" spans="1:5" hidden="1" x14ac:dyDescent="0.25">
      <c r="A421" s="11">
        <v>5</v>
      </c>
      <c r="B421" s="11" t="s">
        <v>2033</v>
      </c>
      <c r="C421" s="11">
        <v>1</v>
      </c>
      <c r="D421" t="s">
        <v>1965</v>
      </c>
      <c r="E421">
        <f>VLOOKUP(CONCATENATE(validProjetado[[#This Row],[Tipo]],validProjetado[[#This Row],[Destino]]),validConcreto!K:O,4)</f>
        <v>13.96</v>
      </c>
    </row>
    <row r="422" spans="1:5" hidden="1" x14ac:dyDescent="0.25">
      <c r="A422" s="11">
        <v>6</v>
      </c>
      <c r="B422" s="11" t="s">
        <v>2033</v>
      </c>
      <c r="C422" s="11">
        <v>1</v>
      </c>
      <c r="D422" t="s">
        <v>1965</v>
      </c>
      <c r="E422">
        <f>VLOOKUP(CONCATENATE(validProjetado[[#This Row],[Tipo]],validProjetado[[#This Row],[Destino]]),validConcreto!K:O,4)</f>
        <v>13.96</v>
      </c>
    </row>
    <row r="423" spans="1:5" hidden="1" x14ac:dyDescent="0.25">
      <c r="A423" s="11">
        <v>7</v>
      </c>
      <c r="B423" s="11" t="s">
        <v>2033</v>
      </c>
      <c r="C423" s="11">
        <v>1</v>
      </c>
      <c r="D423" t="s">
        <v>1965</v>
      </c>
      <c r="E423">
        <f>VLOOKUP(CONCATENATE(validProjetado[[#This Row],[Tipo]],validProjetado[[#This Row],[Destino]]),validConcreto!K:O,4)</f>
        <v>13.96</v>
      </c>
    </row>
    <row r="424" spans="1:5" hidden="1" x14ac:dyDescent="0.25">
      <c r="A424" s="11">
        <v>8</v>
      </c>
      <c r="B424" s="11" t="s">
        <v>2033</v>
      </c>
      <c r="C424" s="11">
        <v>1</v>
      </c>
      <c r="D424" t="s">
        <v>1965</v>
      </c>
      <c r="E424">
        <f>VLOOKUP(CONCATENATE(validProjetado[[#This Row],[Tipo]],validProjetado[[#This Row],[Destino]]),validConcreto!K:O,4)</f>
        <v>13.96</v>
      </c>
    </row>
    <row r="425" spans="1:5" hidden="1" x14ac:dyDescent="0.25">
      <c r="A425" s="11">
        <v>9</v>
      </c>
      <c r="B425" s="11" t="s">
        <v>2033</v>
      </c>
      <c r="C425" s="11">
        <v>1</v>
      </c>
      <c r="D425" t="s">
        <v>1965</v>
      </c>
      <c r="E425">
        <f>VLOOKUP(CONCATENATE(validProjetado[[#This Row],[Tipo]],validProjetado[[#This Row],[Destino]]),validConcreto!K:O,4)</f>
        <v>13.96</v>
      </c>
    </row>
    <row r="426" spans="1:5" hidden="1" x14ac:dyDescent="0.25">
      <c r="A426" s="11">
        <v>10</v>
      </c>
      <c r="B426" s="11" t="s">
        <v>2033</v>
      </c>
      <c r="C426" s="11">
        <v>1</v>
      </c>
      <c r="D426" t="s">
        <v>1965</v>
      </c>
      <c r="E426">
        <f>VLOOKUP(CONCATENATE(validProjetado[[#This Row],[Tipo]],validProjetado[[#This Row],[Destino]]),validConcreto!K:O,4)</f>
        <v>13.96</v>
      </c>
    </row>
    <row r="427" spans="1:5" hidden="1" x14ac:dyDescent="0.25">
      <c r="A427" s="11">
        <v>11</v>
      </c>
      <c r="B427" s="11" t="s">
        <v>2033</v>
      </c>
      <c r="C427" s="11">
        <v>1</v>
      </c>
      <c r="D427" t="s">
        <v>1965</v>
      </c>
      <c r="E427">
        <f>VLOOKUP(CONCATENATE(validProjetado[[#This Row],[Tipo]],validProjetado[[#This Row],[Destino]]),validConcreto!K:O,4)</f>
        <v>13.96</v>
      </c>
    </row>
    <row r="428" spans="1:5" hidden="1" x14ac:dyDescent="0.25">
      <c r="A428" s="11">
        <v>12</v>
      </c>
      <c r="B428" s="11" t="s">
        <v>2033</v>
      </c>
      <c r="C428" s="11">
        <v>1</v>
      </c>
      <c r="D428" t="s">
        <v>1965</v>
      </c>
      <c r="E428">
        <f>VLOOKUP(CONCATENATE(validProjetado[[#This Row],[Tipo]],validProjetado[[#This Row],[Destino]]),validConcreto!K:O,4)</f>
        <v>13.96</v>
      </c>
    </row>
    <row r="429" spans="1:5" hidden="1" x14ac:dyDescent="0.25">
      <c r="A429" s="11">
        <v>13</v>
      </c>
      <c r="B429" s="11" t="s">
        <v>2033</v>
      </c>
      <c r="C429" s="11">
        <v>1</v>
      </c>
      <c r="D429" t="s">
        <v>1965</v>
      </c>
      <c r="E429">
        <f>VLOOKUP(CONCATENATE(validProjetado[[#This Row],[Tipo]],validProjetado[[#This Row],[Destino]]),validConcreto!K:O,4)</f>
        <v>13.96</v>
      </c>
    </row>
    <row r="430" spans="1:5" hidden="1" x14ac:dyDescent="0.25">
      <c r="A430" s="11">
        <v>14</v>
      </c>
      <c r="B430" s="11" t="s">
        <v>2033</v>
      </c>
      <c r="C430" s="11">
        <v>1</v>
      </c>
      <c r="D430" t="s">
        <v>1965</v>
      </c>
      <c r="E430">
        <f>VLOOKUP(CONCATENATE(validProjetado[[#This Row],[Tipo]],validProjetado[[#This Row],[Destino]]),validConcreto!K:O,4)</f>
        <v>13.96</v>
      </c>
    </row>
    <row r="431" spans="1:5" hidden="1" x14ac:dyDescent="0.25">
      <c r="A431" s="11">
        <v>15</v>
      </c>
      <c r="B431" s="11" t="s">
        <v>2033</v>
      </c>
      <c r="C431" s="11">
        <v>1</v>
      </c>
      <c r="D431" t="s">
        <v>1965</v>
      </c>
      <c r="E431">
        <f>VLOOKUP(CONCATENATE(validProjetado[[#This Row],[Tipo]],validProjetado[[#This Row],[Destino]]),validConcreto!K:O,4)</f>
        <v>13.96</v>
      </c>
    </row>
    <row r="432" spans="1:5" hidden="1" x14ac:dyDescent="0.25">
      <c r="A432" s="11">
        <v>16</v>
      </c>
      <c r="B432" s="11" t="s">
        <v>2033</v>
      </c>
      <c r="C432" s="11">
        <v>1</v>
      </c>
      <c r="D432" t="s">
        <v>1965</v>
      </c>
      <c r="E432">
        <f>VLOOKUP(CONCATENATE(validProjetado[[#This Row],[Tipo]],validProjetado[[#This Row],[Destino]]),validConcreto!K:O,4)</f>
        <v>13.96</v>
      </c>
    </row>
    <row r="433" spans="1:5" hidden="1" x14ac:dyDescent="0.25">
      <c r="A433" s="11">
        <v>17</v>
      </c>
      <c r="B433" s="11" t="s">
        <v>2033</v>
      </c>
      <c r="C433" s="11">
        <v>1</v>
      </c>
      <c r="D433" t="s">
        <v>1965</v>
      </c>
      <c r="E433">
        <f>VLOOKUP(CONCATENATE(validProjetado[[#This Row],[Tipo]],validProjetado[[#This Row],[Destino]]),validConcreto!K:O,4)</f>
        <v>13.96</v>
      </c>
    </row>
    <row r="434" spans="1:5" hidden="1" x14ac:dyDescent="0.25">
      <c r="A434" s="11">
        <v>18</v>
      </c>
      <c r="B434" s="11" t="s">
        <v>2033</v>
      </c>
      <c r="C434" s="11">
        <v>1</v>
      </c>
      <c r="D434" t="s">
        <v>1965</v>
      </c>
      <c r="E434">
        <f>VLOOKUP(CONCATENATE(validProjetado[[#This Row],[Tipo]],validProjetado[[#This Row],[Destino]]),validConcreto!K:O,4)</f>
        <v>13.96</v>
      </c>
    </row>
    <row r="435" spans="1:5" hidden="1" x14ac:dyDescent="0.25">
      <c r="A435" s="11">
        <v>19</v>
      </c>
      <c r="B435" s="11" t="s">
        <v>2033</v>
      </c>
      <c r="C435" s="11">
        <v>1</v>
      </c>
      <c r="D435" t="s">
        <v>1965</v>
      </c>
      <c r="E435">
        <f>VLOOKUP(CONCATENATE(validProjetado[[#This Row],[Tipo]],validProjetado[[#This Row],[Destino]]),validConcreto!K:O,4)</f>
        <v>13.96</v>
      </c>
    </row>
    <row r="436" spans="1:5" hidden="1" x14ac:dyDescent="0.25">
      <c r="A436" s="11">
        <v>20</v>
      </c>
      <c r="B436" s="11" t="s">
        <v>2033</v>
      </c>
      <c r="C436" s="11">
        <v>1</v>
      </c>
      <c r="D436" t="s">
        <v>1965</v>
      </c>
      <c r="E436">
        <f>VLOOKUP(CONCATENATE(validProjetado[[#This Row],[Tipo]],validProjetado[[#This Row],[Destino]]),validConcreto!K:O,4)</f>
        <v>13.96</v>
      </c>
    </row>
    <row r="437" spans="1:5" hidden="1" x14ac:dyDescent="0.25">
      <c r="A437" s="11">
        <v>21</v>
      </c>
      <c r="B437" s="11" t="s">
        <v>2033</v>
      </c>
      <c r="C437" s="11">
        <v>1</v>
      </c>
      <c r="D437" t="s">
        <v>1965</v>
      </c>
      <c r="E437">
        <f>VLOOKUP(CONCATENATE(validProjetado[[#This Row],[Tipo]],validProjetado[[#This Row],[Destino]]),validConcreto!K:O,4)</f>
        <v>13.96</v>
      </c>
    </row>
    <row r="438" spans="1:5" hidden="1" x14ac:dyDescent="0.25">
      <c r="A438" s="11">
        <v>22</v>
      </c>
      <c r="B438" s="11" t="s">
        <v>2033</v>
      </c>
      <c r="C438" s="11">
        <v>1</v>
      </c>
      <c r="D438" t="s">
        <v>1965</v>
      </c>
      <c r="E438">
        <f>VLOOKUP(CONCATENATE(validProjetado[[#This Row],[Tipo]],validProjetado[[#This Row],[Destino]]),validConcreto!K:O,4)</f>
        <v>13.96</v>
      </c>
    </row>
    <row r="439" spans="1:5" hidden="1" x14ac:dyDescent="0.25">
      <c r="A439" s="11">
        <v>23</v>
      </c>
      <c r="B439" s="11" t="s">
        <v>2033</v>
      </c>
      <c r="C439" s="11">
        <v>2</v>
      </c>
      <c r="D439" t="s">
        <v>1965</v>
      </c>
      <c r="E439">
        <f>VLOOKUP(CONCATENATE(validProjetado[[#This Row],[Tipo]],validProjetado[[#This Row],[Destino]]),validConcreto!K:O,4)</f>
        <v>17.940000000000001</v>
      </c>
    </row>
    <row r="440" spans="1:5" hidden="1" x14ac:dyDescent="0.25">
      <c r="A440" s="11">
        <v>24</v>
      </c>
      <c r="B440" s="11" t="s">
        <v>2033</v>
      </c>
      <c r="C440" s="11">
        <v>1</v>
      </c>
      <c r="D440" t="s">
        <v>1965</v>
      </c>
      <c r="E440">
        <f>VLOOKUP(CONCATENATE(validProjetado[[#This Row],[Tipo]],validProjetado[[#This Row],[Destino]]),validConcreto!K:O,4)</f>
        <v>13.96</v>
      </c>
    </row>
    <row r="441" spans="1:5" hidden="1" x14ac:dyDescent="0.25">
      <c r="A441" s="11">
        <v>25</v>
      </c>
      <c r="B441" s="11" t="s">
        <v>2033</v>
      </c>
      <c r="C441" s="11">
        <v>2</v>
      </c>
      <c r="D441" t="s">
        <v>1965</v>
      </c>
      <c r="E441">
        <f>VLOOKUP(CONCATENATE(validProjetado[[#This Row],[Tipo]],validProjetado[[#This Row],[Destino]]),validConcreto!K:O,4)</f>
        <v>17.940000000000001</v>
      </c>
    </row>
    <row r="442" spans="1:5" hidden="1" x14ac:dyDescent="0.25">
      <c r="A442" s="11">
        <v>26</v>
      </c>
      <c r="B442" s="11" t="s">
        <v>2033</v>
      </c>
      <c r="C442" s="11">
        <v>1</v>
      </c>
      <c r="D442" t="s">
        <v>1965</v>
      </c>
      <c r="E442">
        <f>VLOOKUP(CONCATENATE(validProjetado[[#This Row],[Tipo]],validProjetado[[#This Row],[Destino]]),validConcreto!K:O,4)</f>
        <v>13.96</v>
      </c>
    </row>
    <row r="443" spans="1:5" hidden="1" x14ac:dyDescent="0.25">
      <c r="A443" s="11">
        <v>27</v>
      </c>
      <c r="B443" s="11" t="s">
        <v>2033</v>
      </c>
      <c r="C443" s="11">
        <v>2</v>
      </c>
      <c r="D443" t="s">
        <v>1965</v>
      </c>
      <c r="E443">
        <f>VLOOKUP(CONCATENATE(validProjetado[[#This Row],[Tipo]],validProjetado[[#This Row],[Destino]]),validConcreto!K:O,4)</f>
        <v>17.940000000000001</v>
      </c>
    </row>
    <row r="444" spans="1:5" hidden="1" x14ac:dyDescent="0.25">
      <c r="A444" s="11">
        <v>28</v>
      </c>
      <c r="B444" s="11" t="s">
        <v>2033</v>
      </c>
      <c r="C444" s="11">
        <v>1</v>
      </c>
      <c r="D444" t="s">
        <v>1965</v>
      </c>
      <c r="E444">
        <f>VLOOKUP(CONCATENATE(validProjetado[[#This Row],[Tipo]],validProjetado[[#This Row],[Destino]]),validConcreto!K:O,4)</f>
        <v>13.96</v>
      </c>
    </row>
    <row r="445" spans="1:5" hidden="1" x14ac:dyDescent="0.25">
      <c r="A445" s="11">
        <v>29</v>
      </c>
      <c r="B445" s="11" t="s">
        <v>2033</v>
      </c>
      <c r="C445" s="11">
        <v>2</v>
      </c>
      <c r="D445" t="s">
        <v>1965</v>
      </c>
      <c r="E445">
        <f>VLOOKUP(CONCATENATE(validProjetado[[#This Row],[Tipo]],validProjetado[[#This Row],[Destino]]),validConcreto!K:O,4)</f>
        <v>17.940000000000001</v>
      </c>
    </row>
    <row r="446" spans="1:5" hidden="1" x14ac:dyDescent="0.25">
      <c r="A446" s="11">
        <v>30</v>
      </c>
      <c r="B446" s="11" t="s">
        <v>2033</v>
      </c>
      <c r="C446" s="11">
        <v>1</v>
      </c>
      <c r="D446" t="s">
        <v>1965</v>
      </c>
      <c r="E446">
        <f>VLOOKUP(CONCATENATE(validProjetado[[#This Row],[Tipo]],validProjetado[[#This Row],[Destino]]),validConcreto!K:O,4)</f>
        <v>13.96</v>
      </c>
    </row>
    <row r="447" spans="1:5" hidden="1" x14ac:dyDescent="0.25">
      <c r="A447" s="11">
        <v>31</v>
      </c>
      <c r="B447" s="11" t="s">
        <v>2033</v>
      </c>
      <c r="C447" s="11">
        <v>2</v>
      </c>
      <c r="D447" t="s">
        <v>1965</v>
      </c>
      <c r="E447">
        <f>VLOOKUP(CONCATENATE(validProjetado[[#This Row],[Tipo]],validProjetado[[#This Row],[Destino]]),validConcreto!K:O,4)</f>
        <v>17.940000000000001</v>
      </c>
    </row>
    <row r="448" spans="1:5" hidden="1" x14ac:dyDescent="0.25">
      <c r="A448" s="11">
        <v>32</v>
      </c>
      <c r="B448" s="11" t="s">
        <v>2033</v>
      </c>
      <c r="C448" s="11">
        <v>1</v>
      </c>
      <c r="D448" t="s">
        <v>1965</v>
      </c>
      <c r="E448">
        <f>VLOOKUP(CONCATENATE(validProjetado[[#This Row],[Tipo]],validProjetado[[#This Row],[Destino]]),validConcreto!K:O,4)</f>
        <v>13.96</v>
      </c>
    </row>
    <row r="449" spans="1:5" hidden="1" x14ac:dyDescent="0.25">
      <c r="A449" s="11">
        <v>33</v>
      </c>
      <c r="B449" s="11" t="s">
        <v>2033</v>
      </c>
      <c r="C449" s="11">
        <v>2</v>
      </c>
      <c r="D449" t="s">
        <v>1965</v>
      </c>
      <c r="E449">
        <f>VLOOKUP(CONCATENATE(validProjetado[[#This Row],[Tipo]],validProjetado[[#This Row],[Destino]]),validConcreto!K:O,4)</f>
        <v>17.940000000000001</v>
      </c>
    </row>
    <row r="450" spans="1:5" hidden="1" x14ac:dyDescent="0.25">
      <c r="A450" s="11">
        <v>34</v>
      </c>
      <c r="B450" s="11" t="s">
        <v>2033</v>
      </c>
      <c r="C450" s="11">
        <v>1</v>
      </c>
      <c r="D450" t="s">
        <v>1965</v>
      </c>
      <c r="E450">
        <f>VLOOKUP(CONCATENATE(validProjetado[[#This Row],[Tipo]],validProjetado[[#This Row],[Destino]]),validConcreto!K:O,4)</f>
        <v>13.96</v>
      </c>
    </row>
    <row r="451" spans="1:5" hidden="1" x14ac:dyDescent="0.25">
      <c r="A451" s="11">
        <v>35</v>
      </c>
      <c r="B451" s="11" t="s">
        <v>2033</v>
      </c>
      <c r="C451" s="11">
        <v>2</v>
      </c>
      <c r="D451" t="s">
        <v>1965</v>
      </c>
      <c r="E451">
        <f>VLOOKUP(CONCATENATE(validProjetado[[#This Row],[Tipo]],validProjetado[[#This Row],[Destino]]),validConcreto!K:O,4)</f>
        <v>17.940000000000001</v>
      </c>
    </row>
    <row r="452" spans="1:5" hidden="1" x14ac:dyDescent="0.25">
      <c r="A452" s="11">
        <v>36</v>
      </c>
      <c r="B452" s="11" t="s">
        <v>2033</v>
      </c>
      <c r="C452" s="11">
        <v>1</v>
      </c>
      <c r="D452" t="s">
        <v>1965</v>
      </c>
      <c r="E452">
        <f>VLOOKUP(CONCATENATE(validProjetado[[#This Row],[Tipo]],validProjetado[[#This Row],[Destino]]),validConcreto!K:O,4)</f>
        <v>13.96</v>
      </c>
    </row>
    <row r="453" spans="1:5" hidden="1" x14ac:dyDescent="0.25">
      <c r="A453" s="11">
        <v>37</v>
      </c>
      <c r="B453" s="11" t="s">
        <v>2033</v>
      </c>
      <c r="C453" s="11">
        <v>1</v>
      </c>
      <c r="D453" t="s">
        <v>1965</v>
      </c>
      <c r="E453">
        <f>VLOOKUP(CONCATENATE(validProjetado[[#This Row],[Tipo]],validProjetado[[#This Row],[Destino]]),validConcreto!K:O,4)</f>
        <v>13.96</v>
      </c>
    </row>
    <row r="454" spans="1:5" hidden="1" x14ac:dyDescent="0.25">
      <c r="A454" s="11">
        <v>38</v>
      </c>
      <c r="B454" s="11" t="s">
        <v>2033</v>
      </c>
      <c r="C454" s="11">
        <v>2</v>
      </c>
      <c r="D454" t="s">
        <v>1965</v>
      </c>
      <c r="E454">
        <f>VLOOKUP(CONCATENATE(validProjetado[[#This Row],[Tipo]],validProjetado[[#This Row],[Destino]]),validConcreto!K:O,4)</f>
        <v>17.940000000000001</v>
      </c>
    </row>
    <row r="455" spans="1:5" hidden="1" x14ac:dyDescent="0.25">
      <c r="A455" s="11">
        <v>1</v>
      </c>
      <c r="B455" s="11" t="s">
        <v>2036</v>
      </c>
      <c r="C455" s="11">
        <v>1</v>
      </c>
      <c r="D455" t="s">
        <v>1965</v>
      </c>
      <c r="E455">
        <f>VLOOKUP(CONCATENATE(validProjetado[[#This Row],[Tipo]],validProjetado[[#This Row],[Destino]]),validConcreto!K:O,4)</f>
        <v>13.96</v>
      </c>
    </row>
    <row r="456" spans="1:5" hidden="1" x14ac:dyDescent="0.25">
      <c r="A456" s="11">
        <v>2</v>
      </c>
      <c r="B456" s="11" t="s">
        <v>2036</v>
      </c>
      <c r="C456" s="11">
        <v>1</v>
      </c>
      <c r="D456" t="s">
        <v>1965</v>
      </c>
      <c r="E456">
        <f>VLOOKUP(CONCATENATE(validProjetado[[#This Row],[Tipo]],validProjetado[[#This Row],[Destino]]),validConcreto!K:O,4)</f>
        <v>13.96</v>
      </c>
    </row>
    <row r="457" spans="1:5" hidden="1" x14ac:dyDescent="0.25">
      <c r="A457" s="11">
        <v>3</v>
      </c>
      <c r="B457" s="11" t="s">
        <v>2036</v>
      </c>
      <c r="C457" s="11">
        <v>1</v>
      </c>
      <c r="D457" t="s">
        <v>1965</v>
      </c>
      <c r="E457">
        <f>VLOOKUP(CONCATENATE(validProjetado[[#This Row],[Tipo]],validProjetado[[#This Row],[Destino]]),validConcreto!K:O,4)</f>
        <v>13.96</v>
      </c>
    </row>
    <row r="458" spans="1:5" hidden="1" x14ac:dyDescent="0.25">
      <c r="A458" s="11">
        <v>4</v>
      </c>
      <c r="B458" s="11" t="s">
        <v>2036</v>
      </c>
      <c r="C458" s="11">
        <v>1</v>
      </c>
      <c r="D458" t="s">
        <v>1965</v>
      </c>
      <c r="E458">
        <f>VLOOKUP(CONCATENATE(validProjetado[[#This Row],[Tipo]],validProjetado[[#This Row],[Destino]]),validConcreto!K:O,4)</f>
        <v>13.96</v>
      </c>
    </row>
    <row r="459" spans="1:5" hidden="1" x14ac:dyDescent="0.25">
      <c r="A459" s="11">
        <v>5</v>
      </c>
      <c r="B459" s="11" t="s">
        <v>2036</v>
      </c>
      <c r="C459" s="11">
        <v>1</v>
      </c>
      <c r="D459" t="s">
        <v>1965</v>
      </c>
      <c r="E459">
        <f>VLOOKUP(CONCATENATE(validProjetado[[#This Row],[Tipo]],validProjetado[[#This Row],[Destino]]),validConcreto!K:O,4)</f>
        <v>13.96</v>
      </c>
    </row>
    <row r="460" spans="1:5" hidden="1" x14ac:dyDescent="0.25">
      <c r="A460" s="11">
        <v>6</v>
      </c>
      <c r="B460" s="11" t="s">
        <v>2036</v>
      </c>
      <c r="C460" s="11">
        <v>1</v>
      </c>
      <c r="D460" t="s">
        <v>1965</v>
      </c>
      <c r="E460">
        <f>VLOOKUP(CONCATENATE(validProjetado[[#This Row],[Tipo]],validProjetado[[#This Row],[Destino]]),validConcreto!K:O,4)</f>
        <v>13.96</v>
      </c>
    </row>
    <row r="461" spans="1:5" hidden="1" x14ac:dyDescent="0.25">
      <c r="A461" s="11">
        <v>7</v>
      </c>
      <c r="B461" s="11" t="s">
        <v>2036</v>
      </c>
      <c r="C461" s="11">
        <v>1</v>
      </c>
      <c r="D461" t="s">
        <v>1965</v>
      </c>
      <c r="E461">
        <f>VLOOKUP(CONCATENATE(validProjetado[[#This Row],[Tipo]],validProjetado[[#This Row],[Destino]]),validConcreto!K:O,4)</f>
        <v>13.96</v>
      </c>
    </row>
    <row r="462" spans="1:5" hidden="1" x14ac:dyDescent="0.25">
      <c r="A462" s="11">
        <v>8</v>
      </c>
      <c r="B462" s="11" t="s">
        <v>2036</v>
      </c>
      <c r="C462" s="11">
        <v>1</v>
      </c>
      <c r="D462" t="s">
        <v>1965</v>
      </c>
      <c r="E462">
        <f>VLOOKUP(CONCATENATE(validProjetado[[#This Row],[Tipo]],validProjetado[[#This Row],[Destino]]),validConcreto!K:O,4)</f>
        <v>13.96</v>
      </c>
    </row>
    <row r="463" spans="1:5" hidden="1" x14ac:dyDescent="0.25">
      <c r="A463" s="11">
        <v>9</v>
      </c>
      <c r="B463" s="11" t="s">
        <v>2036</v>
      </c>
      <c r="C463" s="11">
        <v>1</v>
      </c>
      <c r="D463" t="s">
        <v>1965</v>
      </c>
      <c r="E463">
        <f>VLOOKUP(CONCATENATE(validProjetado[[#This Row],[Tipo]],validProjetado[[#This Row],[Destino]]),validConcreto!K:O,4)</f>
        <v>13.96</v>
      </c>
    </row>
    <row r="464" spans="1:5" hidden="1" x14ac:dyDescent="0.25">
      <c r="A464" s="11">
        <v>10</v>
      </c>
      <c r="B464" s="11" t="s">
        <v>2036</v>
      </c>
      <c r="C464" s="11">
        <v>1</v>
      </c>
      <c r="D464" t="s">
        <v>1965</v>
      </c>
      <c r="E464">
        <f>VLOOKUP(CONCATENATE(validProjetado[[#This Row],[Tipo]],validProjetado[[#This Row],[Destino]]),validConcreto!K:O,4)</f>
        <v>13.96</v>
      </c>
    </row>
    <row r="465" spans="1:5" hidden="1" x14ac:dyDescent="0.25">
      <c r="A465" s="11">
        <v>11</v>
      </c>
      <c r="B465" s="11" t="s">
        <v>2036</v>
      </c>
      <c r="C465" s="11">
        <v>1</v>
      </c>
      <c r="D465" t="s">
        <v>1965</v>
      </c>
      <c r="E465">
        <f>VLOOKUP(CONCATENATE(validProjetado[[#This Row],[Tipo]],validProjetado[[#This Row],[Destino]]),validConcreto!K:O,4)</f>
        <v>13.96</v>
      </c>
    </row>
    <row r="466" spans="1:5" hidden="1" x14ac:dyDescent="0.25">
      <c r="A466" s="11">
        <v>12</v>
      </c>
      <c r="B466" s="11" t="s">
        <v>2036</v>
      </c>
      <c r="C466" s="11">
        <v>1</v>
      </c>
      <c r="D466" t="s">
        <v>1965</v>
      </c>
      <c r="E466">
        <f>VLOOKUP(CONCATENATE(validProjetado[[#This Row],[Tipo]],validProjetado[[#This Row],[Destino]]),validConcreto!K:O,4)</f>
        <v>13.96</v>
      </c>
    </row>
    <row r="467" spans="1:5" hidden="1" x14ac:dyDescent="0.25">
      <c r="A467" s="11">
        <v>13</v>
      </c>
      <c r="B467" s="11" t="s">
        <v>2036</v>
      </c>
      <c r="C467" s="11">
        <v>1</v>
      </c>
      <c r="D467" t="s">
        <v>1965</v>
      </c>
      <c r="E467">
        <f>VLOOKUP(CONCATENATE(validProjetado[[#This Row],[Tipo]],validProjetado[[#This Row],[Destino]]),validConcreto!K:O,4)</f>
        <v>13.96</v>
      </c>
    </row>
    <row r="468" spans="1:5" hidden="1" x14ac:dyDescent="0.25">
      <c r="A468" s="11">
        <v>14</v>
      </c>
      <c r="B468" s="11" t="s">
        <v>2036</v>
      </c>
      <c r="C468" s="11">
        <v>1</v>
      </c>
      <c r="D468" t="s">
        <v>1965</v>
      </c>
      <c r="E468">
        <f>VLOOKUP(CONCATENATE(validProjetado[[#This Row],[Tipo]],validProjetado[[#This Row],[Destino]]),validConcreto!K:O,4)</f>
        <v>13.96</v>
      </c>
    </row>
    <row r="469" spans="1:5" hidden="1" x14ac:dyDescent="0.25">
      <c r="A469" s="11">
        <v>15</v>
      </c>
      <c r="B469" s="11" t="s">
        <v>2036</v>
      </c>
      <c r="C469" s="11">
        <v>1</v>
      </c>
      <c r="D469" t="s">
        <v>1965</v>
      </c>
      <c r="E469">
        <f>VLOOKUP(CONCATENATE(validProjetado[[#This Row],[Tipo]],validProjetado[[#This Row],[Destino]]),validConcreto!K:O,4)</f>
        <v>13.96</v>
      </c>
    </row>
    <row r="470" spans="1:5" hidden="1" x14ac:dyDescent="0.25">
      <c r="A470" s="11">
        <v>16</v>
      </c>
      <c r="B470" s="11" t="s">
        <v>2036</v>
      </c>
      <c r="C470" s="11">
        <v>1</v>
      </c>
      <c r="D470" t="s">
        <v>1965</v>
      </c>
      <c r="E470">
        <f>VLOOKUP(CONCATENATE(validProjetado[[#This Row],[Tipo]],validProjetado[[#This Row],[Destino]]),validConcreto!K:O,4)</f>
        <v>13.96</v>
      </c>
    </row>
    <row r="471" spans="1:5" hidden="1" x14ac:dyDescent="0.25">
      <c r="A471" s="11">
        <v>17</v>
      </c>
      <c r="B471" s="11" t="s">
        <v>2036</v>
      </c>
      <c r="C471" s="11">
        <v>1</v>
      </c>
      <c r="D471" t="s">
        <v>1965</v>
      </c>
      <c r="E471">
        <f>VLOOKUP(CONCATENATE(validProjetado[[#This Row],[Tipo]],validProjetado[[#This Row],[Destino]]),validConcreto!K:O,4)</f>
        <v>13.96</v>
      </c>
    </row>
    <row r="472" spans="1:5" hidden="1" x14ac:dyDescent="0.25">
      <c r="A472" s="11">
        <v>18</v>
      </c>
      <c r="B472" s="11" t="s">
        <v>2036</v>
      </c>
      <c r="C472" s="11">
        <v>1</v>
      </c>
      <c r="D472" t="s">
        <v>1965</v>
      </c>
      <c r="E472">
        <f>VLOOKUP(CONCATENATE(validProjetado[[#This Row],[Tipo]],validProjetado[[#This Row],[Destino]]),validConcreto!K:O,4)</f>
        <v>13.96</v>
      </c>
    </row>
    <row r="473" spans="1:5" hidden="1" x14ac:dyDescent="0.25">
      <c r="A473" s="11">
        <v>19</v>
      </c>
      <c r="B473" s="11" t="s">
        <v>2036</v>
      </c>
      <c r="C473" s="11">
        <v>1</v>
      </c>
      <c r="D473" t="s">
        <v>1965</v>
      </c>
      <c r="E473">
        <f>VLOOKUP(CONCATENATE(validProjetado[[#This Row],[Tipo]],validProjetado[[#This Row],[Destino]]),validConcreto!K:O,4)</f>
        <v>13.96</v>
      </c>
    </row>
    <row r="474" spans="1:5" hidden="1" x14ac:dyDescent="0.25">
      <c r="A474" s="11">
        <v>20</v>
      </c>
      <c r="B474" s="11" t="s">
        <v>2036</v>
      </c>
      <c r="C474" s="11">
        <v>1</v>
      </c>
      <c r="D474" t="s">
        <v>1965</v>
      </c>
      <c r="E474">
        <f>VLOOKUP(CONCATENATE(validProjetado[[#This Row],[Tipo]],validProjetado[[#This Row],[Destino]]),validConcreto!K:O,4)</f>
        <v>13.96</v>
      </c>
    </row>
    <row r="475" spans="1:5" hidden="1" x14ac:dyDescent="0.25">
      <c r="A475" s="11">
        <v>21</v>
      </c>
      <c r="B475" s="11" t="s">
        <v>2036</v>
      </c>
      <c r="C475" s="11">
        <v>1</v>
      </c>
      <c r="D475" t="s">
        <v>1965</v>
      </c>
      <c r="E475">
        <f>VLOOKUP(CONCATENATE(validProjetado[[#This Row],[Tipo]],validProjetado[[#This Row],[Destino]]),validConcreto!K:O,4)</f>
        <v>13.96</v>
      </c>
    </row>
    <row r="476" spans="1:5" hidden="1" x14ac:dyDescent="0.25">
      <c r="A476" s="11">
        <v>22</v>
      </c>
      <c r="B476" s="11" t="s">
        <v>2036</v>
      </c>
      <c r="C476" s="11">
        <v>1</v>
      </c>
      <c r="D476" t="s">
        <v>1965</v>
      </c>
      <c r="E476">
        <f>VLOOKUP(CONCATENATE(validProjetado[[#This Row],[Tipo]],validProjetado[[#This Row],[Destino]]),validConcreto!K:O,4)</f>
        <v>13.96</v>
      </c>
    </row>
    <row r="477" spans="1:5" hidden="1" x14ac:dyDescent="0.25">
      <c r="A477" s="11">
        <v>23</v>
      </c>
      <c r="B477" s="11" t="s">
        <v>2036</v>
      </c>
      <c r="C477" s="11">
        <v>1</v>
      </c>
      <c r="D477" t="s">
        <v>1965</v>
      </c>
      <c r="E477">
        <f>VLOOKUP(CONCATENATE(validProjetado[[#This Row],[Tipo]],validProjetado[[#This Row],[Destino]]),validConcreto!K:O,4)</f>
        <v>13.96</v>
      </c>
    </row>
    <row r="478" spans="1:5" hidden="1" x14ac:dyDescent="0.25">
      <c r="A478" s="11">
        <v>24</v>
      </c>
      <c r="B478" s="11" t="s">
        <v>2036</v>
      </c>
      <c r="C478" s="11">
        <v>1</v>
      </c>
      <c r="D478" t="s">
        <v>1965</v>
      </c>
      <c r="E478">
        <f>VLOOKUP(CONCATENATE(validProjetado[[#This Row],[Tipo]],validProjetado[[#This Row],[Destino]]),validConcreto!K:O,4)</f>
        <v>13.96</v>
      </c>
    </row>
    <row r="479" spans="1:5" hidden="1" x14ac:dyDescent="0.25">
      <c r="A479" s="11">
        <v>25</v>
      </c>
      <c r="B479" s="11" t="s">
        <v>2036</v>
      </c>
      <c r="C479" s="11">
        <v>1</v>
      </c>
      <c r="D479" t="s">
        <v>1965</v>
      </c>
      <c r="E479">
        <f>VLOOKUP(CONCATENATE(validProjetado[[#This Row],[Tipo]],validProjetado[[#This Row],[Destino]]),validConcreto!K:O,4)</f>
        <v>13.96</v>
      </c>
    </row>
    <row r="480" spans="1:5" hidden="1" x14ac:dyDescent="0.25">
      <c r="A480" s="11">
        <v>26</v>
      </c>
      <c r="B480" s="11" t="s">
        <v>2036</v>
      </c>
      <c r="C480" s="11">
        <v>1</v>
      </c>
      <c r="D480" t="s">
        <v>1965</v>
      </c>
      <c r="E480">
        <f>VLOOKUP(CONCATENATE(validProjetado[[#This Row],[Tipo]],validProjetado[[#This Row],[Destino]]),validConcreto!K:O,4)</f>
        <v>13.96</v>
      </c>
    </row>
    <row r="481" spans="1:5" hidden="1" x14ac:dyDescent="0.25">
      <c r="A481" s="11">
        <v>27</v>
      </c>
      <c r="B481" s="11" t="s">
        <v>2036</v>
      </c>
      <c r="C481" s="11">
        <v>1</v>
      </c>
      <c r="D481" t="s">
        <v>1965</v>
      </c>
      <c r="E481">
        <f>VLOOKUP(CONCATENATE(validProjetado[[#This Row],[Tipo]],validProjetado[[#This Row],[Destino]]),validConcreto!K:O,4)</f>
        <v>13.96</v>
      </c>
    </row>
    <row r="482" spans="1:5" hidden="1" x14ac:dyDescent="0.25">
      <c r="A482" s="11">
        <v>28</v>
      </c>
      <c r="B482" s="11" t="s">
        <v>2036</v>
      </c>
      <c r="C482" s="11">
        <v>1</v>
      </c>
      <c r="D482" t="s">
        <v>1965</v>
      </c>
      <c r="E482">
        <f>VLOOKUP(CONCATENATE(validProjetado[[#This Row],[Tipo]],validProjetado[[#This Row],[Destino]]),validConcreto!K:O,4)</f>
        <v>13.96</v>
      </c>
    </row>
    <row r="483" spans="1:5" hidden="1" x14ac:dyDescent="0.25">
      <c r="A483" s="11">
        <v>29</v>
      </c>
      <c r="B483" s="11" t="s">
        <v>2036</v>
      </c>
      <c r="C483" s="11">
        <v>1</v>
      </c>
      <c r="D483" t="s">
        <v>1965</v>
      </c>
      <c r="E483">
        <f>VLOOKUP(CONCATENATE(validProjetado[[#This Row],[Tipo]],validProjetado[[#This Row],[Destino]]),validConcreto!K:O,4)</f>
        <v>13.96</v>
      </c>
    </row>
    <row r="484" spans="1:5" hidden="1" x14ac:dyDescent="0.25">
      <c r="A484" s="11">
        <v>30</v>
      </c>
      <c r="B484" s="11" t="s">
        <v>2036</v>
      </c>
      <c r="C484" s="11">
        <v>1</v>
      </c>
      <c r="D484" t="s">
        <v>1965</v>
      </c>
      <c r="E484">
        <f>VLOOKUP(CONCATENATE(validProjetado[[#This Row],[Tipo]],validProjetado[[#This Row],[Destino]]),validConcreto!K:O,4)</f>
        <v>13.96</v>
      </c>
    </row>
    <row r="485" spans="1:5" hidden="1" x14ac:dyDescent="0.25">
      <c r="A485" s="11">
        <v>31</v>
      </c>
      <c r="B485" s="11" t="s">
        <v>2036</v>
      </c>
      <c r="C485" s="11">
        <v>1</v>
      </c>
      <c r="D485" t="s">
        <v>1965</v>
      </c>
      <c r="E485">
        <f>VLOOKUP(CONCATENATE(validProjetado[[#This Row],[Tipo]],validProjetado[[#This Row],[Destino]]),validConcreto!K:O,4)</f>
        <v>13.96</v>
      </c>
    </row>
    <row r="486" spans="1:5" hidden="1" x14ac:dyDescent="0.25">
      <c r="A486" s="11">
        <v>32</v>
      </c>
      <c r="B486" s="11" t="s">
        <v>2036</v>
      </c>
      <c r="C486" s="11">
        <v>1</v>
      </c>
      <c r="D486" t="s">
        <v>1965</v>
      </c>
      <c r="E486">
        <f>VLOOKUP(CONCATENATE(validProjetado[[#This Row],[Tipo]],validProjetado[[#This Row],[Destino]]),validConcreto!K:O,4)</f>
        <v>13.96</v>
      </c>
    </row>
    <row r="487" spans="1:5" hidden="1" x14ac:dyDescent="0.25">
      <c r="A487" s="11">
        <v>33</v>
      </c>
      <c r="B487" s="11" t="s">
        <v>2036</v>
      </c>
      <c r="C487" s="11">
        <v>1</v>
      </c>
      <c r="D487" t="s">
        <v>1965</v>
      </c>
      <c r="E487">
        <f>VLOOKUP(CONCATENATE(validProjetado[[#This Row],[Tipo]],validProjetado[[#This Row],[Destino]]),validConcreto!K:O,4)</f>
        <v>13.96</v>
      </c>
    </row>
    <row r="488" spans="1:5" hidden="1" x14ac:dyDescent="0.25">
      <c r="A488" s="11">
        <v>34</v>
      </c>
      <c r="B488" s="11" t="s">
        <v>2036</v>
      </c>
      <c r="C488" s="11">
        <v>1</v>
      </c>
      <c r="D488" t="s">
        <v>1965</v>
      </c>
      <c r="E488">
        <f>VLOOKUP(CONCATENATE(validProjetado[[#This Row],[Tipo]],validProjetado[[#This Row],[Destino]]),validConcreto!K:O,4)</f>
        <v>13.96</v>
      </c>
    </row>
    <row r="489" spans="1:5" hidden="1" x14ac:dyDescent="0.25">
      <c r="A489" s="11">
        <v>35</v>
      </c>
      <c r="B489" s="11" t="s">
        <v>2036</v>
      </c>
      <c r="C489" s="11">
        <v>1</v>
      </c>
      <c r="D489" t="s">
        <v>1965</v>
      </c>
      <c r="E489">
        <f>VLOOKUP(CONCATENATE(validProjetado[[#This Row],[Tipo]],validProjetado[[#This Row],[Destino]]),validConcreto!K:O,4)</f>
        <v>13.96</v>
      </c>
    </row>
    <row r="490" spans="1:5" hidden="1" x14ac:dyDescent="0.25">
      <c r="A490" s="11">
        <v>36</v>
      </c>
      <c r="B490" s="11" t="s">
        <v>2036</v>
      </c>
      <c r="C490" s="11">
        <v>1</v>
      </c>
      <c r="D490" t="s">
        <v>1965</v>
      </c>
      <c r="E490">
        <f>VLOOKUP(CONCATENATE(validProjetado[[#This Row],[Tipo]],validProjetado[[#This Row],[Destino]]),validConcreto!K:O,4)</f>
        <v>13.96</v>
      </c>
    </row>
    <row r="491" spans="1:5" hidden="1" x14ac:dyDescent="0.25">
      <c r="A491" s="11">
        <v>37</v>
      </c>
      <c r="B491" s="11" t="s">
        <v>2036</v>
      </c>
      <c r="C491" s="11">
        <v>1</v>
      </c>
      <c r="D491" t="s">
        <v>1965</v>
      </c>
      <c r="E491">
        <f>VLOOKUP(CONCATENATE(validProjetado[[#This Row],[Tipo]],validProjetado[[#This Row],[Destino]]),validConcreto!K:O,4)</f>
        <v>13.96</v>
      </c>
    </row>
    <row r="492" spans="1:5" hidden="1" x14ac:dyDescent="0.25">
      <c r="A492" s="11">
        <v>38</v>
      </c>
      <c r="B492" s="11" t="s">
        <v>2036</v>
      </c>
      <c r="C492" s="11">
        <v>1</v>
      </c>
      <c r="D492" t="s">
        <v>1965</v>
      </c>
      <c r="E492">
        <f>VLOOKUP(CONCATENATE(validProjetado[[#This Row],[Tipo]],validProjetado[[#This Row],[Destino]]),validConcreto!K:O,4)</f>
        <v>13.96</v>
      </c>
    </row>
    <row r="493" spans="1:5" hidden="1" x14ac:dyDescent="0.25">
      <c r="A493" s="11">
        <v>39</v>
      </c>
      <c r="B493" s="11" t="s">
        <v>2036</v>
      </c>
      <c r="C493" s="11">
        <v>1</v>
      </c>
      <c r="D493" t="s">
        <v>1965</v>
      </c>
      <c r="E493">
        <f>VLOOKUP(CONCATENATE(validProjetado[[#This Row],[Tipo]],validProjetado[[#This Row],[Destino]]),validConcreto!K:O,4)</f>
        <v>13.96</v>
      </c>
    </row>
    <row r="494" spans="1:5" hidden="1" x14ac:dyDescent="0.25">
      <c r="A494" s="11">
        <v>40</v>
      </c>
      <c r="B494" s="11" t="s">
        <v>2036</v>
      </c>
      <c r="C494" s="11">
        <v>1</v>
      </c>
      <c r="D494" t="s">
        <v>1965</v>
      </c>
      <c r="E494">
        <f>VLOOKUP(CONCATENATE(validProjetado[[#This Row],[Tipo]],validProjetado[[#This Row],[Destino]]),validConcreto!K:O,4)</f>
        <v>13.96</v>
      </c>
    </row>
    <row r="495" spans="1:5" hidden="1" x14ac:dyDescent="0.25">
      <c r="A495" s="11">
        <v>41</v>
      </c>
      <c r="B495" s="11" t="s">
        <v>2036</v>
      </c>
      <c r="C495" s="11">
        <v>1</v>
      </c>
      <c r="D495" t="s">
        <v>1965</v>
      </c>
      <c r="E495">
        <f>VLOOKUP(CONCATENATE(validProjetado[[#This Row],[Tipo]],validProjetado[[#This Row],[Destino]]),validConcreto!K:O,4)</f>
        <v>13.96</v>
      </c>
    </row>
    <row r="496" spans="1:5" hidden="1" x14ac:dyDescent="0.25">
      <c r="A496" s="11">
        <v>42</v>
      </c>
      <c r="B496" s="11" t="s">
        <v>2036</v>
      </c>
      <c r="C496" s="11">
        <v>1</v>
      </c>
      <c r="D496" t="s">
        <v>1965</v>
      </c>
      <c r="E496">
        <f>VLOOKUP(CONCATENATE(validProjetado[[#This Row],[Tipo]],validProjetado[[#This Row],[Destino]]),validConcreto!K:O,4)</f>
        <v>13.96</v>
      </c>
    </row>
    <row r="497" spans="1:5" hidden="1" x14ac:dyDescent="0.25">
      <c r="A497" s="11">
        <v>43</v>
      </c>
      <c r="B497" s="11" t="s">
        <v>2036</v>
      </c>
      <c r="C497" s="11">
        <v>2</v>
      </c>
      <c r="D497" t="s">
        <v>1965</v>
      </c>
      <c r="E497">
        <f>VLOOKUP(CONCATENATE(validProjetado[[#This Row],[Tipo]],validProjetado[[#This Row],[Destino]]),validConcreto!K:O,4)</f>
        <v>17.940000000000001</v>
      </c>
    </row>
    <row r="498" spans="1:5" hidden="1" x14ac:dyDescent="0.25">
      <c r="A498" s="11">
        <v>44</v>
      </c>
      <c r="B498" s="11" t="s">
        <v>2036</v>
      </c>
      <c r="C498" s="11">
        <v>2</v>
      </c>
      <c r="D498" t="s">
        <v>1965</v>
      </c>
      <c r="E498">
        <f>VLOOKUP(CONCATENATE(validProjetado[[#This Row],[Tipo]],validProjetado[[#This Row],[Destino]]),validConcreto!K:O,4)</f>
        <v>17.940000000000001</v>
      </c>
    </row>
    <row r="499" spans="1:5" hidden="1" x14ac:dyDescent="0.25">
      <c r="A499" s="11">
        <v>45</v>
      </c>
      <c r="B499" s="11" t="s">
        <v>2036</v>
      </c>
      <c r="C499" s="11">
        <v>2</v>
      </c>
      <c r="D499" t="s">
        <v>1965</v>
      </c>
      <c r="E499">
        <f>VLOOKUP(CONCATENATE(validProjetado[[#This Row],[Tipo]],validProjetado[[#This Row],[Destino]]),validConcreto!K:O,4)</f>
        <v>17.940000000000001</v>
      </c>
    </row>
    <row r="500" spans="1:5" hidden="1" x14ac:dyDescent="0.25">
      <c r="A500" s="11">
        <v>46</v>
      </c>
      <c r="B500" s="11" t="s">
        <v>2036</v>
      </c>
      <c r="C500" s="11">
        <v>2</v>
      </c>
      <c r="D500" t="s">
        <v>1965</v>
      </c>
      <c r="E500">
        <f>VLOOKUP(CONCATENATE(validProjetado[[#This Row],[Tipo]],validProjetado[[#This Row],[Destino]]),validConcreto!K:O,4)</f>
        <v>17.940000000000001</v>
      </c>
    </row>
    <row r="501" spans="1:5" hidden="1" x14ac:dyDescent="0.25">
      <c r="A501" s="11">
        <v>47</v>
      </c>
      <c r="B501" s="11" t="s">
        <v>2036</v>
      </c>
      <c r="C501" s="11">
        <v>2</v>
      </c>
      <c r="D501" t="s">
        <v>1965</v>
      </c>
      <c r="E501">
        <f>VLOOKUP(CONCATENATE(validProjetado[[#This Row],[Tipo]],validProjetado[[#This Row],[Destino]]),validConcreto!K:O,4)</f>
        <v>17.940000000000001</v>
      </c>
    </row>
    <row r="502" spans="1:5" hidden="1" x14ac:dyDescent="0.25">
      <c r="A502" s="11">
        <v>1</v>
      </c>
      <c r="B502" s="11" t="s">
        <v>1961</v>
      </c>
      <c r="C502" s="11">
        <v>1</v>
      </c>
      <c r="D502" t="s">
        <v>1962</v>
      </c>
      <c r="E502">
        <f>VLOOKUP(CONCATENATE(validProjetado[[#This Row],[Tipo]],validProjetado[[#This Row],[Destino]]),validConcreto!K:O,4)</f>
        <v>0.1</v>
      </c>
    </row>
    <row r="503" spans="1:5" hidden="1" x14ac:dyDescent="0.25">
      <c r="A503" s="11">
        <v>2</v>
      </c>
      <c r="B503" s="11" t="s">
        <v>1961</v>
      </c>
      <c r="C503" s="11">
        <v>1</v>
      </c>
      <c r="D503" t="s">
        <v>1962</v>
      </c>
      <c r="E503">
        <f>VLOOKUP(CONCATENATE(validProjetado[[#This Row],[Tipo]],validProjetado[[#This Row],[Destino]]),validConcreto!K:O,4)</f>
        <v>0.1</v>
      </c>
    </row>
    <row r="504" spans="1:5" hidden="1" x14ac:dyDescent="0.25">
      <c r="A504" s="11">
        <v>3</v>
      </c>
      <c r="B504" s="11" t="s">
        <v>1961</v>
      </c>
      <c r="C504" s="11">
        <v>1</v>
      </c>
      <c r="D504" t="s">
        <v>1962</v>
      </c>
      <c r="E504">
        <f>VLOOKUP(CONCATENATE(validProjetado[[#This Row],[Tipo]],validProjetado[[#This Row],[Destino]]),validConcreto!K:O,4)</f>
        <v>0.1</v>
      </c>
    </row>
    <row r="505" spans="1:5" hidden="1" x14ac:dyDescent="0.25">
      <c r="A505" s="11">
        <v>4</v>
      </c>
      <c r="B505" s="11" t="s">
        <v>1961</v>
      </c>
      <c r="C505" s="11">
        <v>1</v>
      </c>
      <c r="D505" t="s">
        <v>1962</v>
      </c>
      <c r="E505">
        <f>VLOOKUP(CONCATENATE(validProjetado[[#This Row],[Tipo]],validProjetado[[#This Row],[Destino]]),validConcreto!K:O,4)</f>
        <v>0.1</v>
      </c>
    </row>
    <row r="506" spans="1:5" hidden="1" x14ac:dyDescent="0.25">
      <c r="A506" s="11">
        <v>5</v>
      </c>
      <c r="B506" s="11" t="s">
        <v>1961</v>
      </c>
      <c r="C506" s="11">
        <v>1</v>
      </c>
      <c r="D506" t="s">
        <v>1962</v>
      </c>
      <c r="E506">
        <f>VLOOKUP(CONCATENATE(validProjetado[[#This Row],[Tipo]],validProjetado[[#This Row],[Destino]]),validConcreto!K:O,4)</f>
        <v>0.1</v>
      </c>
    </row>
    <row r="507" spans="1:5" hidden="1" x14ac:dyDescent="0.25">
      <c r="A507" s="11">
        <v>6</v>
      </c>
      <c r="B507" s="11" t="s">
        <v>1961</v>
      </c>
      <c r="C507" s="11">
        <v>1</v>
      </c>
      <c r="D507" t="s">
        <v>1962</v>
      </c>
      <c r="E507">
        <f>VLOOKUP(CONCATENATE(validProjetado[[#This Row],[Tipo]],validProjetado[[#This Row],[Destino]]),validConcreto!K:O,4)</f>
        <v>0.1</v>
      </c>
    </row>
    <row r="508" spans="1:5" hidden="1" x14ac:dyDescent="0.25">
      <c r="A508" s="11">
        <v>7</v>
      </c>
      <c r="B508" s="11" t="s">
        <v>1961</v>
      </c>
      <c r="C508" s="11">
        <v>2</v>
      </c>
      <c r="D508" t="s">
        <v>1962</v>
      </c>
      <c r="E508">
        <f>VLOOKUP(CONCATENATE(validProjetado[[#This Row],[Tipo]],validProjetado[[#This Row],[Destino]]),validConcreto!K:O,4)</f>
        <v>0.1</v>
      </c>
    </row>
    <row r="509" spans="1:5" hidden="1" x14ac:dyDescent="0.25">
      <c r="A509" s="11">
        <v>8</v>
      </c>
      <c r="B509" s="11" t="s">
        <v>1961</v>
      </c>
      <c r="C509" s="11">
        <v>2</v>
      </c>
      <c r="D509" t="s">
        <v>1962</v>
      </c>
      <c r="E509">
        <f>VLOOKUP(CONCATENATE(validProjetado[[#This Row],[Tipo]],validProjetado[[#This Row],[Destino]]),validConcreto!K:O,4)</f>
        <v>0.1</v>
      </c>
    </row>
    <row r="510" spans="1:5" hidden="1" x14ac:dyDescent="0.25">
      <c r="A510" s="11">
        <v>1</v>
      </c>
      <c r="B510" s="11" t="s">
        <v>1970</v>
      </c>
      <c r="C510" s="11">
        <v>1</v>
      </c>
      <c r="D510" t="s">
        <v>1962</v>
      </c>
      <c r="E510">
        <f>VLOOKUP(CONCATENATE(validProjetado[[#This Row],[Tipo]],validProjetado[[#This Row],[Destino]]),validConcreto!K:O,4)</f>
        <v>0.1</v>
      </c>
    </row>
    <row r="511" spans="1:5" hidden="1" x14ac:dyDescent="0.25">
      <c r="A511" s="11">
        <v>2</v>
      </c>
      <c r="B511" s="11" t="s">
        <v>1970</v>
      </c>
      <c r="C511" s="11">
        <v>1</v>
      </c>
      <c r="D511" t="s">
        <v>1962</v>
      </c>
      <c r="E511">
        <f>VLOOKUP(CONCATENATE(validProjetado[[#This Row],[Tipo]],validProjetado[[#This Row],[Destino]]),validConcreto!K:O,4)</f>
        <v>0.1</v>
      </c>
    </row>
    <row r="512" spans="1:5" hidden="1" x14ac:dyDescent="0.25">
      <c r="A512" s="11">
        <v>3</v>
      </c>
      <c r="B512" s="11" t="s">
        <v>1970</v>
      </c>
      <c r="C512" s="11">
        <v>1</v>
      </c>
      <c r="D512" t="s">
        <v>1962</v>
      </c>
      <c r="E512">
        <f>VLOOKUP(CONCATENATE(validProjetado[[#This Row],[Tipo]],validProjetado[[#This Row],[Destino]]),validConcreto!K:O,4)</f>
        <v>0.1</v>
      </c>
    </row>
    <row r="513" spans="1:5" hidden="1" x14ac:dyDescent="0.25">
      <c r="A513" s="11">
        <v>4</v>
      </c>
      <c r="B513" s="11" t="s">
        <v>1970</v>
      </c>
      <c r="C513" s="11">
        <v>1</v>
      </c>
      <c r="D513" t="s">
        <v>1962</v>
      </c>
      <c r="E513">
        <f>VLOOKUP(CONCATENATE(validProjetado[[#This Row],[Tipo]],validProjetado[[#This Row],[Destino]]),validConcreto!K:O,4)</f>
        <v>0.1</v>
      </c>
    </row>
    <row r="514" spans="1:5" hidden="1" x14ac:dyDescent="0.25">
      <c r="A514" s="11">
        <v>5</v>
      </c>
      <c r="B514" s="11" t="s">
        <v>1970</v>
      </c>
      <c r="C514" s="11">
        <v>1</v>
      </c>
      <c r="D514" t="s">
        <v>1962</v>
      </c>
      <c r="E514">
        <f>VLOOKUP(CONCATENATE(validProjetado[[#This Row],[Tipo]],validProjetado[[#This Row],[Destino]]),validConcreto!K:O,4)</f>
        <v>0.1</v>
      </c>
    </row>
    <row r="515" spans="1:5" hidden="1" x14ac:dyDescent="0.25">
      <c r="A515" s="11">
        <v>6</v>
      </c>
      <c r="B515" s="11" t="s">
        <v>1970</v>
      </c>
      <c r="C515" s="11">
        <v>1</v>
      </c>
      <c r="D515" t="s">
        <v>1962</v>
      </c>
      <c r="E515">
        <f>VLOOKUP(CONCATENATE(validProjetado[[#This Row],[Tipo]],validProjetado[[#This Row],[Destino]]),validConcreto!K:O,4)</f>
        <v>0.1</v>
      </c>
    </row>
    <row r="516" spans="1:5" hidden="1" x14ac:dyDescent="0.25">
      <c r="A516" s="11">
        <v>7</v>
      </c>
      <c r="B516" s="11" t="s">
        <v>1970</v>
      </c>
      <c r="C516" s="11">
        <v>1</v>
      </c>
      <c r="D516" t="s">
        <v>1962</v>
      </c>
      <c r="E516">
        <f>VLOOKUP(CONCATENATE(validProjetado[[#This Row],[Tipo]],validProjetado[[#This Row],[Destino]]),validConcreto!K:O,4)</f>
        <v>0.1</v>
      </c>
    </row>
    <row r="517" spans="1:5" hidden="1" x14ac:dyDescent="0.25">
      <c r="A517" s="11">
        <v>8</v>
      </c>
      <c r="B517" s="11" t="s">
        <v>1970</v>
      </c>
      <c r="C517" s="11">
        <v>1</v>
      </c>
      <c r="D517" t="s">
        <v>1962</v>
      </c>
      <c r="E517">
        <f>VLOOKUP(CONCATENATE(validProjetado[[#This Row],[Tipo]],validProjetado[[#This Row],[Destino]]),validConcreto!K:O,4)</f>
        <v>0.1</v>
      </c>
    </row>
    <row r="518" spans="1:5" hidden="1" x14ac:dyDescent="0.25">
      <c r="A518" s="11">
        <v>9</v>
      </c>
      <c r="B518" s="11" t="s">
        <v>1970</v>
      </c>
      <c r="C518" s="11">
        <v>1</v>
      </c>
      <c r="D518" t="s">
        <v>1962</v>
      </c>
      <c r="E518">
        <f>VLOOKUP(CONCATENATE(validProjetado[[#This Row],[Tipo]],validProjetado[[#This Row],[Destino]]),validConcreto!K:O,4)</f>
        <v>0.1</v>
      </c>
    </row>
    <row r="519" spans="1:5" hidden="1" x14ac:dyDescent="0.25">
      <c r="A519" s="11">
        <v>10</v>
      </c>
      <c r="B519" s="11" t="s">
        <v>1970</v>
      </c>
      <c r="C519" s="11">
        <v>1</v>
      </c>
      <c r="D519" t="s">
        <v>1962</v>
      </c>
      <c r="E519">
        <f>VLOOKUP(CONCATENATE(validProjetado[[#This Row],[Tipo]],validProjetado[[#This Row],[Destino]]),validConcreto!K:O,4)</f>
        <v>0.1</v>
      </c>
    </row>
    <row r="520" spans="1:5" hidden="1" x14ac:dyDescent="0.25">
      <c r="A520" s="11">
        <v>11</v>
      </c>
      <c r="B520" s="11" t="s">
        <v>1970</v>
      </c>
      <c r="C520" s="11">
        <v>1</v>
      </c>
      <c r="D520" t="s">
        <v>1962</v>
      </c>
      <c r="E520">
        <f>VLOOKUP(CONCATENATE(validProjetado[[#This Row],[Tipo]],validProjetado[[#This Row],[Destino]]),validConcreto!K:O,4)</f>
        <v>0.1</v>
      </c>
    </row>
    <row r="521" spans="1:5" hidden="1" x14ac:dyDescent="0.25">
      <c r="A521" s="11">
        <v>12</v>
      </c>
      <c r="B521" s="11" t="s">
        <v>1970</v>
      </c>
      <c r="C521" s="11">
        <v>1</v>
      </c>
      <c r="D521" t="s">
        <v>1962</v>
      </c>
      <c r="E521">
        <f>VLOOKUP(CONCATENATE(validProjetado[[#This Row],[Tipo]],validProjetado[[#This Row],[Destino]]),validConcreto!K:O,4)</f>
        <v>0.1</v>
      </c>
    </row>
    <row r="522" spans="1:5" hidden="1" x14ac:dyDescent="0.25">
      <c r="A522" s="11">
        <v>13</v>
      </c>
      <c r="B522" s="11" t="s">
        <v>1970</v>
      </c>
      <c r="C522" s="11">
        <v>1</v>
      </c>
      <c r="D522" t="s">
        <v>1962</v>
      </c>
      <c r="E522">
        <f>VLOOKUP(CONCATENATE(validProjetado[[#This Row],[Tipo]],validProjetado[[#This Row],[Destino]]),validConcreto!K:O,4)</f>
        <v>0.1</v>
      </c>
    </row>
    <row r="523" spans="1:5" hidden="1" x14ac:dyDescent="0.25">
      <c r="A523" s="11">
        <v>14</v>
      </c>
      <c r="B523" s="11" t="s">
        <v>1970</v>
      </c>
      <c r="C523" s="11">
        <v>1</v>
      </c>
      <c r="D523" t="s">
        <v>1962</v>
      </c>
      <c r="E523">
        <f>VLOOKUP(CONCATENATE(validProjetado[[#This Row],[Tipo]],validProjetado[[#This Row],[Destino]]),validConcreto!K:O,4)</f>
        <v>0.1</v>
      </c>
    </row>
    <row r="524" spans="1:5" hidden="1" x14ac:dyDescent="0.25">
      <c r="A524" s="11">
        <v>15</v>
      </c>
      <c r="B524" s="11" t="s">
        <v>1970</v>
      </c>
      <c r="C524" s="11">
        <v>1</v>
      </c>
      <c r="D524" t="s">
        <v>1962</v>
      </c>
      <c r="E524">
        <f>VLOOKUP(CONCATENATE(validProjetado[[#This Row],[Tipo]],validProjetado[[#This Row],[Destino]]),validConcreto!K:O,4)</f>
        <v>0.1</v>
      </c>
    </row>
    <row r="525" spans="1:5" hidden="1" x14ac:dyDescent="0.25">
      <c r="A525" s="11">
        <v>16</v>
      </c>
      <c r="B525" s="11" t="s">
        <v>1970</v>
      </c>
      <c r="C525" s="11">
        <v>1</v>
      </c>
      <c r="D525" t="s">
        <v>1962</v>
      </c>
      <c r="E525">
        <f>VLOOKUP(CONCATENATE(validProjetado[[#This Row],[Tipo]],validProjetado[[#This Row],[Destino]]),validConcreto!K:O,4)</f>
        <v>0.1</v>
      </c>
    </row>
    <row r="526" spans="1:5" hidden="1" x14ac:dyDescent="0.25">
      <c r="A526" s="11">
        <v>17</v>
      </c>
      <c r="B526" s="11" t="s">
        <v>1970</v>
      </c>
      <c r="C526" s="11">
        <v>1</v>
      </c>
      <c r="D526" t="s">
        <v>1962</v>
      </c>
      <c r="E526">
        <f>VLOOKUP(CONCATENATE(validProjetado[[#This Row],[Tipo]],validProjetado[[#This Row],[Destino]]),validConcreto!K:O,4)</f>
        <v>0.1</v>
      </c>
    </row>
    <row r="527" spans="1:5" hidden="1" x14ac:dyDescent="0.25">
      <c r="A527" s="11">
        <v>18</v>
      </c>
      <c r="B527" s="11" t="s">
        <v>1970</v>
      </c>
      <c r="C527" s="11">
        <v>1</v>
      </c>
      <c r="D527" t="s">
        <v>1962</v>
      </c>
      <c r="E527">
        <f>VLOOKUP(CONCATENATE(validProjetado[[#This Row],[Tipo]],validProjetado[[#This Row],[Destino]]),validConcreto!K:O,4)</f>
        <v>0.1</v>
      </c>
    </row>
    <row r="528" spans="1:5" hidden="1" x14ac:dyDescent="0.25">
      <c r="A528" s="11">
        <v>19</v>
      </c>
      <c r="B528" s="11" t="s">
        <v>1970</v>
      </c>
      <c r="C528" s="11">
        <v>1</v>
      </c>
      <c r="D528" t="s">
        <v>1962</v>
      </c>
      <c r="E528">
        <f>VLOOKUP(CONCATENATE(validProjetado[[#This Row],[Tipo]],validProjetado[[#This Row],[Destino]]),validConcreto!K:O,4)</f>
        <v>0.1</v>
      </c>
    </row>
    <row r="529" spans="1:5" hidden="1" x14ac:dyDescent="0.25">
      <c r="A529" s="11">
        <v>20</v>
      </c>
      <c r="B529" s="11" t="s">
        <v>1970</v>
      </c>
      <c r="C529" s="11">
        <v>1</v>
      </c>
      <c r="D529" t="s">
        <v>1962</v>
      </c>
      <c r="E529">
        <f>VLOOKUP(CONCATENATE(validProjetado[[#This Row],[Tipo]],validProjetado[[#This Row],[Destino]]),validConcreto!K:O,4)</f>
        <v>0.1</v>
      </c>
    </row>
    <row r="530" spans="1:5" hidden="1" x14ac:dyDescent="0.25">
      <c r="A530" s="11">
        <v>21</v>
      </c>
      <c r="B530" s="11" t="s">
        <v>1970</v>
      </c>
      <c r="C530" s="11">
        <v>2</v>
      </c>
      <c r="D530" t="s">
        <v>1962</v>
      </c>
      <c r="E530">
        <f>VLOOKUP(CONCATENATE(validProjetado[[#This Row],[Tipo]],validProjetado[[#This Row],[Destino]]),validConcreto!K:O,4)</f>
        <v>0.1</v>
      </c>
    </row>
    <row r="531" spans="1:5" hidden="1" x14ac:dyDescent="0.25">
      <c r="A531" s="11">
        <v>22</v>
      </c>
      <c r="B531" s="11" t="s">
        <v>1970</v>
      </c>
      <c r="C531" s="11">
        <v>2</v>
      </c>
      <c r="D531" t="s">
        <v>1962</v>
      </c>
      <c r="E531">
        <f>VLOOKUP(CONCATENATE(validProjetado[[#This Row],[Tipo]],validProjetado[[#This Row],[Destino]]),validConcreto!K:O,4)</f>
        <v>0.1</v>
      </c>
    </row>
    <row r="532" spans="1:5" hidden="1" x14ac:dyDescent="0.25">
      <c r="A532" s="11">
        <v>23</v>
      </c>
      <c r="B532" s="11" t="s">
        <v>1970</v>
      </c>
      <c r="C532" s="11">
        <v>2</v>
      </c>
      <c r="D532" t="s">
        <v>1962</v>
      </c>
      <c r="E532">
        <f>VLOOKUP(CONCATENATE(validProjetado[[#This Row],[Tipo]],validProjetado[[#This Row],[Destino]]),validConcreto!K:O,4)</f>
        <v>0.1</v>
      </c>
    </row>
    <row r="533" spans="1:5" hidden="1" x14ac:dyDescent="0.25">
      <c r="A533" s="11">
        <v>24</v>
      </c>
      <c r="B533" s="11" t="s">
        <v>1970</v>
      </c>
      <c r="C533" s="11">
        <v>1</v>
      </c>
      <c r="D533" t="s">
        <v>1962</v>
      </c>
      <c r="E533">
        <f>VLOOKUP(CONCATENATE(validProjetado[[#This Row],[Tipo]],validProjetado[[#This Row],[Destino]]),validConcreto!K:O,4)</f>
        <v>0.1</v>
      </c>
    </row>
    <row r="534" spans="1:5" hidden="1" x14ac:dyDescent="0.25">
      <c r="A534" s="11">
        <v>1</v>
      </c>
      <c r="B534" s="11" t="s">
        <v>1975</v>
      </c>
      <c r="C534" s="11">
        <v>1</v>
      </c>
      <c r="D534" t="s">
        <v>1962</v>
      </c>
      <c r="E534">
        <f>VLOOKUP(CONCATENATE(validProjetado[[#This Row],[Tipo]],validProjetado[[#This Row],[Destino]]),validConcreto!K:O,4)</f>
        <v>0.1</v>
      </c>
    </row>
    <row r="535" spans="1:5" hidden="1" x14ac:dyDescent="0.25">
      <c r="A535" s="11">
        <v>2</v>
      </c>
      <c r="B535" s="11" t="s">
        <v>1975</v>
      </c>
      <c r="C535" s="11">
        <v>1</v>
      </c>
      <c r="D535" t="s">
        <v>1962</v>
      </c>
      <c r="E535">
        <f>VLOOKUP(CONCATENATE(validProjetado[[#This Row],[Tipo]],validProjetado[[#This Row],[Destino]]),validConcreto!K:O,4)</f>
        <v>0.1</v>
      </c>
    </row>
    <row r="536" spans="1:5" hidden="1" x14ac:dyDescent="0.25">
      <c r="A536" s="11">
        <v>3</v>
      </c>
      <c r="B536" s="11" t="s">
        <v>1975</v>
      </c>
      <c r="C536" s="11">
        <v>1</v>
      </c>
      <c r="D536" t="s">
        <v>1962</v>
      </c>
      <c r="E536">
        <f>VLOOKUP(CONCATENATE(validProjetado[[#This Row],[Tipo]],validProjetado[[#This Row],[Destino]]),validConcreto!K:O,4)</f>
        <v>0.1</v>
      </c>
    </row>
    <row r="537" spans="1:5" hidden="1" x14ac:dyDescent="0.25">
      <c r="A537" s="11">
        <v>4</v>
      </c>
      <c r="B537" s="11" t="s">
        <v>1975</v>
      </c>
      <c r="C537" s="11">
        <v>1</v>
      </c>
      <c r="D537" t="s">
        <v>1962</v>
      </c>
      <c r="E537">
        <f>VLOOKUP(CONCATENATE(validProjetado[[#This Row],[Tipo]],validProjetado[[#This Row],[Destino]]),validConcreto!K:O,4)</f>
        <v>0.1</v>
      </c>
    </row>
    <row r="538" spans="1:5" hidden="1" x14ac:dyDescent="0.25">
      <c r="A538" s="11">
        <v>5</v>
      </c>
      <c r="B538" s="11" t="s">
        <v>1975</v>
      </c>
      <c r="C538" s="11">
        <v>1</v>
      </c>
      <c r="D538" t="s">
        <v>1962</v>
      </c>
      <c r="E538">
        <f>VLOOKUP(CONCATENATE(validProjetado[[#This Row],[Tipo]],validProjetado[[#This Row],[Destino]]),validConcreto!K:O,4)</f>
        <v>0.1</v>
      </c>
    </row>
    <row r="539" spans="1:5" hidden="1" x14ac:dyDescent="0.25">
      <c r="A539" s="11">
        <v>6</v>
      </c>
      <c r="B539" s="11" t="s">
        <v>1975</v>
      </c>
      <c r="C539" s="11">
        <v>1</v>
      </c>
      <c r="D539" t="s">
        <v>1962</v>
      </c>
      <c r="E539">
        <f>VLOOKUP(CONCATENATE(validProjetado[[#This Row],[Tipo]],validProjetado[[#This Row],[Destino]]),validConcreto!K:O,4)</f>
        <v>0.1</v>
      </c>
    </row>
    <row r="540" spans="1:5" hidden="1" x14ac:dyDescent="0.25">
      <c r="A540" s="11">
        <v>7</v>
      </c>
      <c r="B540" s="11" t="s">
        <v>1975</v>
      </c>
      <c r="C540" s="11">
        <v>1</v>
      </c>
      <c r="D540" t="s">
        <v>1962</v>
      </c>
      <c r="E540">
        <f>VLOOKUP(CONCATENATE(validProjetado[[#This Row],[Tipo]],validProjetado[[#This Row],[Destino]]),validConcreto!K:O,4)</f>
        <v>0.1</v>
      </c>
    </row>
    <row r="541" spans="1:5" hidden="1" x14ac:dyDescent="0.25">
      <c r="A541" s="11">
        <v>8</v>
      </c>
      <c r="B541" s="11" t="s">
        <v>1975</v>
      </c>
      <c r="C541" s="11">
        <v>1</v>
      </c>
      <c r="D541" t="s">
        <v>1962</v>
      </c>
      <c r="E541">
        <f>VLOOKUP(CONCATENATE(validProjetado[[#This Row],[Tipo]],validProjetado[[#This Row],[Destino]]),validConcreto!K:O,4)</f>
        <v>0.1</v>
      </c>
    </row>
    <row r="542" spans="1:5" hidden="1" x14ac:dyDescent="0.25">
      <c r="A542" s="11">
        <v>9</v>
      </c>
      <c r="B542" s="11" t="s">
        <v>1975</v>
      </c>
      <c r="C542" s="11">
        <v>1</v>
      </c>
      <c r="D542" t="s">
        <v>1962</v>
      </c>
      <c r="E542">
        <f>VLOOKUP(CONCATENATE(validProjetado[[#This Row],[Tipo]],validProjetado[[#This Row],[Destino]]),validConcreto!K:O,4)</f>
        <v>0.1</v>
      </c>
    </row>
    <row r="543" spans="1:5" hidden="1" x14ac:dyDescent="0.25">
      <c r="A543" s="11">
        <v>10</v>
      </c>
      <c r="B543" s="11" t="s">
        <v>1975</v>
      </c>
      <c r="C543" s="11">
        <v>1</v>
      </c>
      <c r="D543" t="s">
        <v>1962</v>
      </c>
      <c r="E543">
        <f>VLOOKUP(CONCATENATE(validProjetado[[#This Row],[Tipo]],validProjetado[[#This Row],[Destino]]),validConcreto!K:O,4)</f>
        <v>0.1</v>
      </c>
    </row>
    <row r="544" spans="1:5" hidden="1" x14ac:dyDescent="0.25">
      <c r="A544" s="11">
        <v>11</v>
      </c>
      <c r="B544" s="11" t="s">
        <v>1975</v>
      </c>
      <c r="C544" s="11">
        <v>1</v>
      </c>
      <c r="D544" t="s">
        <v>1962</v>
      </c>
      <c r="E544">
        <f>VLOOKUP(CONCATENATE(validProjetado[[#This Row],[Tipo]],validProjetado[[#This Row],[Destino]]),validConcreto!K:O,4)</f>
        <v>0.1</v>
      </c>
    </row>
    <row r="545" spans="1:5" hidden="1" x14ac:dyDescent="0.25">
      <c r="A545" s="11">
        <v>12</v>
      </c>
      <c r="B545" s="11" t="s">
        <v>1975</v>
      </c>
      <c r="C545" s="11">
        <v>1</v>
      </c>
      <c r="D545" t="s">
        <v>1962</v>
      </c>
      <c r="E545">
        <f>VLOOKUP(CONCATENATE(validProjetado[[#This Row],[Tipo]],validProjetado[[#This Row],[Destino]]),validConcreto!K:O,4)</f>
        <v>0.1</v>
      </c>
    </row>
    <row r="546" spans="1:5" hidden="1" x14ac:dyDescent="0.25">
      <c r="A546" s="11">
        <v>13</v>
      </c>
      <c r="B546" s="11" t="s">
        <v>1975</v>
      </c>
      <c r="C546" s="11">
        <v>1</v>
      </c>
      <c r="D546" t="s">
        <v>1962</v>
      </c>
      <c r="E546">
        <f>VLOOKUP(CONCATENATE(validProjetado[[#This Row],[Tipo]],validProjetado[[#This Row],[Destino]]),validConcreto!K:O,4)</f>
        <v>0.1</v>
      </c>
    </row>
    <row r="547" spans="1:5" hidden="1" x14ac:dyDescent="0.25">
      <c r="A547" s="11">
        <v>14</v>
      </c>
      <c r="B547" s="11" t="s">
        <v>1975</v>
      </c>
      <c r="C547" s="11">
        <v>1</v>
      </c>
      <c r="D547" t="s">
        <v>1962</v>
      </c>
      <c r="E547">
        <f>VLOOKUP(CONCATENATE(validProjetado[[#This Row],[Tipo]],validProjetado[[#This Row],[Destino]]),validConcreto!K:O,4)</f>
        <v>0.1</v>
      </c>
    </row>
    <row r="548" spans="1:5" hidden="1" x14ac:dyDescent="0.25">
      <c r="A548" s="11">
        <v>15</v>
      </c>
      <c r="B548" s="11" t="s">
        <v>1975</v>
      </c>
      <c r="C548" s="11">
        <v>1</v>
      </c>
      <c r="D548" t="s">
        <v>1962</v>
      </c>
      <c r="E548">
        <f>VLOOKUP(CONCATENATE(validProjetado[[#This Row],[Tipo]],validProjetado[[#This Row],[Destino]]),validConcreto!K:O,4)</f>
        <v>0.1</v>
      </c>
    </row>
    <row r="549" spans="1:5" hidden="1" x14ac:dyDescent="0.25">
      <c r="A549" s="11">
        <v>16</v>
      </c>
      <c r="B549" s="11" t="s">
        <v>1975</v>
      </c>
      <c r="C549" s="11">
        <v>1</v>
      </c>
      <c r="D549" t="s">
        <v>1962</v>
      </c>
      <c r="E549">
        <f>VLOOKUP(CONCATENATE(validProjetado[[#This Row],[Tipo]],validProjetado[[#This Row],[Destino]]),validConcreto!K:O,4)</f>
        <v>0.1</v>
      </c>
    </row>
    <row r="550" spans="1:5" hidden="1" x14ac:dyDescent="0.25">
      <c r="A550" s="11">
        <v>17</v>
      </c>
      <c r="B550" s="11" t="s">
        <v>1975</v>
      </c>
      <c r="C550" s="11">
        <v>1</v>
      </c>
      <c r="D550" t="s">
        <v>1962</v>
      </c>
      <c r="E550">
        <f>VLOOKUP(CONCATENATE(validProjetado[[#This Row],[Tipo]],validProjetado[[#This Row],[Destino]]),validConcreto!K:O,4)</f>
        <v>0.1</v>
      </c>
    </row>
    <row r="551" spans="1:5" hidden="1" x14ac:dyDescent="0.25">
      <c r="A551" s="11">
        <v>18</v>
      </c>
      <c r="B551" s="11" t="s">
        <v>1975</v>
      </c>
      <c r="C551" s="11">
        <v>1</v>
      </c>
      <c r="D551" t="s">
        <v>1962</v>
      </c>
      <c r="E551">
        <f>VLOOKUP(CONCATENATE(validProjetado[[#This Row],[Tipo]],validProjetado[[#This Row],[Destino]]),validConcreto!K:O,4)</f>
        <v>0.1</v>
      </c>
    </row>
    <row r="552" spans="1:5" hidden="1" x14ac:dyDescent="0.25">
      <c r="A552" s="11">
        <v>19</v>
      </c>
      <c r="B552" s="11" t="s">
        <v>1975</v>
      </c>
      <c r="C552" s="11">
        <v>1</v>
      </c>
      <c r="D552" t="s">
        <v>1962</v>
      </c>
      <c r="E552">
        <f>VLOOKUP(CONCATENATE(validProjetado[[#This Row],[Tipo]],validProjetado[[#This Row],[Destino]]),validConcreto!K:O,4)</f>
        <v>0.1</v>
      </c>
    </row>
    <row r="553" spans="1:5" hidden="1" x14ac:dyDescent="0.25">
      <c r="A553" s="11">
        <v>20</v>
      </c>
      <c r="B553" s="11" t="s">
        <v>1975</v>
      </c>
      <c r="C553" s="11">
        <v>1</v>
      </c>
      <c r="D553" t="s">
        <v>1962</v>
      </c>
      <c r="E553">
        <f>VLOOKUP(CONCATENATE(validProjetado[[#This Row],[Tipo]],validProjetado[[#This Row],[Destino]]),validConcreto!K:O,4)</f>
        <v>0.1</v>
      </c>
    </row>
    <row r="554" spans="1:5" hidden="1" x14ac:dyDescent="0.25">
      <c r="A554" s="11">
        <v>21</v>
      </c>
      <c r="B554" s="11" t="s">
        <v>1975</v>
      </c>
      <c r="C554" s="11">
        <v>1</v>
      </c>
      <c r="D554" t="s">
        <v>1962</v>
      </c>
      <c r="E554">
        <f>VLOOKUP(CONCATENATE(validProjetado[[#This Row],[Tipo]],validProjetado[[#This Row],[Destino]]),validConcreto!K:O,4)</f>
        <v>0.1</v>
      </c>
    </row>
    <row r="555" spans="1:5" hidden="1" x14ac:dyDescent="0.25">
      <c r="A555" s="11">
        <v>22</v>
      </c>
      <c r="B555" s="11" t="s">
        <v>1975</v>
      </c>
      <c r="C555" s="11">
        <v>1</v>
      </c>
      <c r="D555" t="s">
        <v>1962</v>
      </c>
      <c r="E555">
        <f>VLOOKUP(CONCATENATE(validProjetado[[#This Row],[Tipo]],validProjetado[[#This Row],[Destino]]),validConcreto!K:O,4)</f>
        <v>0.1</v>
      </c>
    </row>
    <row r="556" spans="1:5" hidden="1" x14ac:dyDescent="0.25">
      <c r="A556" s="11">
        <v>23</v>
      </c>
      <c r="B556" s="11" t="s">
        <v>1975</v>
      </c>
      <c r="C556" s="11">
        <v>1</v>
      </c>
      <c r="D556" t="s">
        <v>1962</v>
      </c>
      <c r="E556">
        <f>VLOOKUP(CONCATENATE(validProjetado[[#This Row],[Tipo]],validProjetado[[#This Row],[Destino]]),validConcreto!K:O,4)</f>
        <v>0.1</v>
      </c>
    </row>
    <row r="557" spans="1:5" hidden="1" x14ac:dyDescent="0.25">
      <c r="A557" s="11">
        <v>24</v>
      </c>
      <c r="B557" s="11" t="s">
        <v>1975</v>
      </c>
      <c r="C557" s="11">
        <v>1</v>
      </c>
      <c r="D557" t="s">
        <v>1962</v>
      </c>
      <c r="E557">
        <f>VLOOKUP(CONCATENATE(validProjetado[[#This Row],[Tipo]],validProjetado[[#This Row],[Destino]]),validConcreto!K:O,4)</f>
        <v>0.1</v>
      </c>
    </row>
    <row r="558" spans="1:5" hidden="1" x14ac:dyDescent="0.25">
      <c r="A558" s="11">
        <v>25</v>
      </c>
      <c r="B558" s="11" t="s">
        <v>1975</v>
      </c>
      <c r="C558" s="11">
        <v>1</v>
      </c>
      <c r="D558" t="s">
        <v>1962</v>
      </c>
      <c r="E558">
        <f>VLOOKUP(CONCATENATE(validProjetado[[#This Row],[Tipo]],validProjetado[[#This Row],[Destino]]),validConcreto!K:O,4)</f>
        <v>0.1</v>
      </c>
    </row>
    <row r="559" spans="1:5" hidden="1" x14ac:dyDescent="0.25">
      <c r="A559" s="11">
        <v>26</v>
      </c>
      <c r="B559" s="11" t="s">
        <v>1975</v>
      </c>
      <c r="C559" s="11">
        <v>1</v>
      </c>
      <c r="D559" t="s">
        <v>1962</v>
      </c>
      <c r="E559">
        <f>VLOOKUP(CONCATENATE(validProjetado[[#This Row],[Tipo]],validProjetado[[#This Row],[Destino]]),validConcreto!K:O,4)</f>
        <v>0.1</v>
      </c>
    </row>
    <row r="560" spans="1:5" hidden="1" x14ac:dyDescent="0.25">
      <c r="A560" s="11">
        <v>27</v>
      </c>
      <c r="B560" s="11" t="s">
        <v>1975</v>
      </c>
      <c r="C560" s="11">
        <v>2</v>
      </c>
      <c r="D560" t="s">
        <v>1962</v>
      </c>
      <c r="E560">
        <f>VLOOKUP(CONCATENATE(validProjetado[[#This Row],[Tipo]],validProjetado[[#This Row],[Destino]]),validConcreto!K:O,4)</f>
        <v>0.1</v>
      </c>
    </row>
    <row r="561" spans="1:5" hidden="1" x14ac:dyDescent="0.25">
      <c r="A561" s="11">
        <v>28</v>
      </c>
      <c r="B561" s="11" t="s">
        <v>1975</v>
      </c>
      <c r="C561" s="11">
        <v>2</v>
      </c>
      <c r="D561" t="s">
        <v>1962</v>
      </c>
      <c r="E561">
        <f>VLOOKUP(CONCATENATE(validProjetado[[#This Row],[Tipo]],validProjetado[[#This Row],[Destino]]),validConcreto!K:O,4)</f>
        <v>0.1</v>
      </c>
    </row>
    <row r="562" spans="1:5" hidden="1" x14ac:dyDescent="0.25">
      <c r="A562" s="11">
        <v>29</v>
      </c>
      <c r="B562" s="11" t="s">
        <v>1975</v>
      </c>
      <c r="C562" s="11">
        <v>2</v>
      </c>
      <c r="D562" t="s">
        <v>1962</v>
      </c>
      <c r="E562">
        <f>VLOOKUP(CONCATENATE(validProjetado[[#This Row],[Tipo]],validProjetado[[#This Row],[Destino]]),validConcreto!K:O,4)</f>
        <v>0.1</v>
      </c>
    </row>
    <row r="563" spans="1:5" hidden="1" x14ac:dyDescent="0.25">
      <c r="A563" s="11">
        <v>30</v>
      </c>
      <c r="B563" s="11" t="s">
        <v>1975</v>
      </c>
      <c r="C563" s="11">
        <v>2</v>
      </c>
      <c r="D563" t="s">
        <v>1962</v>
      </c>
      <c r="E563">
        <f>VLOOKUP(CONCATENATE(validProjetado[[#This Row],[Tipo]],validProjetado[[#This Row],[Destino]]),validConcreto!K:O,4)</f>
        <v>0.1</v>
      </c>
    </row>
    <row r="564" spans="1:5" hidden="1" x14ac:dyDescent="0.25">
      <c r="A564" s="11">
        <v>1</v>
      </c>
      <c r="B564" s="11" t="s">
        <v>1979</v>
      </c>
      <c r="C564" s="11">
        <v>1</v>
      </c>
      <c r="D564" t="s">
        <v>1962</v>
      </c>
      <c r="E564">
        <f>VLOOKUP(CONCATENATE(validProjetado[[#This Row],[Tipo]],validProjetado[[#This Row],[Destino]]),validConcreto!K:O,4)</f>
        <v>0.1</v>
      </c>
    </row>
    <row r="565" spans="1:5" hidden="1" x14ac:dyDescent="0.25">
      <c r="A565" s="11">
        <v>2</v>
      </c>
      <c r="B565" s="11" t="s">
        <v>1979</v>
      </c>
      <c r="C565" s="11">
        <v>1</v>
      </c>
      <c r="D565" t="s">
        <v>1962</v>
      </c>
      <c r="E565">
        <f>VLOOKUP(CONCATENATE(validProjetado[[#This Row],[Tipo]],validProjetado[[#This Row],[Destino]]),validConcreto!K:O,4)</f>
        <v>0.1</v>
      </c>
    </row>
    <row r="566" spans="1:5" hidden="1" x14ac:dyDescent="0.25">
      <c r="A566" s="11">
        <v>3</v>
      </c>
      <c r="B566" s="11" t="s">
        <v>1979</v>
      </c>
      <c r="C566" s="11">
        <v>1</v>
      </c>
      <c r="D566" t="s">
        <v>1962</v>
      </c>
      <c r="E566">
        <f>VLOOKUP(CONCATENATE(validProjetado[[#This Row],[Tipo]],validProjetado[[#This Row],[Destino]]),validConcreto!K:O,4)</f>
        <v>0.1</v>
      </c>
    </row>
    <row r="567" spans="1:5" hidden="1" x14ac:dyDescent="0.25">
      <c r="A567" s="11">
        <v>4</v>
      </c>
      <c r="B567" s="11" t="s">
        <v>1979</v>
      </c>
      <c r="C567" s="11">
        <v>1</v>
      </c>
      <c r="D567" t="s">
        <v>1962</v>
      </c>
      <c r="E567">
        <f>VLOOKUP(CONCATENATE(validProjetado[[#This Row],[Tipo]],validProjetado[[#This Row],[Destino]]),validConcreto!K:O,4)</f>
        <v>0.1</v>
      </c>
    </row>
    <row r="568" spans="1:5" hidden="1" x14ac:dyDescent="0.25">
      <c r="A568" s="11">
        <v>5</v>
      </c>
      <c r="B568" s="11" t="s">
        <v>1979</v>
      </c>
      <c r="C568" s="11">
        <v>1</v>
      </c>
      <c r="D568" t="s">
        <v>1962</v>
      </c>
      <c r="E568">
        <f>VLOOKUP(CONCATENATE(validProjetado[[#This Row],[Tipo]],validProjetado[[#This Row],[Destino]]),validConcreto!K:O,4)</f>
        <v>0.1</v>
      </c>
    </row>
    <row r="569" spans="1:5" hidden="1" x14ac:dyDescent="0.25">
      <c r="A569" s="11">
        <v>6</v>
      </c>
      <c r="B569" s="11" t="s">
        <v>1979</v>
      </c>
      <c r="C569" s="11">
        <v>1</v>
      </c>
      <c r="D569" t="s">
        <v>1962</v>
      </c>
      <c r="E569">
        <f>VLOOKUP(CONCATENATE(validProjetado[[#This Row],[Tipo]],validProjetado[[#This Row],[Destino]]),validConcreto!K:O,4)</f>
        <v>0.1</v>
      </c>
    </row>
    <row r="570" spans="1:5" hidden="1" x14ac:dyDescent="0.25">
      <c r="A570" s="11">
        <v>7</v>
      </c>
      <c r="B570" s="11" t="s">
        <v>1979</v>
      </c>
      <c r="C570" s="11">
        <v>1</v>
      </c>
      <c r="D570" t="s">
        <v>1962</v>
      </c>
      <c r="E570">
        <f>VLOOKUP(CONCATENATE(validProjetado[[#This Row],[Tipo]],validProjetado[[#This Row],[Destino]]),validConcreto!K:O,4)</f>
        <v>0.1</v>
      </c>
    </row>
    <row r="571" spans="1:5" hidden="1" x14ac:dyDescent="0.25">
      <c r="A571" s="11">
        <v>8</v>
      </c>
      <c r="B571" s="11" t="s">
        <v>1979</v>
      </c>
      <c r="C571" s="11">
        <v>1</v>
      </c>
      <c r="D571" t="s">
        <v>1962</v>
      </c>
      <c r="E571">
        <f>VLOOKUP(CONCATENATE(validProjetado[[#This Row],[Tipo]],validProjetado[[#This Row],[Destino]]),validConcreto!K:O,4)</f>
        <v>0.1</v>
      </c>
    </row>
    <row r="572" spans="1:5" hidden="1" x14ac:dyDescent="0.25">
      <c r="A572" s="11">
        <v>9</v>
      </c>
      <c r="B572" s="11" t="s">
        <v>1979</v>
      </c>
      <c r="C572" s="11">
        <v>1</v>
      </c>
      <c r="D572" t="s">
        <v>1962</v>
      </c>
      <c r="E572">
        <f>VLOOKUP(CONCATENATE(validProjetado[[#This Row],[Tipo]],validProjetado[[#This Row],[Destino]]),validConcreto!K:O,4)</f>
        <v>0.1</v>
      </c>
    </row>
    <row r="573" spans="1:5" hidden="1" x14ac:dyDescent="0.25">
      <c r="A573" s="11">
        <v>10</v>
      </c>
      <c r="B573" s="11" t="s">
        <v>1979</v>
      </c>
      <c r="C573" s="11">
        <v>1</v>
      </c>
      <c r="D573" t="s">
        <v>1962</v>
      </c>
      <c r="E573">
        <f>VLOOKUP(CONCATENATE(validProjetado[[#This Row],[Tipo]],validProjetado[[#This Row],[Destino]]),validConcreto!K:O,4)</f>
        <v>0.1</v>
      </c>
    </row>
    <row r="574" spans="1:5" hidden="1" x14ac:dyDescent="0.25">
      <c r="A574" s="11">
        <v>11</v>
      </c>
      <c r="B574" s="11" t="s">
        <v>1979</v>
      </c>
      <c r="C574" s="11">
        <v>1</v>
      </c>
      <c r="D574" t="s">
        <v>1962</v>
      </c>
      <c r="E574">
        <f>VLOOKUP(CONCATENATE(validProjetado[[#This Row],[Tipo]],validProjetado[[#This Row],[Destino]]),validConcreto!K:O,4)</f>
        <v>0.1</v>
      </c>
    </row>
    <row r="575" spans="1:5" hidden="1" x14ac:dyDescent="0.25">
      <c r="A575" s="11">
        <v>12</v>
      </c>
      <c r="B575" s="11" t="s">
        <v>1979</v>
      </c>
      <c r="C575" s="11">
        <v>1</v>
      </c>
      <c r="D575" t="s">
        <v>1962</v>
      </c>
      <c r="E575">
        <f>VLOOKUP(CONCATENATE(validProjetado[[#This Row],[Tipo]],validProjetado[[#This Row],[Destino]]),validConcreto!K:O,4)</f>
        <v>0.1</v>
      </c>
    </row>
    <row r="576" spans="1:5" hidden="1" x14ac:dyDescent="0.25">
      <c r="A576" s="11">
        <v>13</v>
      </c>
      <c r="B576" s="11" t="s">
        <v>1979</v>
      </c>
      <c r="C576" s="11">
        <v>1</v>
      </c>
      <c r="D576" t="s">
        <v>1962</v>
      </c>
      <c r="E576">
        <f>VLOOKUP(CONCATENATE(validProjetado[[#This Row],[Tipo]],validProjetado[[#This Row],[Destino]]),validConcreto!K:O,4)</f>
        <v>0.1</v>
      </c>
    </row>
    <row r="577" spans="1:5" hidden="1" x14ac:dyDescent="0.25">
      <c r="A577" s="11">
        <v>14</v>
      </c>
      <c r="B577" s="11" t="s">
        <v>1979</v>
      </c>
      <c r="C577" s="11">
        <v>1</v>
      </c>
      <c r="D577" t="s">
        <v>1962</v>
      </c>
      <c r="E577">
        <f>VLOOKUP(CONCATENATE(validProjetado[[#This Row],[Tipo]],validProjetado[[#This Row],[Destino]]),validConcreto!K:O,4)</f>
        <v>0.1</v>
      </c>
    </row>
    <row r="578" spans="1:5" hidden="1" x14ac:dyDescent="0.25">
      <c r="A578" s="11">
        <v>15</v>
      </c>
      <c r="B578" s="11" t="s">
        <v>1979</v>
      </c>
      <c r="C578" s="11">
        <v>1</v>
      </c>
      <c r="D578" t="s">
        <v>1962</v>
      </c>
      <c r="E578">
        <f>VLOOKUP(CONCATENATE(validProjetado[[#This Row],[Tipo]],validProjetado[[#This Row],[Destino]]),validConcreto!K:O,4)</f>
        <v>0.1</v>
      </c>
    </row>
    <row r="579" spans="1:5" hidden="1" x14ac:dyDescent="0.25">
      <c r="A579" s="11">
        <v>16</v>
      </c>
      <c r="B579" s="11" t="s">
        <v>1979</v>
      </c>
      <c r="C579" s="11">
        <v>1</v>
      </c>
      <c r="D579" t="s">
        <v>1962</v>
      </c>
      <c r="E579">
        <f>VLOOKUP(CONCATENATE(validProjetado[[#This Row],[Tipo]],validProjetado[[#This Row],[Destino]]),validConcreto!K:O,4)</f>
        <v>0.1</v>
      </c>
    </row>
    <row r="580" spans="1:5" hidden="1" x14ac:dyDescent="0.25">
      <c r="A580" s="11">
        <v>17</v>
      </c>
      <c r="B580" s="11" t="s">
        <v>1979</v>
      </c>
      <c r="C580" s="11">
        <v>1</v>
      </c>
      <c r="D580" t="s">
        <v>1962</v>
      </c>
      <c r="E580">
        <f>VLOOKUP(CONCATENATE(validProjetado[[#This Row],[Tipo]],validProjetado[[#This Row],[Destino]]),validConcreto!K:O,4)</f>
        <v>0.1</v>
      </c>
    </row>
    <row r="581" spans="1:5" hidden="1" x14ac:dyDescent="0.25">
      <c r="A581" s="11">
        <v>18</v>
      </c>
      <c r="B581" s="11" t="s">
        <v>1979</v>
      </c>
      <c r="C581" s="11">
        <v>1</v>
      </c>
      <c r="D581" t="s">
        <v>1962</v>
      </c>
      <c r="E581">
        <f>VLOOKUP(CONCATENATE(validProjetado[[#This Row],[Tipo]],validProjetado[[#This Row],[Destino]]),validConcreto!K:O,4)</f>
        <v>0.1</v>
      </c>
    </row>
    <row r="582" spans="1:5" hidden="1" x14ac:dyDescent="0.25">
      <c r="A582" s="11">
        <v>19</v>
      </c>
      <c r="B582" s="11" t="s">
        <v>1979</v>
      </c>
      <c r="C582" s="11">
        <v>1</v>
      </c>
      <c r="D582" t="s">
        <v>1962</v>
      </c>
      <c r="E582">
        <f>VLOOKUP(CONCATENATE(validProjetado[[#This Row],[Tipo]],validProjetado[[#This Row],[Destino]]),validConcreto!K:O,4)</f>
        <v>0.1</v>
      </c>
    </row>
    <row r="583" spans="1:5" hidden="1" x14ac:dyDescent="0.25">
      <c r="A583" s="11">
        <v>20</v>
      </c>
      <c r="B583" s="11" t="s">
        <v>1979</v>
      </c>
      <c r="C583" s="11">
        <v>1</v>
      </c>
      <c r="D583" t="s">
        <v>1962</v>
      </c>
      <c r="E583">
        <f>VLOOKUP(CONCATENATE(validProjetado[[#This Row],[Tipo]],validProjetado[[#This Row],[Destino]]),validConcreto!K:O,4)</f>
        <v>0.1</v>
      </c>
    </row>
    <row r="584" spans="1:5" hidden="1" x14ac:dyDescent="0.25">
      <c r="A584" s="11">
        <v>21</v>
      </c>
      <c r="B584" s="11" t="s">
        <v>1979</v>
      </c>
      <c r="C584" s="11">
        <v>1</v>
      </c>
      <c r="D584" t="s">
        <v>1962</v>
      </c>
      <c r="E584">
        <f>VLOOKUP(CONCATENATE(validProjetado[[#This Row],[Tipo]],validProjetado[[#This Row],[Destino]]),validConcreto!K:O,4)</f>
        <v>0.1</v>
      </c>
    </row>
    <row r="585" spans="1:5" hidden="1" x14ac:dyDescent="0.25">
      <c r="A585" s="11">
        <v>22</v>
      </c>
      <c r="B585" s="11" t="s">
        <v>1979</v>
      </c>
      <c r="C585" s="11">
        <v>1</v>
      </c>
      <c r="D585" t="s">
        <v>1962</v>
      </c>
      <c r="E585">
        <f>VLOOKUP(CONCATENATE(validProjetado[[#This Row],[Tipo]],validProjetado[[#This Row],[Destino]]),validConcreto!K:O,4)</f>
        <v>0.1</v>
      </c>
    </row>
    <row r="586" spans="1:5" hidden="1" x14ac:dyDescent="0.25">
      <c r="A586" s="11">
        <v>23</v>
      </c>
      <c r="B586" s="11" t="s">
        <v>1979</v>
      </c>
      <c r="C586" s="11">
        <v>1</v>
      </c>
      <c r="D586" t="s">
        <v>1962</v>
      </c>
      <c r="E586">
        <f>VLOOKUP(CONCATENATE(validProjetado[[#This Row],[Tipo]],validProjetado[[#This Row],[Destino]]),validConcreto!K:O,4)</f>
        <v>0.1</v>
      </c>
    </row>
    <row r="587" spans="1:5" hidden="1" x14ac:dyDescent="0.25">
      <c r="A587" s="11">
        <v>24</v>
      </c>
      <c r="B587" s="11" t="s">
        <v>1979</v>
      </c>
      <c r="C587" s="11">
        <v>1</v>
      </c>
      <c r="D587" t="s">
        <v>1962</v>
      </c>
      <c r="E587">
        <f>VLOOKUP(CONCATENATE(validProjetado[[#This Row],[Tipo]],validProjetado[[#This Row],[Destino]]),validConcreto!K:O,4)</f>
        <v>0.1</v>
      </c>
    </row>
    <row r="588" spans="1:5" hidden="1" x14ac:dyDescent="0.25">
      <c r="A588" s="11">
        <v>25</v>
      </c>
      <c r="B588" s="11" t="s">
        <v>1979</v>
      </c>
      <c r="C588" s="11">
        <v>1</v>
      </c>
      <c r="D588" t="s">
        <v>1962</v>
      </c>
      <c r="E588">
        <f>VLOOKUP(CONCATENATE(validProjetado[[#This Row],[Tipo]],validProjetado[[#This Row],[Destino]]),validConcreto!K:O,4)</f>
        <v>0.1</v>
      </c>
    </row>
    <row r="589" spans="1:5" hidden="1" x14ac:dyDescent="0.25">
      <c r="A589" s="11">
        <v>26</v>
      </c>
      <c r="B589" s="11" t="s">
        <v>1979</v>
      </c>
      <c r="C589" s="11">
        <v>1</v>
      </c>
      <c r="D589" t="s">
        <v>1962</v>
      </c>
      <c r="E589">
        <f>VLOOKUP(CONCATENATE(validProjetado[[#This Row],[Tipo]],validProjetado[[#This Row],[Destino]]),validConcreto!K:O,4)</f>
        <v>0.1</v>
      </c>
    </row>
    <row r="590" spans="1:5" hidden="1" x14ac:dyDescent="0.25">
      <c r="A590" s="11">
        <v>27</v>
      </c>
      <c r="B590" s="11" t="s">
        <v>1979</v>
      </c>
      <c r="C590" s="11">
        <v>1</v>
      </c>
      <c r="D590" t="s">
        <v>1962</v>
      </c>
      <c r="E590">
        <f>VLOOKUP(CONCATENATE(validProjetado[[#This Row],[Tipo]],validProjetado[[#This Row],[Destino]]),validConcreto!K:O,4)</f>
        <v>0.1</v>
      </c>
    </row>
    <row r="591" spans="1:5" hidden="1" x14ac:dyDescent="0.25">
      <c r="A591" s="11">
        <v>28</v>
      </c>
      <c r="B591" s="11" t="s">
        <v>1979</v>
      </c>
      <c r="C591" s="11">
        <v>1</v>
      </c>
      <c r="D591" t="s">
        <v>1962</v>
      </c>
      <c r="E591">
        <f>VLOOKUP(CONCATENATE(validProjetado[[#This Row],[Tipo]],validProjetado[[#This Row],[Destino]]),validConcreto!K:O,4)</f>
        <v>0.1</v>
      </c>
    </row>
    <row r="592" spans="1:5" hidden="1" x14ac:dyDescent="0.25">
      <c r="A592" s="11">
        <v>29</v>
      </c>
      <c r="B592" s="11" t="s">
        <v>1979</v>
      </c>
      <c r="C592" s="11">
        <v>2</v>
      </c>
      <c r="D592" t="s">
        <v>1962</v>
      </c>
      <c r="E592">
        <f>VLOOKUP(CONCATENATE(validProjetado[[#This Row],[Tipo]],validProjetado[[#This Row],[Destino]]),validConcreto!K:O,4)</f>
        <v>0.1</v>
      </c>
    </row>
    <row r="593" spans="1:5" hidden="1" x14ac:dyDescent="0.25">
      <c r="A593" s="11">
        <v>30</v>
      </c>
      <c r="B593" s="11" t="s">
        <v>1979</v>
      </c>
      <c r="C593" s="11">
        <v>2</v>
      </c>
      <c r="D593" t="s">
        <v>1962</v>
      </c>
      <c r="E593">
        <f>VLOOKUP(CONCATENATE(validProjetado[[#This Row],[Tipo]],validProjetado[[#This Row],[Destino]]),validConcreto!K:O,4)</f>
        <v>0.1</v>
      </c>
    </row>
    <row r="594" spans="1:5" hidden="1" x14ac:dyDescent="0.25">
      <c r="A594" s="11">
        <v>31</v>
      </c>
      <c r="B594" s="11" t="s">
        <v>1979</v>
      </c>
      <c r="C594" s="11">
        <v>2</v>
      </c>
      <c r="D594" t="s">
        <v>1962</v>
      </c>
      <c r="E594">
        <f>VLOOKUP(CONCATENATE(validProjetado[[#This Row],[Tipo]],validProjetado[[#This Row],[Destino]]),validConcreto!K:O,4)</f>
        <v>0.1</v>
      </c>
    </row>
    <row r="595" spans="1:5" hidden="1" x14ac:dyDescent="0.25">
      <c r="A595" s="11">
        <v>32</v>
      </c>
      <c r="B595" s="11" t="s">
        <v>1979</v>
      </c>
      <c r="C595" s="11">
        <v>2</v>
      </c>
      <c r="D595" t="s">
        <v>1962</v>
      </c>
      <c r="E595">
        <f>VLOOKUP(CONCATENATE(validProjetado[[#This Row],[Tipo]],validProjetado[[#This Row],[Destino]]),validConcreto!K:O,4)</f>
        <v>0.1</v>
      </c>
    </row>
    <row r="596" spans="1:5" hidden="1" x14ac:dyDescent="0.25">
      <c r="A596" s="11">
        <v>1</v>
      </c>
      <c r="B596" s="11" t="s">
        <v>1985</v>
      </c>
      <c r="C596" s="11">
        <v>1</v>
      </c>
      <c r="D596" t="s">
        <v>1962</v>
      </c>
      <c r="E596">
        <f>VLOOKUP(CONCATENATE(validProjetado[[#This Row],[Tipo]],validProjetado[[#This Row],[Destino]]),validConcreto!K:O,4)</f>
        <v>0.1</v>
      </c>
    </row>
    <row r="597" spans="1:5" hidden="1" x14ac:dyDescent="0.25">
      <c r="A597" s="11">
        <v>2</v>
      </c>
      <c r="B597" s="11" t="s">
        <v>1985</v>
      </c>
      <c r="C597" s="11">
        <v>2</v>
      </c>
      <c r="D597" t="s">
        <v>1962</v>
      </c>
      <c r="E597">
        <f>VLOOKUP(CONCATENATE(validProjetado[[#This Row],[Tipo]],validProjetado[[#This Row],[Destino]]),validConcreto!K:O,4)</f>
        <v>0.1</v>
      </c>
    </row>
    <row r="598" spans="1:5" hidden="1" x14ac:dyDescent="0.25">
      <c r="A598" s="11">
        <v>3</v>
      </c>
      <c r="B598" s="11" t="s">
        <v>1985</v>
      </c>
      <c r="C598" s="11">
        <v>1</v>
      </c>
      <c r="D598" t="s">
        <v>1962</v>
      </c>
      <c r="E598">
        <f>VLOOKUP(CONCATENATE(validProjetado[[#This Row],[Tipo]],validProjetado[[#This Row],[Destino]]),validConcreto!K:O,4)</f>
        <v>0.1</v>
      </c>
    </row>
    <row r="599" spans="1:5" hidden="1" x14ac:dyDescent="0.25">
      <c r="A599" s="11">
        <v>4</v>
      </c>
      <c r="B599" s="11" t="s">
        <v>1985</v>
      </c>
      <c r="C599" s="11">
        <v>2</v>
      </c>
      <c r="D599" t="s">
        <v>1962</v>
      </c>
      <c r="E599">
        <f>VLOOKUP(CONCATENATE(validProjetado[[#This Row],[Tipo]],validProjetado[[#This Row],[Destino]]),validConcreto!K:O,4)</f>
        <v>0.1</v>
      </c>
    </row>
    <row r="600" spans="1:5" hidden="1" x14ac:dyDescent="0.25">
      <c r="A600" s="11">
        <v>5</v>
      </c>
      <c r="B600" s="11" t="s">
        <v>1985</v>
      </c>
      <c r="C600" s="11">
        <v>1</v>
      </c>
      <c r="D600" t="s">
        <v>1962</v>
      </c>
      <c r="E600">
        <f>VLOOKUP(CONCATENATE(validProjetado[[#This Row],[Tipo]],validProjetado[[#This Row],[Destino]]),validConcreto!K:O,4)</f>
        <v>0.1</v>
      </c>
    </row>
    <row r="601" spans="1:5" hidden="1" x14ac:dyDescent="0.25">
      <c r="A601" s="11">
        <v>6</v>
      </c>
      <c r="B601" s="11" t="s">
        <v>1985</v>
      </c>
      <c r="C601" s="11">
        <v>2</v>
      </c>
      <c r="D601" t="s">
        <v>1962</v>
      </c>
      <c r="E601">
        <f>VLOOKUP(CONCATENATE(validProjetado[[#This Row],[Tipo]],validProjetado[[#This Row],[Destino]]),validConcreto!K:O,4)</f>
        <v>0.1</v>
      </c>
    </row>
    <row r="602" spans="1:5" hidden="1" x14ac:dyDescent="0.25">
      <c r="A602" s="11">
        <v>7</v>
      </c>
      <c r="B602" s="11" t="s">
        <v>1985</v>
      </c>
      <c r="C602" s="11">
        <v>1</v>
      </c>
      <c r="D602" t="s">
        <v>1962</v>
      </c>
      <c r="E602">
        <f>VLOOKUP(CONCATENATE(validProjetado[[#This Row],[Tipo]],validProjetado[[#This Row],[Destino]]),validConcreto!K:O,4)</f>
        <v>0.1</v>
      </c>
    </row>
    <row r="603" spans="1:5" hidden="1" x14ac:dyDescent="0.25">
      <c r="A603" s="11">
        <v>8</v>
      </c>
      <c r="B603" s="11" t="s">
        <v>1985</v>
      </c>
      <c r="C603" s="11">
        <v>2</v>
      </c>
      <c r="D603" t="s">
        <v>1962</v>
      </c>
      <c r="E603">
        <f>VLOOKUP(CONCATENATE(validProjetado[[#This Row],[Tipo]],validProjetado[[#This Row],[Destino]]),validConcreto!K:O,4)</f>
        <v>0.1</v>
      </c>
    </row>
    <row r="604" spans="1:5" hidden="1" x14ac:dyDescent="0.25">
      <c r="A604" s="11">
        <v>9</v>
      </c>
      <c r="B604" s="11" t="s">
        <v>1985</v>
      </c>
      <c r="C604" s="11">
        <v>1</v>
      </c>
      <c r="D604" t="s">
        <v>1962</v>
      </c>
      <c r="E604">
        <f>VLOOKUP(CONCATENATE(validProjetado[[#This Row],[Tipo]],validProjetado[[#This Row],[Destino]]),validConcreto!K:O,4)</f>
        <v>0.1</v>
      </c>
    </row>
    <row r="605" spans="1:5" hidden="1" x14ac:dyDescent="0.25">
      <c r="A605" s="11">
        <v>10</v>
      </c>
      <c r="B605" s="11" t="s">
        <v>1985</v>
      </c>
      <c r="C605" s="11">
        <v>2</v>
      </c>
      <c r="D605" t="s">
        <v>1962</v>
      </c>
      <c r="E605">
        <f>VLOOKUP(CONCATENATE(validProjetado[[#This Row],[Tipo]],validProjetado[[#This Row],[Destino]]),validConcreto!K:O,4)</f>
        <v>0.1</v>
      </c>
    </row>
    <row r="606" spans="1:5" hidden="1" x14ac:dyDescent="0.25">
      <c r="A606" s="11">
        <v>11</v>
      </c>
      <c r="B606" s="11" t="s">
        <v>1985</v>
      </c>
      <c r="C606" s="11">
        <v>1</v>
      </c>
      <c r="D606" t="s">
        <v>1962</v>
      </c>
      <c r="E606">
        <f>VLOOKUP(CONCATENATE(validProjetado[[#This Row],[Tipo]],validProjetado[[#This Row],[Destino]]),validConcreto!K:O,4)</f>
        <v>0.1</v>
      </c>
    </row>
    <row r="607" spans="1:5" hidden="1" x14ac:dyDescent="0.25">
      <c r="A607" s="11">
        <v>12</v>
      </c>
      <c r="B607" s="11" t="s">
        <v>1985</v>
      </c>
      <c r="C607" s="11">
        <v>2</v>
      </c>
      <c r="D607" t="s">
        <v>1962</v>
      </c>
      <c r="E607">
        <f>VLOOKUP(CONCATENATE(validProjetado[[#This Row],[Tipo]],validProjetado[[#This Row],[Destino]]),validConcreto!K:O,4)</f>
        <v>0.1</v>
      </c>
    </row>
    <row r="608" spans="1:5" hidden="1" x14ac:dyDescent="0.25">
      <c r="A608" s="11">
        <v>13</v>
      </c>
      <c r="B608" s="11" t="s">
        <v>1985</v>
      </c>
      <c r="C608" s="11">
        <v>1</v>
      </c>
      <c r="D608" t="s">
        <v>1962</v>
      </c>
      <c r="E608">
        <f>VLOOKUP(CONCATENATE(validProjetado[[#This Row],[Tipo]],validProjetado[[#This Row],[Destino]]),validConcreto!K:O,4)</f>
        <v>0.1</v>
      </c>
    </row>
    <row r="609" spans="1:5" hidden="1" x14ac:dyDescent="0.25">
      <c r="A609" s="11">
        <v>14</v>
      </c>
      <c r="B609" s="11" t="s">
        <v>1985</v>
      </c>
      <c r="C609" s="11">
        <v>2</v>
      </c>
      <c r="D609" t="s">
        <v>1962</v>
      </c>
      <c r="E609">
        <f>VLOOKUP(CONCATENATE(validProjetado[[#This Row],[Tipo]],validProjetado[[#This Row],[Destino]]),validConcreto!K:O,4)</f>
        <v>0.1</v>
      </c>
    </row>
    <row r="610" spans="1:5" hidden="1" x14ac:dyDescent="0.25">
      <c r="A610" s="11">
        <v>15</v>
      </c>
      <c r="B610" s="11" t="s">
        <v>1985</v>
      </c>
      <c r="C610" s="11">
        <v>1</v>
      </c>
      <c r="D610" t="s">
        <v>1962</v>
      </c>
      <c r="E610">
        <f>VLOOKUP(CONCATENATE(validProjetado[[#This Row],[Tipo]],validProjetado[[#This Row],[Destino]]),validConcreto!K:O,4)</f>
        <v>0.1</v>
      </c>
    </row>
    <row r="611" spans="1:5" hidden="1" x14ac:dyDescent="0.25">
      <c r="A611" s="11">
        <v>16</v>
      </c>
      <c r="B611" s="11" t="s">
        <v>1985</v>
      </c>
      <c r="C611" s="11">
        <v>2</v>
      </c>
      <c r="D611" t="s">
        <v>1962</v>
      </c>
      <c r="E611">
        <f>VLOOKUP(CONCATENATE(validProjetado[[#This Row],[Tipo]],validProjetado[[#This Row],[Destino]]),validConcreto!K:O,4)</f>
        <v>0.1</v>
      </c>
    </row>
    <row r="612" spans="1:5" hidden="1" x14ac:dyDescent="0.25">
      <c r="A612" s="11">
        <v>17</v>
      </c>
      <c r="B612" s="11" t="s">
        <v>1985</v>
      </c>
      <c r="C612" s="11">
        <v>1</v>
      </c>
      <c r="D612" t="s">
        <v>1962</v>
      </c>
      <c r="E612">
        <f>VLOOKUP(CONCATENATE(validProjetado[[#This Row],[Tipo]],validProjetado[[#This Row],[Destino]]),validConcreto!K:O,4)</f>
        <v>0.1</v>
      </c>
    </row>
    <row r="613" spans="1:5" hidden="1" x14ac:dyDescent="0.25">
      <c r="A613" s="11">
        <v>1</v>
      </c>
      <c r="B613" s="11" t="s">
        <v>1989</v>
      </c>
      <c r="C613" s="11">
        <v>2</v>
      </c>
      <c r="D613" t="s">
        <v>1962</v>
      </c>
      <c r="E613">
        <f>VLOOKUP(CONCATENATE(validProjetado[[#This Row],[Tipo]],validProjetado[[#This Row],[Destino]]),validConcreto!K:O,4)</f>
        <v>0.1</v>
      </c>
    </row>
    <row r="614" spans="1:5" hidden="1" x14ac:dyDescent="0.25">
      <c r="A614" s="11">
        <v>2</v>
      </c>
      <c r="B614" s="11" t="s">
        <v>1989</v>
      </c>
      <c r="C614" s="11">
        <v>1</v>
      </c>
      <c r="D614" t="s">
        <v>1962</v>
      </c>
      <c r="E614">
        <f>VLOOKUP(CONCATENATE(validProjetado[[#This Row],[Tipo]],validProjetado[[#This Row],[Destino]]),validConcreto!K:O,4)</f>
        <v>0.1</v>
      </c>
    </row>
    <row r="615" spans="1:5" hidden="1" x14ac:dyDescent="0.25">
      <c r="A615" s="11">
        <v>3</v>
      </c>
      <c r="B615" s="11" t="s">
        <v>1989</v>
      </c>
      <c r="C615" s="11">
        <v>2</v>
      </c>
      <c r="D615" t="s">
        <v>1962</v>
      </c>
      <c r="E615">
        <f>VLOOKUP(CONCATENATE(validProjetado[[#This Row],[Tipo]],validProjetado[[#This Row],[Destino]]),validConcreto!K:O,4)</f>
        <v>0.1</v>
      </c>
    </row>
    <row r="616" spans="1:5" hidden="1" x14ac:dyDescent="0.25">
      <c r="A616" s="11">
        <v>4</v>
      </c>
      <c r="B616" s="11" t="s">
        <v>1989</v>
      </c>
      <c r="C616" s="11">
        <v>1</v>
      </c>
      <c r="D616" t="s">
        <v>1962</v>
      </c>
      <c r="E616">
        <f>VLOOKUP(CONCATENATE(validProjetado[[#This Row],[Tipo]],validProjetado[[#This Row],[Destino]]),validConcreto!K:O,4)</f>
        <v>0.1</v>
      </c>
    </row>
    <row r="617" spans="1:5" hidden="1" x14ac:dyDescent="0.25">
      <c r="A617" s="11">
        <v>5</v>
      </c>
      <c r="B617" s="11" t="s">
        <v>1989</v>
      </c>
      <c r="C617" s="11">
        <v>2</v>
      </c>
      <c r="D617" t="s">
        <v>1962</v>
      </c>
      <c r="E617">
        <f>VLOOKUP(CONCATENATE(validProjetado[[#This Row],[Tipo]],validProjetado[[#This Row],[Destino]]),validConcreto!K:O,4)</f>
        <v>0.1</v>
      </c>
    </row>
    <row r="618" spans="1:5" hidden="1" x14ac:dyDescent="0.25">
      <c r="A618" s="11">
        <v>6</v>
      </c>
      <c r="B618" s="11" t="s">
        <v>1989</v>
      </c>
      <c r="C618" s="11">
        <v>1</v>
      </c>
      <c r="D618" t="s">
        <v>1962</v>
      </c>
      <c r="E618">
        <f>VLOOKUP(CONCATENATE(validProjetado[[#This Row],[Tipo]],validProjetado[[#This Row],[Destino]]),validConcreto!K:O,4)</f>
        <v>0.1</v>
      </c>
    </row>
    <row r="619" spans="1:5" hidden="1" x14ac:dyDescent="0.25">
      <c r="A619" s="11">
        <v>7</v>
      </c>
      <c r="B619" s="11" t="s">
        <v>1989</v>
      </c>
      <c r="C619" s="11">
        <v>2</v>
      </c>
      <c r="D619" t="s">
        <v>1962</v>
      </c>
      <c r="E619">
        <f>VLOOKUP(CONCATENATE(validProjetado[[#This Row],[Tipo]],validProjetado[[#This Row],[Destino]]),validConcreto!K:O,4)</f>
        <v>0.1</v>
      </c>
    </row>
    <row r="620" spans="1:5" hidden="1" x14ac:dyDescent="0.25">
      <c r="A620" s="11">
        <v>8</v>
      </c>
      <c r="B620" s="11" t="s">
        <v>1989</v>
      </c>
      <c r="C620" s="11">
        <v>1</v>
      </c>
      <c r="D620" t="s">
        <v>1962</v>
      </c>
      <c r="E620">
        <f>VLOOKUP(CONCATENATE(validProjetado[[#This Row],[Tipo]],validProjetado[[#This Row],[Destino]]),validConcreto!K:O,4)</f>
        <v>0.1</v>
      </c>
    </row>
    <row r="621" spans="1:5" hidden="1" x14ac:dyDescent="0.25">
      <c r="A621" s="11">
        <v>9</v>
      </c>
      <c r="B621" s="11" t="s">
        <v>1989</v>
      </c>
      <c r="C621" s="11">
        <v>2</v>
      </c>
      <c r="D621" t="s">
        <v>1962</v>
      </c>
      <c r="E621">
        <f>VLOOKUP(CONCATENATE(validProjetado[[#This Row],[Tipo]],validProjetado[[#This Row],[Destino]]),validConcreto!K:O,4)</f>
        <v>0.1</v>
      </c>
    </row>
    <row r="622" spans="1:5" hidden="1" x14ac:dyDescent="0.25">
      <c r="A622" s="11">
        <v>10</v>
      </c>
      <c r="B622" s="11" t="s">
        <v>1989</v>
      </c>
      <c r="C622" s="11">
        <v>1</v>
      </c>
      <c r="D622" t="s">
        <v>1962</v>
      </c>
      <c r="E622">
        <f>VLOOKUP(CONCATENATE(validProjetado[[#This Row],[Tipo]],validProjetado[[#This Row],[Destino]]),validConcreto!K:O,4)</f>
        <v>0.1</v>
      </c>
    </row>
    <row r="623" spans="1:5" hidden="1" x14ac:dyDescent="0.25">
      <c r="A623" s="11">
        <v>11</v>
      </c>
      <c r="B623" s="11" t="s">
        <v>1989</v>
      </c>
      <c r="C623" s="11">
        <v>2</v>
      </c>
      <c r="D623" t="s">
        <v>1962</v>
      </c>
      <c r="E623">
        <f>VLOOKUP(CONCATENATE(validProjetado[[#This Row],[Tipo]],validProjetado[[#This Row],[Destino]]),validConcreto!K:O,4)</f>
        <v>0.1</v>
      </c>
    </row>
    <row r="624" spans="1:5" hidden="1" x14ac:dyDescent="0.25">
      <c r="A624" s="11">
        <v>12</v>
      </c>
      <c r="B624" s="11" t="s">
        <v>1989</v>
      </c>
      <c r="C624" s="11">
        <v>1</v>
      </c>
      <c r="D624" t="s">
        <v>1962</v>
      </c>
      <c r="E624">
        <f>VLOOKUP(CONCATENATE(validProjetado[[#This Row],[Tipo]],validProjetado[[#This Row],[Destino]]),validConcreto!K:O,4)</f>
        <v>0.1</v>
      </c>
    </row>
    <row r="625" spans="1:5" hidden="1" x14ac:dyDescent="0.25">
      <c r="A625" s="11">
        <v>13</v>
      </c>
      <c r="B625" s="11" t="s">
        <v>1989</v>
      </c>
      <c r="C625" s="11">
        <v>2</v>
      </c>
      <c r="D625" t="s">
        <v>1962</v>
      </c>
      <c r="E625">
        <f>VLOOKUP(CONCATENATE(validProjetado[[#This Row],[Tipo]],validProjetado[[#This Row],[Destino]]),validConcreto!K:O,4)</f>
        <v>0.1</v>
      </c>
    </row>
    <row r="626" spans="1:5" hidden="1" x14ac:dyDescent="0.25">
      <c r="A626" s="11">
        <v>14</v>
      </c>
      <c r="B626" s="11" t="s">
        <v>1989</v>
      </c>
      <c r="C626" s="11">
        <v>1</v>
      </c>
      <c r="D626" t="s">
        <v>1962</v>
      </c>
      <c r="E626">
        <f>VLOOKUP(CONCATENATE(validProjetado[[#This Row],[Tipo]],validProjetado[[#This Row],[Destino]]),validConcreto!K:O,4)</f>
        <v>0.1</v>
      </c>
    </row>
    <row r="627" spans="1:5" hidden="1" x14ac:dyDescent="0.25">
      <c r="A627" s="11">
        <v>1</v>
      </c>
      <c r="B627" s="11" t="s">
        <v>1992</v>
      </c>
      <c r="C627" s="11">
        <v>1</v>
      </c>
      <c r="D627" t="s">
        <v>1962</v>
      </c>
      <c r="E627">
        <f>VLOOKUP(CONCATENATE(validProjetado[[#This Row],[Tipo]],validProjetado[[#This Row],[Destino]]),validConcreto!K:O,4)</f>
        <v>0.1</v>
      </c>
    </row>
    <row r="628" spans="1:5" hidden="1" x14ac:dyDescent="0.25">
      <c r="A628" s="11">
        <v>2</v>
      </c>
      <c r="B628" s="11" t="s">
        <v>1992</v>
      </c>
      <c r="C628" s="11">
        <v>2</v>
      </c>
      <c r="D628" t="s">
        <v>1962</v>
      </c>
      <c r="E628">
        <f>VLOOKUP(CONCATENATE(validProjetado[[#This Row],[Tipo]],validProjetado[[#This Row],[Destino]]),validConcreto!K:O,4)</f>
        <v>0.1</v>
      </c>
    </row>
    <row r="629" spans="1:5" hidden="1" x14ac:dyDescent="0.25">
      <c r="A629" s="11">
        <v>3</v>
      </c>
      <c r="B629" s="11" t="s">
        <v>1992</v>
      </c>
      <c r="C629" s="11">
        <v>2</v>
      </c>
      <c r="D629" t="s">
        <v>1962</v>
      </c>
      <c r="E629">
        <f>VLOOKUP(CONCATENATE(validProjetado[[#This Row],[Tipo]],validProjetado[[#This Row],[Destino]]),validConcreto!K:O,4)</f>
        <v>0.1</v>
      </c>
    </row>
    <row r="630" spans="1:5" hidden="1" x14ac:dyDescent="0.25">
      <c r="A630" s="11">
        <v>4</v>
      </c>
      <c r="B630" s="11" t="s">
        <v>1992</v>
      </c>
      <c r="C630" s="11">
        <v>1</v>
      </c>
      <c r="D630" t="s">
        <v>1962</v>
      </c>
      <c r="E630">
        <f>VLOOKUP(CONCATENATE(validProjetado[[#This Row],[Tipo]],validProjetado[[#This Row],[Destino]]),validConcreto!K:O,4)</f>
        <v>0.1</v>
      </c>
    </row>
    <row r="631" spans="1:5" hidden="1" x14ac:dyDescent="0.25">
      <c r="A631" s="11">
        <v>5</v>
      </c>
      <c r="B631" s="11" t="s">
        <v>1992</v>
      </c>
      <c r="C631" s="11">
        <v>1</v>
      </c>
      <c r="D631" t="s">
        <v>1962</v>
      </c>
      <c r="E631">
        <f>VLOOKUP(CONCATENATE(validProjetado[[#This Row],[Tipo]],validProjetado[[#This Row],[Destino]]),validConcreto!K:O,4)</f>
        <v>0.1</v>
      </c>
    </row>
    <row r="632" spans="1:5" hidden="1" x14ac:dyDescent="0.25">
      <c r="A632" s="11">
        <v>6</v>
      </c>
      <c r="B632" s="11" t="s">
        <v>1992</v>
      </c>
      <c r="C632" s="11">
        <v>1</v>
      </c>
      <c r="D632" t="s">
        <v>1962</v>
      </c>
      <c r="E632">
        <f>VLOOKUP(CONCATENATE(validProjetado[[#This Row],[Tipo]],validProjetado[[#This Row],[Destino]]),validConcreto!K:O,4)</f>
        <v>0.1</v>
      </c>
    </row>
    <row r="633" spans="1:5" hidden="1" x14ac:dyDescent="0.25">
      <c r="A633" s="11">
        <v>7</v>
      </c>
      <c r="B633" s="11" t="s">
        <v>1992</v>
      </c>
      <c r="C633" s="11">
        <v>1</v>
      </c>
      <c r="D633" t="s">
        <v>1962</v>
      </c>
      <c r="E633">
        <f>VLOOKUP(CONCATENATE(validProjetado[[#This Row],[Tipo]],validProjetado[[#This Row],[Destino]]),validConcreto!K:O,4)</f>
        <v>0.1</v>
      </c>
    </row>
    <row r="634" spans="1:5" hidden="1" x14ac:dyDescent="0.25">
      <c r="A634" s="11">
        <v>8</v>
      </c>
      <c r="B634" s="11" t="s">
        <v>1992</v>
      </c>
      <c r="C634" s="11">
        <v>1</v>
      </c>
      <c r="D634" t="s">
        <v>1962</v>
      </c>
      <c r="E634">
        <f>VLOOKUP(CONCATENATE(validProjetado[[#This Row],[Tipo]],validProjetado[[#This Row],[Destino]]),validConcreto!K:O,4)</f>
        <v>0.1</v>
      </c>
    </row>
    <row r="635" spans="1:5" hidden="1" x14ac:dyDescent="0.25">
      <c r="A635" s="11">
        <v>9</v>
      </c>
      <c r="B635" s="11" t="s">
        <v>1992</v>
      </c>
      <c r="C635" s="11">
        <v>1</v>
      </c>
      <c r="D635" t="s">
        <v>1962</v>
      </c>
      <c r="E635">
        <f>VLOOKUP(CONCATENATE(validProjetado[[#This Row],[Tipo]],validProjetado[[#This Row],[Destino]]),validConcreto!K:O,4)</f>
        <v>0.1</v>
      </c>
    </row>
    <row r="636" spans="1:5" hidden="1" x14ac:dyDescent="0.25">
      <c r="A636" s="11">
        <v>10</v>
      </c>
      <c r="B636" s="11" t="s">
        <v>1992</v>
      </c>
      <c r="C636" s="11">
        <v>1</v>
      </c>
      <c r="D636" t="s">
        <v>1962</v>
      </c>
      <c r="E636">
        <f>VLOOKUP(CONCATENATE(validProjetado[[#This Row],[Tipo]],validProjetado[[#This Row],[Destino]]),validConcreto!K:O,4)</f>
        <v>0.1</v>
      </c>
    </row>
    <row r="637" spans="1:5" hidden="1" x14ac:dyDescent="0.25">
      <c r="A637" s="11">
        <v>11</v>
      </c>
      <c r="B637" s="11" t="s">
        <v>1992</v>
      </c>
      <c r="C637" s="11">
        <v>1</v>
      </c>
      <c r="D637" t="s">
        <v>1962</v>
      </c>
      <c r="E637">
        <f>VLOOKUP(CONCATENATE(validProjetado[[#This Row],[Tipo]],validProjetado[[#This Row],[Destino]]),validConcreto!K:O,4)</f>
        <v>0.1</v>
      </c>
    </row>
    <row r="638" spans="1:5" hidden="1" x14ac:dyDescent="0.25">
      <c r="A638" s="11">
        <v>12</v>
      </c>
      <c r="B638" s="11" t="s">
        <v>1992</v>
      </c>
      <c r="C638" s="11">
        <v>1</v>
      </c>
      <c r="D638" t="s">
        <v>1962</v>
      </c>
      <c r="E638">
        <f>VLOOKUP(CONCATENATE(validProjetado[[#This Row],[Tipo]],validProjetado[[#This Row],[Destino]]),validConcreto!K:O,4)</f>
        <v>0.1</v>
      </c>
    </row>
    <row r="639" spans="1:5" hidden="1" x14ac:dyDescent="0.25">
      <c r="A639" s="11">
        <v>13</v>
      </c>
      <c r="B639" s="11" t="s">
        <v>1992</v>
      </c>
      <c r="C639" s="11">
        <v>1</v>
      </c>
      <c r="D639" t="s">
        <v>1962</v>
      </c>
      <c r="E639">
        <f>VLOOKUP(CONCATENATE(validProjetado[[#This Row],[Tipo]],validProjetado[[#This Row],[Destino]]),validConcreto!K:O,4)</f>
        <v>0.1</v>
      </c>
    </row>
    <row r="640" spans="1:5" hidden="1" x14ac:dyDescent="0.25">
      <c r="A640" s="11">
        <v>14</v>
      </c>
      <c r="B640" s="11" t="s">
        <v>1992</v>
      </c>
      <c r="C640" s="11">
        <v>2</v>
      </c>
      <c r="D640" t="s">
        <v>1962</v>
      </c>
      <c r="E640">
        <f>VLOOKUP(CONCATENATE(validProjetado[[#This Row],[Tipo]],validProjetado[[#This Row],[Destino]]),validConcreto!K:O,4)</f>
        <v>0.1</v>
      </c>
    </row>
    <row r="641" spans="1:5" hidden="1" x14ac:dyDescent="0.25">
      <c r="A641" s="11">
        <v>15</v>
      </c>
      <c r="B641" s="11" t="s">
        <v>1992</v>
      </c>
      <c r="C641" s="11">
        <v>2</v>
      </c>
      <c r="D641" t="s">
        <v>1962</v>
      </c>
      <c r="E641">
        <f>VLOOKUP(CONCATENATE(validProjetado[[#This Row],[Tipo]],validProjetado[[#This Row],[Destino]]),validConcreto!K:O,4)</f>
        <v>0.1</v>
      </c>
    </row>
    <row r="642" spans="1:5" hidden="1" x14ac:dyDescent="0.25">
      <c r="A642" s="11">
        <v>1</v>
      </c>
      <c r="B642" s="11" t="s">
        <v>1995</v>
      </c>
      <c r="C642" s="11">
        <v>1</v>
      </c>
      <c r="D642" t="s">
        <v>1962</v>
      </c>
      <c r="E642">
        <f>VLOOKUP(CONCATENATE(validProjetado[[#This Row],[Tipo]],validProjetado[[#This Row],[Destino]]),validConcreto!K:O,4)</f>
        <v>0.1</v>
      </c>
    </row>
    <row r="643" spans="1:5" hidden="1" x14ac:dyDescent="0.25">
      <c r="A643" s="11">
        <v>2</v>
      </c>
      <c r="B643" s="11" t="s">
        <v>1995</v>
      </c>
      <c r="C643" s="11">
        <v>2</v>
      </c>
      <c r="D643" t="s">
        <v>1962</v>
      </c>
      <c r="E643">
        <f>VLOOKUP(CONCATENATE(validProjetado[[#This Row],[Tipo]],validProjetado[[#This Row],[Destino]]),validConcreto!K:O,4)</f>
        <v>0.1</v>
      </c>
    </row>
    <row r="644" spans="1:5" hidden="1" x14ac:dyDescent="0.25">
      <c r="A644" s="11">
        <v>3</v>
      </c>
      <c r="B644" s="11" t="s">
        <v>1995</v>
      </c>
      <c r="C644" s="11">
        <v>1</v>
      </c>
      <c r="D644" t="s">
        <v>1962</v>
      </c>
      <c r="E644">
        <f>VLOOKUP(CONCATENATE(validProjetado[[#This Row],[Tipo]],validProjetado[[#This Row],[Destino]]),validConcreto!K:O,4)</f>
        <v>0.1</v>
      </c>
    </row>
    <row r="645" spans="1:5" hidden="1" x14ac:dyDescent="0.25">
      <c r="A645" s="11">
        <v>4</v>
      </c>
      <c r="B645" s="11" t="s">
        <v>1995</v>
      </c>
      <c r="C645" s="11">
        <v>2</v>
      </c>
      <c r="D645" t="s">
        <v>1962</v>
      </c>
      <c r="E645">
        <f>VLOOKUP(CONCATENATE(validProjetado[[#This Row],[Tipo]],validProjetado[[#This Row],[Destino]]),validConcreto!K:O,4)</f>
        <v>0.1</v>
      </c>
    </row>
    <row r="646" spans="1:5" hidden="1" x14ac:dyDescent="0.25">
      <c r="A646" s="11">
        <v>5</v>
      </c>
      <c r="B646" s="11" t="s">
        <v>1995</v>
      </c>
      <c r="C646" s="11">
        <v>1</v>
      </c>
      <c r="D646" t="s">
        <v>1962</v>
      </c>
      <c r="E646">
        <f>VLOOKUP(CONCATENATE(validProjetado[[#This Row],[Tipo]],validProjetado[[#This Row],[Destino]]),validConcreto!K:O,4)</f>
        <v>0.1</v>
      </c>
    </row>
    <row r="647" spans="1:5" hidden="1" x14ac:dyDescent="0.25">
      <c r="A647" s="11">
        <v>6</v>
      </c>
      <c r="B647" s="11" t="s">
        <v>1995</v>
      </c>
      <c r="C647" s="11">
        <v>2</v>
      </c>
      <c r="D647" t="s">
        <v>1962</v>
      </c>
      <c r="E647">
        <f>VLOOKUP(CONCATENATE(validProjetado[[#This Row],[Tipo]],validProjetado[[#This Row],[Destino]]),validConcreto!K:O,4)</f>
        <v>0.1</v>
      </c>
    </row>
    <row r="648" spans="1:5" hidden="1" x14ac:dyDescent="0.25">
      <c r="A648" s="11">
        <v>7</v>
      </c>
      <c r="B648" s="11" t="s">
        <v>1995</v>
      </c>
      <c r="C648" s="11">
        <v>1</v>
      </c>
      <c r="D648" t="s">
        <v>1962</v>
      </c>
      <c r="E648">
        <f>VLOOKUP(CONCATENATE(validProjetado[[#This Row],[Tipo]],validProjetado[[#This Row],[Destino]]),validConcreto!K:O,4)</f>
        <v>0.1</v>
      </c>
    </row>
    <row r="649" spans="1:5" hidden="1" x14ac:dyDescent="0.25">
      <c r="A649" s="11">
        <v>8</v>
      </c>
      <c r="B649" s="11" t="s">
        <v>1995</v>
      </c>
      <c r="C649" s="11">
        <v>2</v>
      </c>
      <c r="D649" t="s">
        <v>1962</v>
      </c>
      <c r="E649">
        <f>VLOOKUP(CONCATENATE(validProjetado[[#This Row],[Tipo]],validProjetado[[#This Row],[Destino]]),validConcreto!K:O,4)</f>
        <v>0.1</v>
      </c>
    </row>
    <row r="650" spans="1:5" hidden="1" x14ac:dyDescent="0.25">
      <c r="A650" s="11">
        <v>9</v>
      </c>
      <c r="B650" s="11" t="s">
        <v>1995</v>
      </c>
      <c r="C650" s="11">
        <v>1</v>
      </c>
      <c r="D650" t="s">
        <v>1962</v>
      </c>
      <c r="E650">
        <f>VLOOKUP(CONCATENATE(validProjetado[[#This Row],[Tipo]],validProjetado[[#This Row],[Destino]]),validConcreto!K:O,4)</f>
        <v>0.1</v>
      </c>
    </row>
    <row r="651" spans="1:5" hidden="1" x14ac:dyDescent="0.25">
      <c r="A651" s="11">
        <v>10</v>
      </c>
      <c r="B651" s="11" t="s">
        <v>1995</v>
      </c>
      <c r="C651" s="11">
        <v>2</v>
      </c>
      <c r="D651" t="s">
        <v>1962</v>
      </c>
      <c r="E651">
        <f>VLOOKUP(CONCATENATE(validProjetado[[#This Row],[Tipo]],validProjetado[[#This Row],[Destino]]),validConcreto!K:O,4)</f>
        <v>0.1</v>
      </c>
    </row>
    <row r="652" spans="1:5" hidden="1" x14ac:dyDescent="0.25">
      <c r="A652" s="11">
        <v>11</v>
      </c>
      <c r="B652" s="11" t="s">
        <v>1995</v>
      </c>
      <c r="C652" s="11">
        <v>1</v>
      </c>
      <c r="D652" t="s">
        <v>1962</v>
      </c>
      <c r="E652">
        <f>VLOOKUP(CONCATENATE(validProjetado[[#This Row],[Tipo]],validProjetado[[#This Row],[Destino]]),validConcreto!K:O,4)</f>
        <v>0.1</v>
      </c>
    </row>
    <row r="653" spans="1:5" hidden="1" x14ac:dyDescent="0.25">
      <c r="A653" s="11">
        <v>12</v>
      </c>
      <c r="B653" s="11" t="s">
        <v>1995</v>
      </c>
      <c r="C653" s="11">
        <v>2</v>
      </c>
      <c r="D653" t="s">
        <v>1962</v>
      </c>
      <c r="E653">
        <f>VLOOKUP(CONCATENATE(validProjetado[[#This Row],[Tipo]],validProjetado[[#This Row],[Destino]]),validConcreto!K:O,4)</f>
        <v>0.1</v>
      </c>
    </row>
    <row r="654" spans="1:5" hidden="1" x14ac:dyDescent="0.25">
      <c r="A654" s="11">
        <v>13</v>
      </c>
      <c r="B654" s="11" t="s">
        <v>1995</v>
      </c>
      <c r="C654" s="11">
        <v>1</v>
      </c>
      <c r="D654" t="s">
        <v>1962</v>
      </c>
      <c r="E654">
        <f>VLOOKUP(CONCATENATE(validProjetado[[#This Row],[Tipo]],validProjetado[[#This Row],[Destino]]),validConcreto!K:O,4)</f>
        <v>0.1</v>
      </c>
    </row>
    <row r="655" spans="1:5" hidden="1" x14ac:dyDescent="0.25">
      <c r="A655" s="11">
        <v>14</v>
      </c>
      <c r="B655" s="11" t="s">
        <v>1995</v>
      </c>
      <c r="C655" s="11">
        <v>2</v>
      </c>
      <c r="D655" t="s">
        <v>1962</v>
      </c>
      <c r="E655">
        <f>VLOOKUP(CONCATENATE(validProjetado[[#This Row],[Tipo]],validProjetado[[#This Row],[Destino]]),validConcreto!K:O,4)</f>
        <v>0.1</v>
      </c>
    </row>
    <row r="656" spans="1:5" hidden="1" x14ac:dyDescent="0.25">
      <c r="A656" s="11">
        <v>15</v>
      </c>
      <c r="B656" s="11" t="s">
        <v>1995</v>
      </c>
      <c r="C656" s="11">
        <v>1</v>
      </c>
      <c r="D656" t="s">
        <v>1962</v>
      </c>
      <c r="E656">
        <f>VLOOKUP(CONCATENATE(validProjetado[[#This Row],[Tipo]],validProjetado[[#This Row],[Destino]]),validConcreto!K:O,4)</f>
        <v>0.1</v>
      </c>
    </row>
    <row r="657" spans="1:5" hidden="1" x14ac:dyDescent="0.25">
      <c r="A657" s="11">
        <v>16</v>
      </c>
      <c r="B657" s="11" t="s">
        <v>1995</v>
      </c>
      <c r="C657" s="11">
        <v>2</v>
      </c>
      <c r="D657" t="s">
        <v>1962</v>
      </c>
      <c r="E657">
        <f>VLOOKUP(CONCATENATE(validProjetado[[#This Row],[Tipo]],validProjetado[[#This Row],[Destino]]),validConcreto!K:O,4)</f>
        <v>0.1</v>
      </c>
    </row>
    <row r="658" spans="1:5" hidden="1" x14ac:dyDescent="0.25">
      <c r="A658" s="11">
        <v>17</v>
      </c>
      <c r="B658" s="11" t="s">
        <v>1995</v>
      </c>
      <c r="C658" s="11">
        <v>1</v>
      </c>
      <c r="D658" t="s">
        <v>1962</v>
      </c>
      <c r="E658">
        <f>VLOOKUP(CONCATENATE(validProjetado[[#This Row],[Tipo]],validProjetado[[#This Row],[Destino]]),validConcreto!K:O,4)</f>
        <v>0.1</v>
      </c>
    </row>
    <row r="659" spans="1:5" hidden="1" x14ac:dyDescent="0.25">
      <c r="A659" s="11">
        <v>1</v>
      </c>
      <c r="B659" s="11" t="s">
        <v>1999</v>
      </c>
      <c r="C659" s="11">
        <v>2</v>
      </c>
      <c r="D659" t="s">
        <v>1962</v>
      </c>
      <c r="E659">
        <f>VLOOKUP(CONCATENATE(validProjetado[[#This Row],[Tipo]],validProjetado[[#This Row],[Destino]]),validConcreto!K:O,4)</f>
        <v>0.1</v>
      </c>
    </row>
    <row r="660" spans="1:5" hidden="1" x14ac:dyDescent="0.25">
      <c r="A660" s="11">
        <v>2</v>
      </c>
      <c r="B660" s="11" t="s">
        <v>1999</v>
      </c>
      <c r="C660" s="11">
        <v>1</v>
      </c>
      <c r="D660" t="s">
        <v>1962</v>
      </c>
      <c r="E660">
        <f>VLOOKUP(CONCATENATE(validProjetado[[#This Row],[Tipo]],validProjetado[[#This Row],[Destino]]),validConcreto!K:O,4)</f>
        <v>0.1</v>
      </c>
    </row>
    <row r="661" spans="1:5" hidden="1" x14ac:dyDescent="0.25">
      <c r="A661" s="11">
        <v>3</v>
      </c>
      <c r="B661" s="11" t="s">
        <v>1999</v>
      </c>
      <c r="C661" s="11">
        <v>2</v>
      </c>
      <c r="D661" t="s">
        <v>1962</v>
      </c>
      <c r="E661">
        <f>VLOOKUP(CONCATENATE(validProjetado[[#This Row],[Tipo]],validProjetado[[#This Row],[Destino]]),validConcreto!K:O,4)</f>
        <v>0.1</v>
      </c>
    </row>
    <row r="662" spans="1:5" hidden="1" x14ac:dyDescent="0.25">
      <c r="A662" s="11">
        <v>4</v>
      </c>
      <c r="B662" s="11" t="s">
        <v>1999</v>
      </c>
      <c r="C662" s="11">
        <v>1</v>
      </c>
      <c r="D662" t="s">
        <v>1962</v>
      </c>
      <c r="E662">
        <f>VLOOKUP(CONCATENATE(validProjetado[[#This Row],[Tipo]],validProjetado[[#This Row],[Destino]]),validConcreto!K:O,4)</f>
        <v>0.1</v>
      </c>
    </row>
    <row r="663" spans="1:5" hidden="1" x14ac:dyDescent="0.25">
      <c r="A663" s="11">
        <v>5</v>
      </c>
      <c r="B663" s="11" t="s">
        <v>1999</v>
      </c>
      <c r="C663" s="11">
        <v>2</v>
      </c>
      <c r="D663" t="s">
        <v>1962</v>
      </c>
      <c r="E663">
        <f>VLOOKUP(CONCATENATE(validProjetado[[#This Row],[Tipo]],validProjetado[[#This Row],[Destino]]),validConcreto!K:O,4)</f>
        <v>0.1</v>
      </c>
    </row>
    <row r="664" spans="1:5" hidden="1" x14ac:dyDescent="0.25">
      <c r="A664" s="11">
        <v>6</v>
      </c>
      <c r="B664" s="11" t="s">
        <v>1999</v>
      </c>
      <c r="C664" s="11">
        <v>1</v>
      </c>
      <c r="D664" t="s">
        <v>1962</v>
      </c>
      <c r="E664">
        <f>VLOOKUP(CONCATENATE(validProjetado[[#This Row],[Tipo]],validProjetado[[#This Row],[Destino]]),validConcreto!K:O,4)</f>
        <v>0.1</v>
      </c>
    </row>
    <row r="665" spans="1:5" hidden="1" x14ac:dyDescent="0.25">
      <c r="A665" s="11">
        <v>7</v>
      </c>
      <c r="B665" s="11" t="s">
        <v>1999</v>
      </c>
      <c r="C665" s="11">
        <v>2</v>
      </c>
      <c r="D665" t="s">
        <v>1962</v>
      </c>
      <c r="E665">
        <f>VLOOKUP(CONCATENATE(validProjetado[[#This Row],[Tipo]],validProjetado[[#This Row],[Destino]]),validConcreto!K:O,4)</f>
        <v>0.1</v>
      </c>
    </row>
    <row r="666" spans="1:5" hidden="1" x14ac:dyDescent="0.25">
      <c r="A666" s="11">
        <v>8</v>
      </c>
      <c r="B666" s="11" t="s">
        <v>1999</v>
      </c>
      <c r="C666" s="11">
        <v>1</v>
      </c>
      <c r="D666" t="s">
        <v>1962</v>
      </c>
      <c r="E666">
        <f>VLOOKUP(CONCATENATE(validProjetado[[#This Row],[Tipo]],validProjetado[[#This Row],[Destino]]),validConcreto!K:O,4)</f>
        <v>0.1</v>
      </c>
    </row>
    <row r="667" spans="1:5" hidden="1" x14ac:dyDescent="0.25">
      <c r="A667" s="11">
        <v>9</v>
      </c>
      <c r="B667" s="11" t="s">
        <v>1999</v>
      </c>
      <c r="C667" s="11">
        <v>2</v>
      </c>
      <c r="D667" t="s">
        <v>1962</v>
      </c>
      <c r="E667">
        <f>VLOOKUP(CONCATENATE(validProjetado[[#This Row],[Tipo]],validProjetado[[#This Row],[Destino]]),validConcreto!K:O,4)</f>
        <v>0.1</v>
      </c>
    </row>
    <row r="668" spans="1:5" hidden="1" x14ac:dyDescent="0.25">
      <c r="A668" s="11">
        <v>10</v>
      </c>
      <c r="B668" s="11" t="s">
        <v>1999</v>
      </c>
      <c r="C668" s="11">
        <v>1</v>
      </c>
      <c r="D668" t="s">
        <v>1962</v>
      </c>
      <c r="E668">
        <f>VLOOKUP(CONCATENATE(validProjetado[[#This Row],[Tipo]],validProjetado[[#This Row],[Destino]]),validConcreto!K:O,4)</f>
        <v>0.1</v>
      </c>
    </row>
    <row r="669" spans="1:5" hidden="1" x14ac:dyDescent="0.25">
      <c r="A669" s="11">
        <v>11</v>
      </c>
      <c r="B669" s="11" t="s">
        <v>1999</v>
      </c>
      <c r="C669" s="11">
        <v>2</v>
      </c>
      <c r="D669" t="s">
        <v>1962</v>
      </c>
      <c r="E669">
        <f>VLOOKUP(CONCATENATE(validProjetado[[#This Row],[Tipo]],validProjetado[[#This Row],[Destino]]),validConcreto!K:O,4)</f>
        <v>0.1</v>
      </c>
    </row>
    <row r="670" spans="1:5" hidden="1" x14ac:dyDescent="0.25">
      <c r="A670" s="11">
        <v>12</v>
      </c>
      <c r="B670" s="11" t="s">
        <v>1999</v>
      </c>
      <c r="C670" s="11">
        <v>1</v>
      </c>
      <c r="D670" t="s">
        <v>1962</v>
      </c>
      <c r="E670">
        <f>VLOOKUP(CONCATENATE(validProjetado[[#This Row],[Tipo]],validProjetado[[#This Row],[Destino]]),validConcreto!K:O,4)</f>
        <v>0.1</v>
      </c>
    </row>
    <row r="671" spans="1:5" hidden="1" x14ac:dyDescent="0.25">
      <c r="A671" s="11">
        <v>13</v>
      </c>
      <c r="B671" s="11" t="s">
        <v>1999</v>
      </c>
      <c r="C671" s="11">
        <v>2</v>
      </c>
      <c r="D671" t="s">
        <v>1962</v>
      </c>
      <c r="E671">
        <f>VLOOKUP(CONCATENATE(validProjetado[[#This Row],[Tipo]],validProjetado[[#This Row],[Destino]]),validConcreto!K:O,4)</f>
        <v>0.1</v>
      </c>
    </row>
    <row r="672" spans="1:5" hidden="1" x14ac:dyDescent="0.25">
      <c r="A672" s="11">
        <v>14</v>
      </c>
      <c r="B672" s="11" t="s">
        <v>1999</v>
      </c>
      <c r="C672" s="11">
        <v>1</v>
      </c>
      <c r="D672" t="s">
        <v>1962</v>
      </c>
      <c r="E672">
        <f>VLOOKUP(CONCATENATE(validProjetado[[#This Row],[Tipo]],validProjetado[[#This Row],[Destino]]),validConcreto!K:O,4)</f>
        <v>0.1</v>
      </c>
    </row>
    <row r="673" spans="1:5" hidden="1" x14ac:dyDescent="0.25">
      <c r="A673" s="11">
        <v>1</v>
      </c>
      <c r="B673" s="11" t="s">
        <v>2002</v>
      </c>
      <c r="C673" s="11">
        <v>2</v>
      </c>
      <c r="D673" t="s">
        <v>1962</v>
      </c>
      <c r="E673">
        <f>VLOOKUP(CONCATENATE(validProjetado[[#This Row],[Tipo]],validProjetado[[#This Row],[Destino]]),validConcreto!K:O,4)</f>
        <v>0.1</v>
      </c>
    </row>
    <row r="674" spans="1:5" hidden="1" x14ac:dyDescent="0.25">
      <c r="A674" s="11">
        <v>2</v>
      </c>
      <c r="B674" s="11" t="s">
        <v>2002</v>
      </c>
      <c r="C674" s="11">
        <v>2</v>
      </c>
      <c r="D674" t="s">
        <v>1962</v>
      </c>
      <c r="E674">
        <f>VLOOKUP(CONCATENATE(validProjetado[[#This Row],[Tipo]],validProjetado[[#This Row],[Destino]]),validConcreto!K:O,4)</f>
        <v>0.1</v>
      </c>
    </row>
    <row r="675" spans="1:5" hidden="1" x14ac:dyDescent="0.25">
      <c r="A675" s="11">
        <v>3</v>
      </c>
      <c r="B675" s="11" t="s">
        <v>2002</v>
      </c>
      <c r="C675" s="11">
        <v>2</v>
      </c>
      <c r="D675" t="s">
        <v>1962</v>
      </c>
      <c r="E675">
        <f>VLOOKUP(CONCATENATE(validProjetado[[#This Row],[Tipo]],validProjetado[[#This Row],[Destino]]),validConcreto!K:O,4)</f>
        <v>0.1</v>
      </c>
    </row>
    <row r="676" spans="1:5" hidden="1" x14ac:dyDescent="0.25">
      <c r="A676" s="11">
        <v>4</v>
      </c>
      <c r="B676" s="11" t="s">
        <v>2002</v>
      </c>
      <c r="C676" s="11">
        <v>2</v>
      </c>
      <c r="D676" t="s">
        <v>1962</v>
      </c>
      <c r="E676">
        <f>VLOOKUP(CONCATENATE(validProjetado[[#This Row],[Tipo]],validProjetado[[#This Row],[Destino]]),validConcreto!K:O,4)</f>
        <v>0.1</v>
      </c>
    </row>
    <row r="677" spans="1:5" hidden="1" x14ac:dyDescent="0.25">
      <c r="A677" s="11">
        <v>5</v>
      </c>
      <c r="B677" s="11" t="s">
        <v>2002</v>
      </c>
      <c r="C677" s="11">
        <v>2</v>
      </c>
      <c r="D677" t="s">
        <v>1962</v>
      </c>
      <c r="E677">
        <f>VLOOKUP(CONCATENATE(validProjetado[[#This Row],[Tipo]],validProjetado[[#This Row],[Destino]]),validConcreto!K:O,4)</f>
        <v>0.1</v>
      </c>
    </row>
    <row r="678" spans="1:5" hidden="1" x14ac:dyDescent="0.25">
      <c r="A678" s="11">
        <v>6</v>
      </c>
      <c r="B678" s="11" t="s">
        <v>2002</v>
      </c>
      <c r="C678" s="11">
        <v>1</v>
      </c>
      <c r="D678" t="s">
        <v>1962</v>
      </c>
      <c r="E678">
        <f>VLOOKUP(CONCATENATE(validProjetado[[#This Row],[Tipo]],validProjetado[[#This Row],[Destino]]),validConcreto!K:O,4)</f>
        <v>0.1</v>
      </c>
    </row>
    <row r="679" spans="1:5" hidden="1" x14ac:dyDescent="0.25">
      <c r="A679" s="11">
        <v>7</v>
      </c>
      <c r="B679" s="11" t="s">
        <v>2002</v>
      </c>
      <c r="C679" s="11">
        <v>2</v>
      </c>
      <c r="D679" t="s">
        <v>1962</v>
      </c>
      <c r="E679">
        <f>VLOOKUP(CONCATENATE(validProjetado[[#This Row],[Tipo]],validProjetado[[#This Row],[Destino]]),validConcreto!K:O,4)</f>
        <v>0.1</v>
      </c>
    </row>
    <row r="680" spans="1:5" hidden="1" x14ac:dyDescent="0.25">
      <c r="A680" s="11">
        <v>8</v>
      </c>
      <c r="B680" s="11" t="s">
        <v>2002</v>
      </c>
      <c r="C680" s="11">
        <v>1</v>
      </c>
      <c r="D680" t="s">
        <v>1962</v>
      </c>
      <c r="E680">
        <f>VLOOKUP(CONCATENATE(validProjetado[[#This Row],[Tipo]],validProjetado[[#This Row],[Destino]]),validConcreto!K:O,4)</f>
        <v>0.1</v>
      </c>
    </row>
    <row r="681" spans="1:5" hidden="1" x14ac:dyDescent="0.25">
      <c r="A681" s="11">
        <v>9</v>
      </c>
      <c r="B681" s="11" t="s">
        <v>2002</v>
      </c>
      <c r="C681" s="11">
        <v>2</v>
      </c>
      <c r="D681" t="s">
        <v>1962</v>
      </c>
      <c r="E681">
        <f>VLOOKUP(CONCATENATE(validProjetado[[#This Row],[Tipo]],validProjetado[[#This Row],[Destino]]),validConcreto!K:O,4)</f>
        <v>0.1</v>
      </c>
    </row>
    <row r="682" spans="1:5" hidden="1" x14ac:dyDescent="0.25">
      <c r="A682" s="11">
        <v>10</v>
      </c>
      <c r="B682" s="11" t="s">
        <v>2002</v>
      </c>
      <c r="C682" s="11">
        <v>1</v>
      </c>
      <c r="D682" t="s">
        <v>1962</v>
      </c>
      <c r="E682">
        <f>VLOOKUP(CONCATENATE(validProjetado[[#This Row],[Tipo]],validProjetado[[#This Row],[Destino]]),validConcreto!K:O,4)</f>
        <v>0.1</v>
      </c>
    </row>
    <row r="683" spans="1:5" hidden="1" x14ac:dyDescent="0.25">
      <c r="A683" s="11">
        <v>11</v>
      </c>
      <c r="B683" s="11" t="s">
        <v>2002</v>
      </c>
      <c r="C683" s="11">
        <v>2</v>
      </c>
      <c r="D683" t="s">
        <v>1962</v>
      </c>
      <c r="E683">
        <f>VLOOKUP(CONCATENATE(validProjetado[[#This Row],[Tipo]],validProjetado[[#This Row],[Destino]]),validConcreto!K:O,4)</f>
        <v>0.1</v>
      </c>
    </row>
    <row r="684" spans="1:5" hidden="1" x14ac:dyDescent="0.25">
      <c r="A684" s="11">
        <v>12</v>
      </c>
      <c r="B684" s="11" t="s">
        <v>2002</v>
      </c>
      <c r="C684" s="11">
        <v>2</v>
      </c>
      <c r="D684" t="s">
        <v>1962</v>
      </c>
      <c r="E684">
        <f>VLOOKUP(CONCATENATE(validProjetado[[#This Row],[Tipo]],validProjetado[[#This Row],[Destino]]),validConcreto!K:O,4)</f>
        <v>0.1</v>
      </c>
    </row>
    <row r="685" spans="1:5" hidden="1" x14ac:dyDescent="0.25">
      <c r="A685" s="11">
        <v>13</v>
      </c>
      <c r="B685" s="11" t="s">
        <v>2002</v>
      </c>
      <c r="C685" s="11">
        <v>2</v>
      </c>
      <c r="D685" t="s">
        <v>1962</v>
      </c>
      <c r="E685">
        <f>VLOOKUP(CONCATENATE(validProjetado[[#This Row],[Tipo]],validProjetado[[#This Row],[Destino]]),validConcreto!K:O,4)</f>
        <v>0.1</v>
      </c>
    </row>
    <row r="686" spans="1:5" hidden="1" x14ac:dyDescent="0.25">
      <c r="A686" s="11">
        <v>14</v>
      </c>
      <c r="B686" s="11" t="s">
        <v>2002</v>
      </c>
      <c r="C686" s="11">
        <v>2</v>
      </c>
      <c r="D686" t="s">
        <v>1962</v>
      </c>
      <c r="E686">
        <f>VLOOKUP(CONCATENATE(validProjetado[[#This Row],[Tipo]],validProjetado[[#This Row],[Destino]]),validConcreto!K:O,4)</f>
        <v>0.1</v>
      </c>
    </row>
    <row r="687" spans="1:5" hidden="1" x14ac:dyDescent="0.25">
      <c r="A687" s="11">
        <v>1</v>
      </c>
      <c r="B687" s="11" t="s">
        <v>2005</v>
      </c>
      <c r="C687" s="11">
        <v>2</v>
      </c>
      <c r="D687" t="s">
        <v>1962</v>
      </c>
      <c r="E687">
        <f>VLOOKUP(CONCATENATE(validProjetado[[#This Row],[Tipo]],validProjetado[[#This Row],[Destino]]),validConcreto!K:O,4)</f>
        <v>0.1</v>
      </c>
    </row>
    <row r="688" spans="1:5" hidden="1" x14ac:dyDescent="0.25">
      <c r="A688" s="11">
        <v>2</v>
      </c>
      <c r="B688" s="11" t="s">
        <v>2005</v>
      </c>
      <c r="C688" s="11">
        <v>2</v>
      </c>
      <c r="D688" t="s">
        <v>1962</v>
      </c>
      <c r="E688">
        <f>VLOOKUP(CONCATENATE(validProjetado[[#This Row],[Tipo]],validProjetado[[#This Row],[Destino]]),validConcreto!K:O,4)</f>
        <v>0.1</v>
      </c>
    </row>
    <row r="689" spans="1:5" hidden="1" x14ac:dyDescent="0.25">
      <c r="A689" s="11">
        <v>3</v>
      </c>
      <c r="B689" s="11" t="s">
        <v>2005</v>
      </c>
      <c r="C689" s="11">
        <v>2</v>
      </c>
      <c r="D689" t="s">
        <v>1962</v>
      </c>
      <c r="E689">
        <f>VLOOKUP(CONCATENATE(validProjetado[[#This Row],[Tipo]],validProjetado[[#This Row],[Destino]]),validConcreto!K:O,4)</f>
        <v>0.1</v>
      </c>
    </row>
    <row r="690" spans="1:5" hidden="1" x14ac:dyDescent="0.25">
      <c r="A690" s="11">
        <v>4</v>
      </c>
      <c r="B690" s="11" t="s">
        <v>2005</v>
      </c>
      <c r="C690" s="11">
        <v>1</v>
      </c>
      <c r="D690" t="s">
        <v>1962</v>
      </c>
      <c r="E690">
        <f>VLOOKUP(CONCATENATE(validProjetado[[#This Row],[Tipo]],validProjetado[[#This Row],[Destino]]),validConcreto!K:O,4)</f>
        <v>0.1</v>
      </c>
    </row>
    <row r="691" spans="1:5" hidden="1" x14ac:dyDescent="0.25">
      <c r="A691" s="11">
        <v>5</v>
      </c>
      <c r="B691" s="11" t="s">
        <v>2005</v>
      </c>
      <c r="C691" s="11">
        <v>2</v>
      </c>
      <c r="D691" t="s">
        <v>1962</v>
      </c>
      <c r="E691">
        <f>VLOOKUP(CONCATENATE(validProjetado[[#This Row],[Tipo]],validProjetado[[#This Row],[Destino]]),validConcreto!K:O,4)</f>
        <v>0.1</v>
      </c>
    </row>
    <row r="692" spans="1:5" hidden="1" x14ac:dyDescent="0.25">
      <c r="A692" s="11">
        <v>6</v>
      </c>
      <c r="B692" s="11" t="s">
        <v>2005</v>
      </c>
      <c r="C692" s="11">
        <v>1</v>
      </c>
      <c r="D692" t="s">
        <v>1962</v>
      </c>
      <c r="E692">
        <f>VLOOKUP(CONCATENATE(validProjetado[[#This Row],[Tipo]],validProjetado[[#This Row],[Destino]]),validConcreto!K:O,4)</f>
        <v>0.1</v>
      </c>
    </row>
    <row r="693" spans="1:5" hidden="1" x14ac:dyDescent="0.25">
      <c r="A693" s="11">
        <v>7</v>
      </c>
      <c r="B693" s="11" t="s">
        <v>2005</v>
      </c>
      <c r="C693" s="11">
        <v>2</v>
      </c>
      <c r="D693" t="s">
        <v>1962</v>
      </c>
      <c r="E693">
        <f>VLOOKUP(CONCATENATE(validProjetado[[#This Row],[Tipo]],validProjetado[[#This Row],[Destino]]),validConcreto!K:O,4)</f>
        <v>0.1</v>
      </c>
    </row>
    <row r="694" spans="1:5" hidden="1" x14ac:dyDescent="0.25">
      <c r="A694" s="11">
        <v>8</v>
      </c>
      <c r="B694" s="11" t="s">
        <v>2005</v>
      </c>
      <c r="C694" s="11">
        <v>1</v>
      </c>
      <c r="D694" t="s">
        <v>1962</v>
      </c>
      <c r="E694">
        <f>VLOOKUP(CONCATENATE(validProjetado[[#This Row],[Tipo]],validProjetado[[#This Row],[Destino]]),validConcreto!K:O,4)</f>
        <v>0.1</v>
      </c>
    </row>
    <row r="695" spans="1:5" hidden="1" x14ac:dyDescent="0.25">
      <c r="A695" s="11">
        <v>9</v>
      </c>
      <c r="B695" s="11" t="s">
        <v>2005</v>
      </c>
      <c r="C695" s="11">
        <v>2</v>
      </c>
      <c r="D695" t="s">
        <v>1962</v>
      </c>
      <c r="E695">
        <f>VLOOKUP(CONCATENATE(validProjetado[[#This Row],[Tipo]],validProjetado[[#This Row],[Destino]]),validConcreto!K:O,4)</f>
        <v>0.1</v>
      </c>
    </row>
    <row r="696" spans="1:5" hidden="1" x14ac:dyDescent="0.25">
      <c r="A696" s="11">
        <v>10</v>
      </c>
      <c r="B696" s="11" t="s">
        <v>2005</v>
      </c>
      <c r="C696" s="11">
        <v>1</v>
      </c>
      <c r="D696" t="s">
        <v>1962</v>
      </c>
      <c r="E696">
        <f>VLOOKUP(CONCATENATE(validProjetado[[#This Row],[Tipo]],validProjetado[[#This Row],[Destino]]),validConcreto!K:O,4)</f>
        <v>0.1</v>
      </c>
    </row>
    <row r="697" spans="1:5" hidden="1" x14ac:dyDescent="0.25">
      <c r="A697" s="11">
        <v>11</v>
      </c>
      <c r="B697" s="11" t="s">
        <v>2005</v>
      </c>
      <c r="C697" s="11">
        <v>2</v>
      </c>
      <c r="D697" t="s">
        <v>1962</v>
      </c>
      <c r="E697">
        <f>VLOOKUP(CONCATENATE(validProjetado[[#This Row],[Tipo]],validProjetado[[#This Row],[Destino]]),validConcreto!K:O,4)</f>
        <v>0.1</v>
      </c>
    </row>
    <row r="698" spans="1:5" hidden="1" x14ac:dyDescent="0.25">
      <c r="A698" s="11">
        <v>12</v>
      </c>
      <c r="B698" s="11" t="s">
        <v>2005</v>
      </c>
      <c r="C698" s="11">
        <v>1</v>
      </c>
      <c r="D698" t="s">
        <v>1962</v>
      </c>
      <c r="E698">
        <f>VLOOKUP(CONCATENATE(validProjetado[[#This Row],[Tipo]],validProjetado[[#This Row],[Destino]]),validConcreto!K:O,4)</f>
        <v>0.1</v>
      </c>
    </row>
    <row r="699" spans="1:5" hidden="1" x14ac:dyDescent="0.25">
      <c r="A699" s="11">
        <v>13</v>
      </c>
      <c r="B699" s="11" t="s">
        <v>2005</v>
      </c>
      <c r="C699" s="11">
        <v>2</v>
      </c>
      <c r="D699" t="s">
        <v>1962</v>
      </c>
      <c r="E699">
        <f>VLOOKUP(CONCATENATE(validProjetado[[#This Row],[Tipo]],validProjetado[[#This Row],[Destino]]),validConcreto!K:O,4)</f>
        <v>0.1</v>
      </c>
    </row>
    <row r="700" spans="1:5" hidden="1" x14ac:dyDescent="0.25">
      <c r="A700" s="11">
        <v>14</v>
      </c>
      <c r="B700" s="11" t="s">
        <v>2005</v>
      </c>
      <c r="C700" s="11">
        <v>1</v>
      </c>
      <c r="D700" t="s">
        <v>1962</v>
      </c>
      <c r="E700">
        <f>VLOOKUP(CONCATENATE(validProjetado[[#This Row],[Tipo]],validProjetado[[#This Row],[Destino]]),validConcreto!K:O,4)</f>
        <v>0.1</v>
      </c>
    </row>
    <row r="701" spans="1:5" hidden="1" x14ac:dyDescent="0.25">
      <c r="A701" s="11">
        <v>15</v>
      </c>
      <c r="B701" s="11" t="s">
        <v>2005</v>
      </c>
      <c r="C701" s="11">
        <v>2</v>
      </c>
      <c r="D701" t="s">
        <v>1962</v>
      </c>
      <c r="E701">
        <f>VLOOKUP(CONCATENATE(validProjetado[[#This Row],[Tipo]],validProjetado[[#This Row],[Destino]]),validConcreto!K:O,4)</f>
        <v>0.1</v>
      </c>
    </row>
    <row r="702" spans="1:5" hidden="1" x14ac:dyDescent="0.25">
      <c r="A702" s="11">
        <v>16</v>
      </c>
      <c r="B702" s="11" t="s">
        <v>2005</v>
      </c>
      <c r="C702" s="11">
        <v>1</v>
      </c>
      <c r="D702" t="s">
        <v>1962</v>
      </c>
      <c r="E702">
        <f>VLOOKUP(CONCATENATE(validProjetado[[#This Row],[Tipo]],validProjetado[[#This Row],[Destino]]),validConcreto!K:O,4)</f>
        <v>0.1</v>
      </c>
    </row>
    <row r="703" spans="1:5" hidden="1" x14ac:dyDescent="0.25">
      <c r="A703" s="11">
        <v>17</v>
      </c>
      <c r="B703" s="11" t="s">
        <v>2005</v>
      </c>
      <c r="C703" s="11">
        <v>2</v>
      </c>
      <c r="D703" t="s">
        <v>1962</v>
      </c>
      <c r="E703">
        <f>VLOOKUP(CONCATENATE(validProjetado[[#This Row],[Tipo]],validProjetado[[#This Row],[Destino]]),validConcreto!K:O,4)</f>
        <v>0.1</v>
      </c>
    </row>
    <row r="704" spans="1:5" hidden="1" x14ac:dyDescent="0.25">
      <c r="A704" s="11">
        <v>18</v>
      </c>
      <c r="B704" s="11" t="s">
        <v>2005</v>
      </c>
      <c r="C704" s="11">
        <v>1</v>
      </c>
      <c r="D704" t="s">
        <v>1962</v>
      </c>
      <c r="E704">
        <f>VLOOKUP(CONCATENATE(validProjetado[[#This Row],[Tipo]],validProjetado[[#This Row],[Destino]]),validConcreto!K:O,4)</f>
        <v>0.1</v>
      </c>
    </row>
    <row r="705" spans="1:5" hidden="1" x14ac:dyDescent="0.25">
      <c r="A705" s="11">
        <v>19</v>
      </c>
      <c r="B705" s="11" t="s">
        <v>2005</v>
      </c>
      <c r="C705" s="11">
        <v>2</v>
      </c>
      <c r="D705" t="s">
        <v>1962</v>
      </c>
      <c r="E705">
        <f>VLOOKUP(CONCATENATE(validProjetado[[#This Row],[Tipo]],validProjetado[[#This Row],[Destino]]),validConcreto!K:O,4)</f>
        <v>0.1</v>
      </c>
    </row>
    <row r="706" spans="1:5" hidden="1" x14ac:dyDescent="0.25">
      <c r="A706" s="11">
        <v>20</v>
      </c>
      <c r="B706" s="11" t="s">
        <v>2005</v>
      </c>
      <c r="C706" s="11">
        <v>1</v>
      </c>
      <c r="D706" t="s">
        <v>1962</v>
      </c>
      <c r="E706">
        <f>VLOOKUP(CONCATENATE(validProjetado[[#This Row],[Tipo]],validProjetado[[#This Row],[Destino]]),validConcreto!K:O,4)</f>
        <v>0.1</v>
      </c>
    </row>
    <row r="707" spans="1:5" hidden="1" x14ac:dyDescent="0.25">
      <c r="A707" s="11">
        <v>21</v>
      </c>
      <c r="B707" s="11" t="s">
        <v>2005</v>
      </c>
      <c r="C707" s="11">
        <v>2</v>
      </c>
      <c r="D707" t="s">
        <v>1962</v>
      </c>
      <c r="E707">
        <f>VLOOKUP(CONCATENATE(validProjetado[[#This Row],[Tipo]],validProjetado[[#This Row],[Destino]]),validConcreto!K:O,4)</f>
        <v>0.1</v>
      </c>
    </row>
    <row r="708" spans="1:5" hidden="1" x14ac:dyDescent="0.25">
      <c r="A708" s="11">
        <v>22</v>
      </c>
      <c r="B708" s="11" t="s">
        <v>2005</v>
      </c>
      <c r="C708" s="11">
        <v>1</v>
      </c>
      <c r="D708" t="s">
        <v>1962</v>
      </c>
      <c r="E708">
        <f>VLOOKUP(CONCATENATE(validProjetado[[#This Row],[Tipo]],validProjetado[[#This Row],[Destino]]),validConcreto!K:O,4)</f>
        <v>0.1</v>
      </c>
    </row>
    <row r="709" spans="1:5" hidden="1" x14ac:dyDescent="0.25">
      <c r="A709" s="11">
        <v>23</v>
      </c>
      <c r="B709" s="11" t="s">
        <v>2005</v>
      </c>
      <c r="C709" s="11">
        <v>2</v>
      </c>
      <c r="D709" t="s">
        <v>1962</v>
      </c>
      <c r="E709">
        <f>VLOOKUP(CONCATENATE(validProjetado[[#This Row],[Tipo]],validProjetado[[#This Row],[Destino]]),validConcreto!K:O,4)</f>
        <v>0.1</v>
      </c>
    </row>
    <row r="710" spans="1:5" hidden="1" x14ac:dyDescent="0.25">
      <c r="A710" s="11">
        <v>24</v>
      </c>
      <c r="B710" s="11" t="s">
        <v>2005</v>
      </c>
      <c r="C710" s="11">
        <v>1</v>
      </c>
      <c r="D710" t="s">
        <v>1962</v>
      </c>
      <c r="E710">
        <f>VLOOKUP(CONCATENATE(validProjetado[[#This Row],[Tipo]],validProjetado[[#This Row],[Destino]]),validConcreto!K:O,4)</f>
        <v>0.1</v>
      </c>
    </row>
    <row r="711" spans="1:5" hidden="1" x14ac:dyDescent="0.25">
      <c r="A711" s="11">
        <v>25</v>
      </c>
      <c r="B711" s="11" t="s">
        <v>2005</v>
      </c>
      <c r="C711" s="11">
        <v>2</v>
      </c>
      <c r="D711" t="s">
        <v>1962</v>
      </c>
      <c r="E711">
        <f>VLOOKUP(CONCATENATE(validProjetado[[#This Row],[Tipo]],validProjetado[[#This Row],[Destino]]),validConcreto!K:O,4)</f>
        <v>0.1</v>
      </c>
    </row>
    <row r="712" spans="1:5" hidden="1" x14ac:dyDescent="0.25">
      <c r="A712" s="11">
        <v>26</v>
      </c>
      <c r="B712" s="11" t="s">
        <v>2005</v>
      </c>
      <c r="C712" s="11">
        <v>1</v>
      </c>
      <c r="D712" t="s">
        <v>1962</v>
      </c>
      <c r="E712">
        <f>VLOOKUP(CONCATENATE(validProjetado[[#This Row],[Tipo]],validProjetado[[#This Row],[Destino]]),validConcreto!K:O,4)</f>
        <v>0.1</v>
      </c>
    </row>
    <row r="713" spans="1:5" hidden="1" x14ac:dyDescent="0.25">
      <c r="A713" s="11">
        <v>27</v>
      </c>
      <c r="B713" s="11" t="s">
        <v>2005</v>
      </c>
      <c r="C713" s="11">
        <v>2</v>
      </c>
      <c r="D713" t="s">
        <v>1962</v>
      </c>
      <c r="E713">
        <f>VLOOKUP(CONCATENATE(validProjetado[[#This Row],[Tipo]],validProjetado[[#This Row],[Destino]]),validConcreto!K:O,4)</f>
        <v>0.1</v>
      </c>
    </row>
    <row r="714" spans="1:5" hidden="1" x14ac:dyDescent="0.25">
      <c r="A714" s="11">
        <v>28</v>
      </c>
      <c r="B714" s="11" t="s">
        <v>2005</v>
      </c>
      <c r="C714" s="11">
        <v>1</v>
      </c>
      <c r="D714" t="s">
        <v>1962</v>
      </c>
      <c r="E714">
        <f>VLOOKUP(CONCATENATE(validProjetado[[#This Row],[Tipo]],validProjetado[[#This Row],[Destino]]),validConcreto!K:O,4)</f>
        <v>0.1</v>
      </c>
    </row>
    <row r="715" spans="1:5" hidden="1" x14ac:dyDescent="0.25">
      <c r="A715" s="11">
        <v>29</v>
      </c>
      <c r="B715" s="11" t="s">
        <v>2005</v>
      </c>
      <c r="C715" s="11">
        <v>2</v>
      </c>
      <c r="D715" t="s">
        <v>1962</v>
      </c>
      <c r="E715">
        <f>VLOOKUP(CONCATENATE(validProjetado[[#This Row],[Tipo]],validProjetado[[#This Row],[Destino]]),validConcreto!K:O,4)</f>
        <v>0.1</v>
      </c>
    </row>
    <row r="716" spans="1:5" hidden="1" x14ac:dyDescent="0.25">
      <c r="A716" s="11">
        <v>30</v>
      </c>
      <c r="B716" s="11" t="s">
        <v>2005</v>
      </c>
      <c r="C716" s="11">
        <v>1</v>
      </c>
      <c r="D716" t="s">
        <v>1962</v>
      </c>
      <c r="E716">
        <f>VLOOKUP(CONCATENATE(validProjetado[[#This Row],[Tipo]],validProjetado[[#This Row],[Destino]]),validConcreto!K:O,4)</f>
        <v>0.1</v>
      </c>
    </row>
    <row r="717" spans="1:5" hidden="1" x14ac:dyDescent="0.25">
      <c r="A717" s="11">
        <v>31</v>
      </c>
      <c r="B717" s="11" t="s">
        <v>2005</v>
      </c>
      <c r="C717" s="11">
        <v>1</v>
      </c>
      <c r="D717" t="s">
        <v>1962</v>
      </c>
      <c r="E717">
        <f>VLOOKUP(CONCATENATE(validProjetado[[#This Row],[Tipo]],validProjetado[[#This Row],[Destino]]),validConcreto!K:O,4)</f>
        <v>0.1</v>
      </c>
    </row>
    <row r="718" spans="1:5" hidden="1" x14ac:dyDescent="0.25">
      <c r="A718" s="11">
        <v>32</v>
      </c>
      <c r="B718" s="11" t="s">
        <v>2005</v>
      </c>
      <c r="C718" s="11">
        <v>1</v>
      </c>
      <c r="D718" t="s">
        <v>1962</v>
      </c>
      <c r="E718">
        <f>VLOOKUP(CONCATENATE(validProjetado[[#This Row],[Tipo]],validProjetado[[#This Row],[Destino]]),validConcreto!K:O,4)</f>
        <v>0.1</v>
      </c>
    </row>
    <row r="719" spans="1:5" hidden="1" x14ac:dyDescent="0.25">
      <c r="A719" s="11">
        <v>33</v>
      </c>
      <c r="B719" s="11" t="s">
        <v>2005</v>
      </c>
      <c r="C719" s="11">
        <v>1</v>
      </c>
      <c r="D719" t="s">
        <v>1962</v>
      </c>
      <c r="E719">
        <f>VLOOKUP(CONCATENATE(validProjetado[[#This Row],[Tipo]],validProjetado[[#This Row],[Destino]]),validConcreto!K:O,4)</f>
        <v>0.1</v>
      </c>
    </row>
    <row r="720" spans="1:5" hidden="1" x14ac:dyDescent="0.25">
      <c r="A720" s="11">
        <v>34</v>
      </c>
      <c r="B720" s="11" t="s">
        <v>2005</v>
      </c>
      <c r="C720" s="11">
        <v>1</v>
      </c>
      <c r="D720" t="s">
        <v>1962</v>
      </c>
      <c r="E720">
        <f>VLOOKUP(CONCATENATE(validProjetado[[#This Row],[Tipo]],validProjetado[[#This Row],[Destino]]),validConcreto!K:O,4)</f>
        <v>0.1</v>
      </c>
    </row>
    <row r="721" spans="1:5" hidden="1" x14ac:dyDescent="0.25">
      <c r="A721" s="11">
        <v>35</v>
      </c>
      <c r="B721" s="11" t="s">
        <v>2005</v>
      </c>
      <c r="C721" s="11">
        <v>1</v>
      </c>
      <c r="D721" t="s">
        <v>1962</v>
      </c>
      <c r="E721">
        <f>VLOOKUP(CONCATENATE(validProjetado[[#This Row],[Tipo]],validProjetado[[#This Row],[Destino]]),validConcreto!K:O,4)</f>
        <v>0.1</v>
      </c>
    </row>
    <row r="722" spans="1:5" hidden="1" x14ac:dyDescent="0.25">
      <c r="A722" s="11">
        <v>36</v>
      </c>
      <c r="B722" s="11" t="s">
        <v>2005</v>
      </c>
      <c r="C722" s="11">
        <v>1</v>
      </c>
      <c r="D722" t="s">
        <v>1962</v>
      </c>
      <c r="E722">
        <f>VLOOKUP(CONCATENATE(validProjetado[[#This Row],[Tipo]],validProjetado[[#This Row],[Destino]]),validConcreto!K:O,4)</f>
        <v>0.1</v>
      </c>
    </row>
    <row r="723" spans="1:5" hidden="1" x14ac:dyDescent="0.25">
      <c r="A723" s="11">
        <v>1</v>
      </c>
      <c r="B723" s="11" t="s">
        <v>2007</v>
      </c>
      <c r="C723" s="11">
        <v>2</v>
      </c>
      <c r="D723" t="s">
        <v>1962</v>
      </c>
      <c r="E723">
        <f>VLOOKUP(CONCATENATE(validProjetado[[#This Row],[Tipo]],validProjetado[[#This Row],[Destino]]),validConcreto!K:O,4)</f>
        <v>0.1</v>
      </c>
    </row>
    <row r="724" spans="1:5" hidden="1" x14ac:dyDescent="0.25">
      <c r="A724" s="11">
        <v>2</v>
      </c>
      <c r="B724" s="11" t="s">
        <v>2007</v>
      </c>
      <c r="C724" s="11">
        <v>2</v>
      </c>
      <c r="D724" t="s">
        <v>1962</v>
      </c>
      <c r="E724">
        <f>VLOOKUP(CONCATENATE(validProjetado[[#This Row],[Tipo]],validProjetado[[#This Row],[Destino]]),validConcreto!K:O,4)</f>
        <v>0.1</v>
      </c>
    </row>
    <row r="725" spans="1:5" hidden="1" x14ac:dyDescent="0.25">
      <c r="A725" s="11">
        <v>3</v>
      </c>
      <c r="B725" s="11" t="s">
        <v>2007</v>
      </c>
      <c r="C725" s="11">
        <v>2</v>
      </c>
      <c r="D725" t="s">
        <v>1962</v>
      </c>
      <c r="E725">
        <f>VLOOKUP(CONCATENATE(validProjetado[[#This Row],[Tipo]],validProjetado[[#This Row],[Destino]]),validConcreto!K:O,4)</f>
        <v>0.1</v>
      </c>
    </row>
    <row r="726" spans="1:5" hidden="1" x14ac:dyDescent="0.25">
      <c r="A726" s="11">
        <v>4</v>
      </c>
      <c r="B726" s="11" t="s">
        <v>2007</v>
      </c>
      <c r="C726" s="11">
        <v>2</v>
      </c>
      <c r="D726" t="s">
        <v>1962</v>
      </c>
      <c r="E726">
        <f>VLOOKUP(CONCATENATE(validProjetado[[#This Row],[Tipo]],validProjetado[[#This Row],[Destino]]),validConcreto!K:O,4)</f>
        <v>0.1</v>
      </c>
    </row>
    <row r="727" spans="1:5" hidden="1" x14ac:dyDescent="0.25">
      <c r="A727" s="11">
        <v>5</v>
      </c>
      <c r="B727" s="11" t="s">
        <v>2007</v>
      </c>
      <c r="C727" s="11">
        <v>2</v>
      </c>
      <c r="D727" t="s">
        <v>1962</v>
      </c>
      <c r="E727">
        <f>VLOOKUP(CONCATENATE(validProjetado[[#This Row],[Tipo]],validProjetado[[#This Row],[Destino]]),validConcreto!K:O,4)</f>
        <v>0.1</v>
      </c>
    </row>
    <row r="728" spans="1:5" hidden="1" x14ac:dyDescent="0.25">
      <c r="A728" s="11">
        <v>6</v>
      </c>
      <c r="B728" s="11" t="s">
        <v>2007</v>
      </c>
      <c r="C728" s="11">
        <v>2</v>
      </c>
      <c r="D728" t="s">
        <v>1962</v>
      </c>
      <c r="E728">
        <f>VLOOKUP(CONCATENATE(validProjetado[[#This Row],[Tipo]],validProjetado[[#This Row],[Destino]]),validConcreto!K:O,4)</f>
        <v>0.1</v>
      </c>
    </row>
    <row r="729" spans="1:5" hidden="1" x14ac:dyDescent="0.25">
      <c r="A729" s="11">
        <v>7</v>
      </c>
      <c r="B729" s="11" t="s">
        <v>2007</v>
      </c>
      <c r="C729" s="11">
        <v>2</v>
      </c>
      <c r="D729" t="s">
        <v>1962</v>
      </c>
      <c r="E729">
        <f>VLOOKUP(CONCATENATE(validProjetado[[#This Row],[Tipo]],validProjetado[[#This Row],[Destino]]),validConcreto!K:O,4)</f>
        <v>0.1</v>
      </c>
    </row>
    <row r="730" spans="1:5" hidden="1" x14ac:dyDescent="0.25">
      <c r="A730" s="11">
        <v>8</v>
      </c>
      <c r="B730" s="11" t="s">
        <v>2007</v>
      </c>
      <c r="C730" s="11">
        <v>2</v>
      </c>
      <c r="D730" t="s">
        <v>1962</v>
      </c>
      <c r="E730">
        <f>VLOOKUP(CONCATENATE(validProjetado[[#This Row],[Tipo]],validProjetado[[#This Row],[Destino]]),validConcreto!K:O,4)</f>
        <v>0.1</v>
      </c>
    </row>
    <row r="731" spans="1:5" hidden="1" x14ac:dyDescent="0.25">
      <c r="A731" s="11">
        <v>9</v>
      </c>
      <c r="B731" s="11" t="s">
        <v>2007</v>
      </c>
      <c r="C731" s="11">
        <v>2</v>
      </c>
      <c r="D731" t="s">
        <v>1962</v>
      </c>
      <c r="E731">
        <f>VLOOKUP(CONCATENATE(validProjetado[[#This Row],[Tipo]],validProjetado[[#This Row],[Destino]]),validConcreto!K:O,4)</f>
        <v>0.1</v>
      </c>
    </row>
    <row r="732" spans="1:5" hidden="1" x14ac:dyDescent="0.25">
      <c r="A732" s="11">
        <v>10</v>
      </c>
      <c r="B732" s="11" t="s">
        <v>2007</v>
      </c>
      <c r="C732" s="11">
        <v>1</v>
      </c>
      <c r="D732" t="s">
        <v>1962</v>
      </c>
      <c r="E732">
        <f>VLOOKUP(CONCATENATE(validProjetado[[#This Row],[Tipo]],validProjetado[[#This Row],[Destino]]),validConcreto!K:O,4)</f>
        <v>0.1</v>
      </c>
    </row>
    <row r="733" spans="1:5" hidden="1" x14ac:dyDescent="0.25">
      <c r="A733" s="11">
        <v>11</v>
      </c>
      <c r="B733" s="11" t="s">
        <v>2007</v>
      </c>
      <c r="C733" s="11">
        <v>2</v>
      </c>
      <c r="D733" t="s">
        <v>1962</v>
      </c>
      <c r="E733">
        <f>VLOOKUP(CONCATENATE(validProjetado[[#This Row],[Tipo]],validProjetado[[#This Row],[Destino]]),validConcreto!K:O,4)</f>
        <v>0.1</v>
      </c>
    </row>
    <row r="734" spans="1:5" hidden="1" x14ac:dyDescent="0.25">
      <c r="A734" s="11">
        <v>12</v>
      </c>
      <c r="B734" s="11" t="s">
        <v>2007</v>
      </c>
      <c r="C734" s="11">
        <v>1</v>
      </c>
      <c r="D734" t="s">
        <v>1962</v>
      </c>
      <c r="E734">
        <f>VLOOKUP(CONCATENATE(validProjetado[[#This Row],[Tipo]],validProjetado[[#This Row],[Destino]]),validConcreto!K:O,4)</f>
        <v>0.1</v>
      </c>
    </row>
    <row r="735" spans="1:5" hidden="1" x14ac:dyDescent="0.25">
      <c r="A735" s="11">
        <v>13</v>
      </c>
      <c r="B735" s="11" t="s">
        <v>2007</v>
      </c>
      <c r="C735" s="11">
        <v>2</v>
      </c>
      <c r="D735" t="s">
        <v>1962</v>
      </c>
      <c r="E735">
        <f>VLOOKUP(CONCATENATE(validProjetado[[#This Row],[Tipo]],validProjetado[[#This Row],[Destino]]),validConcreto!K:O,4)</f>
        <v>0.1</v>
      </c>
    </row>
    <row r="736" spans="1:5" hidden="1" x14ac:dyDescent="0.25">
      <c r="A736" s="11">
        <v>14</v>
      </c>
      <c r="B736" s="11" t="s">
        <v>2007</v>
      </c>
      <c r="C736" s="11">
        <v>1</v>
      </c>
      <c r="D736" t="s">
        <v>1962</v>
      </c>
      <c r="E736">
        <f>VLOOKUP(CONCATENATE(validProjetado[[#This Row],[Tipo]],validProjetado[[#This Row],[Destino]]),validConcreto!K:O,4)</f>
        <v>0.1</v>
      </c>
    </row>
    <row r="737" spans="1:5" hidden="1" x14ac:dyDescent="0.25">
      <c r="A737" s="11">
        <v>15</v>
      </c>
      <c r="B737" s="11" t="s">
        <v>2007</v>
      </c>
      <c r="C737" s="11">
        <v>2</v>
      </c>
      <c r="D737" t="s">
        <v>1962</v>
      </c>
      <c r="E737">
        <f>VLOOKUP(CONCATENATE(validProjetado[[#This Row],[Tipo]],validProjetado[[#This Row],[Destino]]),validConcreto!K:O,4)</f>
        <v>0.1</v>
      </c>
    </row>
    <row r="738" spans="1:5" hidden="1" x14ac:dyDescent="0.25">
      <c r="A738" s="11">
        <v>16</v>
      </c>
      <c r="B738" s="11" t="s">
        <v>2007</v>
      </c>
      <c r="C738" s="11">
        <v>1</v>
      </c>
      <c r="D738" t="s">
        <v>1962</v>
      </c>
      <c r="E738">
        <f>VLOOKUP(CONCATENATE(validProjetado[[#This Row],[Tipo]],validProjetado[[#This Row],[Destino]]),validConcreto!K:O,4)</f>
        <v>0.1</v>
      </c>
    </row>
    <row r="739" spans="1:5" hidden="1" x14ac:dyDescent="0.25">
      <c r="A739" s="11">
        <v>17</v>
      </c>
      <c r="B739" s="11" t="s">
        <v>2007</v>
      </c>
      <c r="C739" s="11">
        <v>2</v>
      </c>
      <c r="D739" t="s">
        <v>1962</v>
      </c>
      <c r="E739">
        <f>VLOOKUP(CONCATENATE(validProjetado[[#This Row],[Tipo]],validProjetado[[#This Row],[Destino]]),validConcreto!K:O,4)</f>
        <v>0.1</v>
      </c>
    </row>
    <row r="740" spans="1:5" hidden="1" x14ac:dyDescent="0.25">
      <c r="A740" s="11">
        <v>18</v>
      </c>
      <c r="B740" s="11" t="s">
        <v>2007</v>
      </c>
      <c r="C740" s="11">
        <v>1</v>
      </c>
      <c r="D740" t="s">
        <v>1962</v>
      </c>
      <c r="E740">
        <f>VLOOKUP(CONCATENATE(validProjetado[[#This Row],[Tipo]],validProjetado[[#This Row],[Destino]]),validConcreto!K:O,4)</f>
        <v>0.1</v>
      </c>
    </row>
    <row r="741" spans="1:5" hidden="1" x14ac:dyDescent="0.25">
      <c r="A741" s="11">
        <v>19</v>
      </c>
      <c r="B741" s="11" t="s">
        <v>2007</v>
      </c>
      <c r="C741" s="11">
        <v>2</v>
      </c>
      <c r="D741" t="s">
        <v>1962</v>
      </c>
      <c r="E741">
        <f>VLOOKUP(CONCATENATE(validProjetado[[#This Row],[Tipo]],validProjetado[[#This Row],[Destino]]),validConcreto!K:O,4)</f>
        <v>0.1</v>
      </c>
    </row>
    <row r="742" spans="1:5" hidden="1" x14ac:dyDescent="0.25">
      <c r="A742" s="11">
        <v>20</v>
      </c>
      <c r="B742" s="11" t="s">
        <v>2007</v>
      </c>
      <c r="C742" s="11">
        <v>1</v>
      </c>
      <c r="D742" t="s">
        <v>1962</v>
      </c>
      <c r="E742">
        <f>VLOOKUP(CONCATENATE(validProjetado[[#This Row],[Tipo]],validProjetado[[#This Row],[Destino]]),validConcreto!K:O,4)</f>
        <v>0.1</v>
      </c>
    </row>
    <row r="743" spans="1:5" hidden="1" x14ac:dyDescent="0.25">
      <c r="A743" s="11">
        <v>21</v>
      </c>
      <c r="B743" s="11" t="s">
        <v>2007</v>
      </c>
      <c r="C743" s="11">
        <v>1</v>
      </c>
      <c r="D743" t="s">
        <v>1962</v>
      </c>
      <c r="E743">
        <f>VLOOKUP(CONCATENATE(validProjetado[[#This Row],[Tipo]],validProjetado[[#This Row],[Destino]]),validConcreto!K:O,4)</f>
        <v>0.1</v>
      </c>
    </row>
    <row r="744" spans="1:5" hidden="1" x14ac:dyDescent="0.25">
      <c r="A744" s="11">
        <v>22</v>
      </c>
      <c r="B744" s="11" t="s">
        <v>2007</v>
      </c>
      <c r="C744" s="11">
        <v>1</v>
      </c>
      <c r="D744" t="s">
        <v>1962</v>
      </c>
      <c r="E744">
        <f>VLOOKUP(CONCATENATE(validProjetado[[#This Row],[Tipo]],validProjetado[[#This Row],[Destino]]),validConcreto!K:O,4)</f>
        <v>0.1</v>
      </c>
    </row>
    <row r="745" spans="1:5" hidden="1" x14ac:dyDescent="0.25">
      <c r="A745" s="11">
        <v>23</v>
      </c>
      <c r="B745" s="11" t="s">
        <v>2007</v>
      </c>
      <c r="C745" s="11">
        <v>1</v>
      </c>
      <c r="D745" t="s">
        <v>1962</v>
      </c>
      <c r="E745">
        <f>VLOOKUP(CONCATENATE(validProjetado[[#This Row],[Tipo]],validProjetado[[#This Row],[Destino]]),validConcreto!K:O,4)</f>
        <v>0.1</v>
      </c>
    </row>
    <row r="746" spans="1:5" hidden="1" x14ac:dyDescent="0.25">
      <c r="A746" s="11">
        <v>24</v>
      </c>
      <c r="B746" s="11" t="s">
        <v>2007</v>
      </c>
      <c r="C746" s="11">
        <v>1</v>
      </c>
      <c r="D746" t="s">
        <v>1962</v>
      </c>
      <c r="E746">
        <f>VLOOKUP(CONCATENATE(validProjetado[[#This Row],[Tipo]],validProjetado[[#This Row],[Destino]]),validConcreto!K:O,4)</f>
        <v>0.1</v>
      </c>
    </row>
    <row r="747" spans="1:5" hidden="1" x14ac:dyDescent="0.25">
      <c r="A747" s="11">
        <v>25</v>
      </c>
      <c r="B747" s="11" t="s">
        <v>2007</v>
      </c>
      <c r="C747" s="11">
        <v>1</v>
      </c>
      <c r="D747" t="s">
        <v>1962</v>
      </c>
      <c r="E747">
        <f>VLOOKUP(CONCATENATE(validProjetado[[#This Row],[Tipo]],validProjetado[[#This Row],[Destino]]),validConcreto!K:O,4)</f>
        <v>0.1</v>
      </c>
    </row>
    <row r="748" spans="1:5" hidden="1" x14ac:dyDescent="0.25">
      <c r="A748" s="11">
        <v>26</v>
      </c>
      <c r="B748" s="11" t="s">
        <v>2007</v>
      </c>
      <c r="C748" s="11">
        <v>1</v>
      </c>
      <c r="D748" t="s">
        <v>1962</v>
      </c>
      <c r="E748">
        <f>VLOOKUP(CONCATENATE(validProjetado[[#This Row],[Tipo]],validProjetado[[#This Row],[Destino]]),validConcreto!K:O,4)</f>
        <v>0.1</v>
      </c>
    </row>
    <row r="749" spans="1:5" hidden="1" x14ac:dyDescent="0.25">
      <c r="A749" s="11">
        <v>27</v>
      </c>
      <c r="B749" s="11" t="s">
        <v>2007</v>
      </c>
      <c r="C749" s="11">
        <v>1</v>
      </c>
      <c r="D749" t="s">
        <v>1962</v>
      </c>
      <c r="E749">
        <f>VLOOKUP(CONCATENATE(validProjetado[[#This Row],[Tipo]],validProjetado[[#This Row],[Destino]]),validConcreto!K:O,4)</f>
        <v>0.1</v>
      </c>
    </row>
    <row r="750" spans="1:5" hidden="1" x14ac:dyDescent="0.25">
      <c r="A750" s="11">
        <v>1</v>
      </c>
      <c r="B750" s="11" t="s">
        <v>2010</v>
      </c>
      <c r="C750" s="11">
        <v>2</v>
      </c>
      <c r="D750" t="s">
        <v>1962</v>
      </c>
      <c r="E750">
        <f>VLOOKUP(CONCATENATE(validProjetado[[#This Row],[Tipo]],validProjetado[[#This Row],[Destino]]),validConcreto!K:O,4)</f>
        <v>0.1</v>
      </c>
    </row>
    <row r="751" spans="1:5" hidden="1" x14ac:dyDescent="0.25">
      <c r="A751" s="11">
        <v>2</v>
      </c>
      <c r="B751" s="11" t="s">
        <v>2010</v>
      </c>
      <c r="C751" s="11">
        <v>2</v>
      </c>
      <c r="D751" t="s">
        <v>1962</v>
      </c>
      <c r="E751">
        <f>VLOOKUP(CONCATENATE(validProjetado[[#This Row],[Tipo]],validProjetado[[#This Row],[Destino]]),validConcreto!K:O,4)</f>
        <v>0.1</v>
      </c>
    </row>
    <row r="752" spans="1:5" hidden="1" x14ac:dyDescent="0.25">
      <c r="A752" s="11">
        <v>3</v>
      </c>
      <c r="B752" s="11" t="s">
        <v>2010</v>
      </c>
      <c r="C752" s="11">
        <v>2</v>
      </c>
      <c r="D752" t="s">
        <v>1962</v>
      </c>
      <c r="E752">
        <f>VLOOKUP(CONCATENATE(validProjetado[[#This Row],[Tipo]],validProjetado[[#This Row],[Destino]]),validConcreto!K:O,4)</f>
        <v>0.1</v>
      </c>
    </row>
    <row r="753" spans="1:5" hidden="1" x14ac:dyDescent="0.25">
      <c r="A753" s="11">
        <v>4</v>
      </c>
      <c r="B753" s="11" t="s">
        <v>2010</v>
      </c>
      <c r="C753" s="11">
        <v>1</v>
      </c>
      <c r="D753" t="s">
        <v>1962</v>
      </c>
      <c r="E753">
        <f>VLOOKUP(CONCATENATE(validProjetado[[#This Row],[Tipo]],validProjetado[[#This Row],[Destino]]),validConcreto!K:O,4)</f>
        <v>0.1</v>
      </c>
    </row>
    <row r="754" spans="1:5" hidden="1" x14ac:dyDescent="0.25">
      <c r="A754" s="11">
        <v>5</v>
      </c>
      <c r="B754" s="11" t="s">
        <v>2010</v>
      </c>
      <c r="C754" s="11">
        <v>2</v>
      </c>
      <c r="D754" t="s">
        <v>1962</v>
      </c>
      <c r="E754">
        <f>VLOOKUP(CONCATENATE(validProjetado[[#This Row],[Tipo]],validProjetado[[#This Row],[Destino]]),validConcreto!K:O,4)</f>
        <v>0.1</v>
      </c>
    </row>
    <row r="755" spans="1:5" hidden="1" x14ac:dyDescent="0.25">
      <c r="A755" s="11">
        <v>6</v>
      </c>
      <c r="B755" s="11" t="s">
        <v>2010</v>
      </c>
      <c r="C755" s="11">
        <v>1</v>
      </c>
      <c r="D755" t="s">
        <v>1962</v>
      </c>
      <c r="E755">
        <f>VLOOKUP(CONCATENATE(validProjetado[[#This Row],[Tipo]],validProjetado[[#This Row],[Destino]]),validConcreto!K:O,4)</f>
        <v>0.1</v>
      </c>
    </row>
    <row r="756" spans="1:5" hidden="1" x14ac:dyDescent="0.25">
      <c r="A756" s="11">
        <v>7</v>
      </c>
      <c r="B756" s="11" t="s">
        <v>2010</v>
      </c>
      <c r="C756" s="11">
        <v>2</v>
      </c>
      <c r="D756" t="s">
        <v>1962</v>
      </c>
      <c r="E756">
        <f>VLOOKUP(CONCATENATE(validProjetado[[#This Row],[Tipo]],validProjetado[[#This Row],[Destino]]),validConcreto!K:O,4)</f>
        <v>0.1</v>
      </c>
    </row>
    <row r="757" spans="1:5" hidden="1" x14ac:dyDescent="0.25">
      <c r="A757" s="11">
        <v>8</v>
      </c>
      <c r="B757" s="11" t="s">
        <v>2010</v>
      </c>
      <c r="C757" s="11">
        <v>1</v>
      </c>
      <c r="D757" t="s">
        <v>1962</v>
      </c>
      <c r="E757">
        <f>VLOOKUP(CONCATENATE(validProjetado[[#This Row],[Tipo]],validProjetado[[#This Row],[Destino]]),validConcreto!K:O,4)</f>
        <v>0.1</v>
      </c>
    </row>
    <row r="758" spans="1:5" hidden="1" x14ac:dyDescent="0.25">
      <c r="A758" s="11">
        <v>9</v>
      </c>
      <c r="B758" s="11" t="s">
        <v>2010</v>
      </c>
      <c r="C758" s="11">
        <v>2</v>
      </c>
      <c r="D758" t="s">
        <v>1962</v>
      </c>
      <c r="E758">
        <f>VLOOKUP(CONCATENATE(validProjetado[[#This Row],[Tipo]],validProjetado[[#This Row],[Destino]]),validConcreto!K:O,4)</f>
        <v>0.1</v>
      </c>
    </row>
    <row r="759" spans="1:5" hidden="1" x14ac:dyDescent="0.25">
      <c r="A759" s="11">
        <v>10</v>
      </c>
      <c r="B759" s="11" t="s">
        <v>2010</v>
      </c>
      <c r="C759" s="11">
        <v>1</v>
      </c>
      <c r="D759" t="s">
        <v>1962</v>
      </c>
      <c r="E759">
        <f>VLOOKUP(CONCATENATE(validProjetado[[#This Row],[Tipo]],validProjetado[[#This Row],[Destino]]),validConcreto!K:O,4)</f>
        <v>0.1</v>
      </c>
    </row>
    <row r="760" spans="1:5" hidden="1" x14ac:dyDescent="0.25">
      <c r="A760" s="11">
        <v>11</v>
      </c>
      <c r="B760" s="11" t="s">
        <v>2010</v>
      </c>
      <c r="C760" s="11">
        <v>2</v>
      </c>
      <c r="D760" t="s">
        <v>1962</v>
      </c>
      <c r="E760">
        <f>VLOOKUP(CONCATENATE(validProjetado[[#This Row],[Tipo]],validProjetado[[#This Row],[Destino]]),validConcreto!K:O,4)</f>
        <v>0.1</v>
      </c>
    </row>
    <row r="761" spans="1:5" hidden="1" x14ac:dyDescent="0.25">
      <c r="A761" s="11">
        <v>12</v>
      </c>
      <c r="B761" s="11" t="s">
        <v>2010</v>
      </c>
      <c r="C761" s="11">
        <v>1</v>
      </c>
      <c r="D761" t="s">
        <v>1962</v>
      </c>
      <c r="E761">
        <f>VLOOKUP(CONCATENATE(validProjetado[[#This Row],[Tipo]],validProjetado[[#This Row],[Destino]]),validConcreto!K:O,4)</f>
        <v>0.1</v>
      </c>
    </row>
    <row r="762" spans="1:5" hidden="1" x14ac:dyDescent="0.25">
      <c r="A762" s="11">
        <v>13</v>
      </c>
      <c r="B762" s="11" t="s">
        <v>2010</v>
      </c>
      <c r="C762" s="11">
        <v>1</v>
      </c>
      <c r="D762" t="s">
        <v>1962</v>
      </c>
      <c r="E762">
        <f>VLOOKUP(CONCATENATE(validProjetado[[#This Row],[Tipo]],validProjetado[[#This Row],[Destino]]),validConcreto!K:O,4)</f>
        <v>0.1</v>
      </c>
    </row>
    <row r="763" spans="1:5" hidden="1" x14ac:dyDescent="0.25">
      <c r="A763" s="11">
        <v>14</v>
      </c>
      <c r="B763" s="11" t="s">
        <v>2010</v>
      </c>
      <c r="C763" s="11">
        <v>1</v>
      </c>
      <c r="D763" t="s">
        <v>1962</v>
      </c>
      <c r="E763">
        <f>VLOOKUP(CONCATENATE(validProjetado[[#This Row],[Tipo]],validProjetado[[#This Row],[Destino]]),validConcreto!K:O,4)</f>
        <v>0.1</v>
      </c>
    </row>
    <row r="764" spans="1:5" hidden="1" x14ac:dyDescent="0.25">
      <c r="A764" s="11">
        <v>15</v>
      </c>
      <c r="B764" s="11" t="s">
        <v>2010</v>
      </c>
      <c r="C764" s="11">
        <v>1</v>
      </c>
      <c r="D764" t="s">
        <v>1962</v>
      </c>
      <c r="E764">
        <f>VLOOKUP(CONCATENATE(validProjetado[[#This Row],[Tipo]],validProjetado[[#This Row],[Destino]]),validConcreto!K:O,4)</f>
        <v>0.1</v>
      </c>
    </row>
    <row r="765" spans="1:5" hidden="1" x14ac:dyDescent="0.25">
      <c r="A765" s="11">
        <v>16</v>
      </c>
      <c r="B765" s="11" t="s">
        <v>2010</v>
      </c>
      <c r="C765" s="11">
        <v>1</v>
      </c>
      <c r="D765" t="s">
        <v>1962</v>
      </c>
      <c r="E765">
        <f>VLOOKUP(CONCATENATE(validProjetado[[#This Row],[Tipo]],validProjetado[[#This Row],[Destino]]),validConcreto!K:O,4)</f>
        <v>0.1</v>
      </c>
    </row>
    <row r="766" spans="1:5" hidden="1" x14ac:dyDescent="0.25">
      <c r="A766" s="11">
        <v>17</v>
      </c>
      <c r="B766" s="11" t="s">
        <v>2010</v>
      </c>
      <c r="C766" s="11">
        <v>1</v>
      </c>
      <c r="D766" t="s">
        <v>1962</v>
      </c>
      <c r="E766">
        <f>VLOOKUP(CONCATENATE(validProjetado[[#This Row],[Tipo]],validProjetado[[#This Row],[Destino]]),validConcreto!K:O,4)</f>
        <v>0.1</v>
      </c>
    </row>
    <row r="767" spans="1:5" hidden="1" x14ac:dyDescent="0.25">
      <c r="A767" s="11">
        <v>18</v>
      </c>
      <c r="B767" s="11" t="s">
        <v>2010</v>
      </c>
      <c r="C767" s="11">
        <v>1</v>
      </c>
      <c r="D767" t="s">
        <v>1962</v>
      </c>
      <c r="E767">
        <f>VLOOKUP(CONCATENATE(validProjetado[[#This Row],[Tipo]],validProjetado[[#This Row],[Destino]]),validConcreto!K:O,4)</f>
        <v>0.1</v>
      </c>
    </row>
    <row r="768" spans="1:5" hidden="1" x14ac:dyDescent="0.25">
      <c r="A768" s="11">
        <v>19</v>
      </c>
      <c r="B768" s="11" t="s">
        <v>2010</v>
      </c>
      <c r="C768" s="11">
        <v>1</v>
      </c>
      <c r="D768" t="s">
        <v>1962</v>
      </c>
      <c r="E768">
        <f>VLOOKUP(CONCATENATE(validProjetado[[#This Row],[Tipo]],validProjetado[[#This Row],[Destino]]),validConcreto!K:O,4)</f>
        <v>0.1</v>
      </c>
    </row>
    <row r="769" spans="1:5" hidden="1" x14ac:dyDescent="0.25">
      <c r="A769" s="11">
        <v>20</v>
      </c>
      <c r="B769" s="11" t="s">
        <v>2010</v>
      </c>
      <c r="C769" s="11">
        <v>1</v>
      </c>
      <c r="D769" t="s">
        <v>1962</v>
      </c>
      <c r="E769">
        <f>VLOOKUP(CONCATENATE(validProjetado[[#This Row],[Tipo]],validProjetado[[#This Row],[Destino]]),validConcreto!K:O,4)</f>
        <v>0.1</v>
      </c>
    </row>
    <row r="770" spans="1:5" hidden="1" x14ac:dyDescent="0.25">
      <c r="A770" s="11">
        <v>21</v>
      </c>
      <c r="B770" s="11" t="s">
        <v>2010</v>
      </c>
      <c r="C770" s="11">
        <v>1</v>
      </c>
      <c r="D770" t="s">
        <v>1962</v>
      </c>
      <c r="E770">
        <f>VLOOKUP(CONCATENATE(validProjetado[[#This Row],[Tipo]],validProjetado[[#This Row],[Destino]]),validConcreto!K:O,4)</f>
        <v>0.1</v>
      </c>
    </row>
    <row r="771" spans="1:5" hidden="1" x14ac:dyDescent="0.25">
      <c r="A771" s="11">
        <v>22</v>
      </c>
      <c r="B771" s="11" t="s">
        <v>2010</v>
      </c>
      <c r="C771" s="11">
        <v>1</v>
      </c>
      <c r="D771" t="s">
        <v>1962</v>
      </c>
      <c r="E771">
        <f>VLOOKUP(CONCATENATE(validProjetado[[#This Row],[Tipo]],validProjetado[[#This Row],[Destino]]),validConcreto!K:O,4)</f>
        <v>0.1</v>
      </c>
    </row>
    <row r="772" spans="1:5" hidden="1" x14ac:dyDescent="0.25">
      <c r="A772" s="11">
        <v>23</v>
      </c>
      <c r="B772" s="11" t="s">
        <v>2010</v>
      </c>
      <c r="C772" s="11">
        <v>1</v>
      </c>
      <c r="D772" t="s">
        <v>1962</v>
      </c>
      <c r="E772">
        <f>VLOOKUP(CONCATENATE(validProjetado[[#This Row],[Tipo]],validProjetado[[#This Row],[Destino]]),validConcreto!K:O,4)</f>
        <v>0.1</v>
      </c>
    </row>
    <row r="773" spans="1:5" hidden="1" x14ac:dyDescent="0.25">
      <c r="A773" s="11">
        <v>24</v>
      </c>
      <c r="B773" s="11" t="s">
        <v>2010</v>
      </c>
      <c r="C773" s="11">
        <v>1</v>
      </c>
      <c r="D773" t="s">
        <v>1962</v>
      </c>
      <c r="E773">
        <f>VLOOKUP(CONCATENATE(validProjetado[[#This Row],[Tipo]],validProjetado[[#This Row],[Destino]]),validConcreto!K:O,4)</f>
        <v>0.1</v>
      </c>
    </row>
    <row r="774" spans="1:5" hidden="1" x14ac:dyDescent="0.25">
      <c r="A774" s="11">
        <v>25</v>
      </c>
      <c r="B774" s="11" t="s">
        <v>2010</v>
      </c>
      <c r="C774" s="11">
        <v>1</v>
      </c>
      <c r="D774" t="s">
        <v>1962</v>
      </c>
      <c r="E774">
        <f>VLOOKUP(CONCATENATE(validProjetado[[#This Row],[Tipo]],validProjetado[[#This Row],[Destino]]),validConcreto!K:O,4)</f>
        <v>0.1</v>
      </c>
    </row>
    <row r="775" spans="1:5" hidden="1" x14ac:dyDescent="0.25">
      <c r="A775" s="11">
        <v>26</v>
      </c>
      <c r="B775" s="11" t="s">
        <v>2010</v>
      </c>
      <c r="C775" s="11">
        <v>1</v>
      </c>
      <c r="D775" t="s">
        <v>1962</v>
      </c>
      <c r="E775">
        <f>VLOOKUP(CONCATENATE(validProjetado[[#This Row],[Tipo]],validProjetado[[#This Row],[Destino]]),validConcreto!K:O,4)</f>
        <v>0.1</v>
      </c>
    </row>
    <row r="776" spans="1:5" hidden="1" x14ac:dyDescent="0.25">
      <c r="A776" s="11">
        <v>27</v>
      </c>
      <c r="B776" s="11" t="s">
        <v>2010</v>
      </c>
      <c r="C776" s="11">
        <v>1</v>
      </c>
      <c r="D776" t="s">
        <v>1962</v>
      </c>
      <c r="E776">
        <f>VLOOKUP(CONCATENATE(validProjetado[[#This Row],[Tipo]],validProjetado[[#This Row],[Destino]]),validConcreto!K:O,4)</f>
        <v>0.1</v>
      </c>
    </row>
    <row r="777" spans="1:5" hidden="1" x14ac:dyDescent="0.25">
      <c r="A777" s="11">
        <v>28</v>
      </c>
      <c r="B777" s="11" t="s">
        <v>2010</v>
      </c>
      <c r="C777" s="11">
        <v>1</v>
      </c>
      <c r="D777" t="s">
        <v>1962</v>
      </c>
      <c r="E777">
        <f>VLOOKUP(CONCATENATE(validProjetado[[#This Row],[Tipo]],validProjetado[[#This Row],[Destino]]),validConcreto!K:O,4)</f>
        <v>0.1</v>
      </c>
    </row>
    <row r="778" spans="1:5" hidden="1" x14ac:dyDescent="0.25">
      <c r="A778" s="11">
        <v>29</v>
      </c>
      <c r="B778" s="11" t="s">
        <v>2010</v>
      </c>
      <c r="C778" s="11">
        <v>1</v>
      </c>
      <c r="D778" t="s">
        <v>1962</v>
      </c>
      <c r="E778">
        <f>VLOOKUP(CONCATENATE(validProjetado[[#This Row],[Tipo]],validProjetado[[#This Row],[Destino]]),validConcreto!K:O,4)</f>
        <v>0.1</v>
      </c>
    </row>
    <row r="779" spans="1:5" hidden="1" x14ac:dyDescent="0.25">
      <c r="A779" s="11">
        <v>30</v>
      </c>
      <c r="B779" s="11" t="s">
        <v>2010</v>
      </c>
      <c r="C779" s="11">
        <v>2</v>
      </c>
      <c r="D779" t="s">
        <v>1962</v>
      </c>
      <c r="E779">
        <f>VLOOKUP(CONCATENATE(validProjetado[[#This Row],[Tipo]],validProjetado[[#This Row],[Destino]]),validConcreto!K:O,4)</f>
        <v>0.1</v>
      </c>
    </row>
    <row r="780" spans="1:5" hidden="1" x14ac:dyDescent="0.25">
      <c r="A780" s="11">
        <v>31</v>
      </c>
      <c r="B780" s="11" t="s">
        <v>2010</v>
      </c>
      <c r="C780" s="11">
        <v>1</v>
      </c>
      <c r="D780" t="s">
        <v>1962</v>
      </c>
      <c r="E780">
        <f>VLOOKUP(CONCATENATE(validProjetado[[#This Row],[Tipo]],validProjetado[[#This Row],[Destino]]),validConcreto!K:O,4)</f>
        <v>0.1</v>
      </c>
    </row>
    <row r="781" spans="1:5" hidden="1" x14ac:dyDescent="0.25">
      <c r="A781" s="11">
        <v>32</v>
      </c>
      <c r="B781" s="11" t="s">
        <v>2010</v>
      </c>
      <c r="C781" s="11">
        <v>1</v>
      </c>
      <c r="D781" t="s">
        <v>1962</v>
      </c>
      <c r="E781">
        <f>VLOOKUP(CONCATENATE(validProjetado[[#This Row],[Tipo]],validProjetado[[#This Row],[Destino]]),validConcreto!K:O,4)</f>
        <v>0.1</v>
      </c>
    </row>
    <row r="782" spans="1:5" hidden="1" x14ac:dyDescent="0.25">
      <c r="A782" s="11">
        <v>33</v>
      </c>
      <c r="B782" s="11" t="s">
        <v>2010</v>
      </c>
      <c r="C782" s="11">
        <v>1</v>
      </c>
      <c r="D782" t="s">
        <v>1962</v>
      </c>
      <c r="E782">
        <f>VLOOKUP(CONCATENATE(validProjetado[[#This Row],[Tipo]],validProjetado[[#This Row],[Destino]]),validConcreto!K:O,4)</f>
        <v>0.1</v>
      </c>
    </row>
    <row r="783" spans="1:5" hidden="1" x14ac:dyDescent="0.25">
      <c r="A783" s="11">
        <v>34</v>
      </c>
      <c r="B783" s="11" t="s">
        <v>2010</v>
      </c>
      <c r="C783" s="11">
        <v>1</v>
      </c>
      <c r="D783" t="s">
        <v>1962</v>
      </c>
      <c r="E783">
        <f>VLOOKUP(CONCATENATE(validProjetado[[#This Row],[Tipo]],validProjetado[[#This Row],[Destino]]),validConcreto!K:O,4)</f>
        <v>0.1</v>
      </c>
    </row>
    <row r="784" spans="1:5" hidden="1" x14ac:dyDescent="0.25">
      <c r="A784" s="11">
        <v>35</v>
      </c>
      <c r="B784" s="11" t="s">
        <v>2010</v>
      </c>
      <c r="C784" s="11">
        <v>1</v>
      </c>
      <c r="D784" t="s">
        <v>1962</v>
      </c>
      <c r="E784">
        <f>VLOOKUP(CONCATENATE(validProjetado[[#This Row],[Tipo]],validProjetado[[#This Row],[Destino]]),validConcreto!K:O,4)</f>
        <v>0.1</v>
      </c>
    </row>
    <row r="785" spans="1:5" hidden="1" x14ac:dyDescent="0.25">
      <c r="A785" s="11">
        <v>36</v>
      </c>
      <c r="B785" s="11" t="s">
        <v>2010</v>
      </c>
      <c r="C785" s="11">
        <v>1</v>
      </c>
      <c r="D785" t="s">
        <v>1962</v>
      </c>
      <c r="E785">
        <f>VLOOKUP(CONCATENATE(validProjetado[[#This Row],[Tipo]],validProjetado[[#This Row],[Destino]]),validConcreto!K:O,4)</f>
        <v>0.1</v>
      </c>
    </row>
    <row r="786" spans="1:5" hidden="1" x14ac:dyDescent="0.25">
      <c r="A786" s="11">
        <v>37</v>
      </c>
      <c r="B786" s="11" t="s">
        <v>2010</v>
      </c>
      <c r="C786" s="11">
        <v>1</v>
      </c>
      <c r="D786" t="s">
        <v>1962</v>
      </c>
      <c r="E786">
        <f>VLOOKUP(CONCATENATE(validProjetado[[#This Row],[Tipo]],validProjetado[[#This Row],[Destino]]),validConcreto!K:O,4)</f>
        <v>0.1</v>
      </c>
    </row>
    <row r="787" spans="1:5" hidden="1" x14ac:dyDescent="0.25">
      <c r="A787" s="11">
        <v>1</v>
      </c>
      <c r="B787" s="11" t="s">
        <v>2013</v>
      </c>
      <c r="C787" s="11">
        <v>1</v>
      </c>
      <c r="D787" t="s">
        <v>1962</v>
      </c>
      <c r="E787">
        <f>VLOOKUP(CONCATENATE(validProjetado[[#This Row],[Tipo]],validProjetado[[#This Row],[Destino]]),validConcreto!K:O,4)</f>
        <v>0.1</v>
      </c>
    </row>
    <row r="788" spans="1:5" hidden="1" x14ac:dyDescent="0.25">
      <c r="A788" s="11">
        <v>2</v>
      </c>
      <c r="B788" s="11" t="s">
        <v>2013</v>
      </c>
      <c r="C788" s="11">
        <v>1</v>
      </c>
      <c r="D788" t="s">
        <v>1962</v>
      </c>
      <c r="E788">
        <f>VLOOKUP(CONCATENATE(validProjetado[[#This Row],[Tipo]],validProjetado[[#This Row],[Destino]]),validConcreto!K:O,4)</f>
        <v>0.1</v>
      </c>
    </row>
    <row r="789" spans="1:5" hidden="1" x14ac:dyDescent="0.25">
      <c r="A789" s="11">
        <v>3</v>
      </c>
      <c r="B789" s="11" t="s">
        <v>2013</v>
      </c>
      <c r="C789" s="11">
        <v>1</v>
      </c>
      <c r="D789" t="s">
        <v>1962</v>
      </c>
      <c r="E789">
        <f>VLOOKUP(CONCATENATE(validProjetado[[#This Row],[Tipo]],validProjetado[[#This Row],[Destino]]),validConcreto!K:O,4)</f>
        <v>0.1</v>
      </c>
    </row>
    <row r="790" spans="1:5" hidden="1" x14ac:dyDescent="0.25">
      <c r="A790" s="11">
        <v>4</v>
      </c>
      <c r="B790" s="11" t="s">
        <v>2013</v>
      </c>
      <c r="C790" s="11">
        <v>1</v>
      </c>
      <c r="D790" t="s">
        <v>1962</v>
      </c>
      <c r="E790">
        <f>VLOOKUP(CONCATENATE(validProjetado[[#This Row],[Tipo]],validProjetado[[#This Row],[Destino]]),validConcreto!K:O,4)</f>
        <v>0.1</v>
      </c>
    </row>
    <row r="791" spans="1:5" hidden="1" x14ac:dyDescent="0.25">
      <c r="A791" s="11">
        <v>5</v>
      </c>
      <c r="B791" s="11" t="s">
        <v>2013</v>
      </c>
      <c r="C791" s="11">
        <v>1</v>
      </c>
      <c r="D791" t="s">
        <v>1962</v>
      </c>
      <c r="E791">
        <f>VLOOKUP(CONCATENATE(validProjetado[[#This Row],[Tipo]],validProjetado[[#This Row],[Destino]]),validConcreto!K:O,4)</f>
        <v>0.1</v>
      </c>
    </row>
    <row r="792" spans="1:5" hidden="1" x14ac:dyDescent="0.25">
      <c r="A792" s="11">
        <v>6</v>
      </c>
      <c r="B792" s="11" t="s">
        <v>2013</v>
      </c>
      <c r="C792" s="11">
        <v>1</v>
      </c>
      <c r="D792" t="s">
        <v>1962</v>
      </c>
      <c r="E792">
        <f>VLOOKUP(CONCATENATE(validProjetado[[#This Row],[Tipo]],validProjetado[[#This Row],[Destino]]),validConcreto!K:O,4)</f>
        <v>0.1</v>
      </c>
    </row>
    <row r="793" spans="1:5" hidden="1" x14ac:dyDescent="0.25">
      <c r="A793" s="11">
        <v>7</v>
      </c>
      <c r="B793" s="11" t="s">
        <v>2013</v>
      </c>
      <c r="C793" s="11">
        <v>1</v>
      </c>
      <c r="D793" t="s">
        <v>1962</v>
      </c>
      <c r="E793">
        <f>VLOOKUP(CONCATENATE(validProjetado[[#This Row],[Tipo]],validProjetado[[#This Row],[Destino]]),validConcreto!K:O,4)</f>
        <v>0.1</v>
      </c>
    </row>
    <row r="794" spans="1:5" hidden="1" x14ac:dyDescent="0.25">
      <c r="A794" s="11">
        <v>8</v>
      </c>
      <c r="B794" s="11" t="s">
        <v>2013</v>
      </c>
      <c r="C794" s="11">
        <v>1</v>
      </c>
      <c r="D794" t="s">
        <v>1962</v>
      </c>
      <c r="E794">
        <f>VLOOKUP(CONCATENATE(validProjetado[[#This Row],[Tipo]],validProjetado[[#This Row],[Destino]]),validConcreto!K:O,4)</f>
        <v>0.1</v>
      </c>
    </row>
    <row r="795" spans="1:5" hidden="1" x14ac:dyDescent="0.25">
      <c r="A795" s="11">
        <v>9</v>
      </c>
      <c r="B795" s="11" t="s">
        <v>2013</v>
      </c>
      <c r="C795" s="11">
        <v>1</v>
      </c>
      <c r="D795" t="s">
        <v>1962</v>
      </c>
      <c r="E795">
        <f>VLOOKUP(CONCATENATE(validProjetado[[#This Row],[Tipo]],validProjetado[[#This Row],[Destino]]),validConcreto!K:O,4)</f>
        <v>0.1</v>
      </c>
    </row>
    <row r="796" spans="1:5" hidden="1" x14ac:dyDescent="0.25">
      <c r="A796" s="11">
        <v>10</v>
      </c>
      <c r="B796" s="11" t="s">
        <v>2013</v>
      </c>
      <c r="C796" s="11">
        <v>1</v>
      </c>
      <c r="D796" t="s">
        <v>1962</v>
      </c>
      <c r="E796">
        <f>VLOOKUP(CONCATENATE(validProjetado[[#This Row],[Tipo]],validProjetado[[#This Row],[Destino]]),validConcreto!K:O,4)</f>
        <v>0.1</v>
      </c>
    </row>
    <row r="797" spans="1:5" hidden="1" x14ac:dyDescent="0.25">
      <c r="A797" s="11">
        <v>11</v>
      </c>
      <c r="B797" s="11" t="s">
        <v>2013</v>
      </c>
      <c r="C797" s="11">
        <v>1</v>
      </c>
      <c r="D797" t="s">
        <v>1962</v>
      </c>
      <c r="E797">
        <f>VLOOKUP(CONCATENATE(validProjetado[[#This Row],[Tipo]],validProjetado[[#This Row],[Destino]]),validConcreto!K:O,4)</f>
        <v>0.1</v>
      </c>
    </row>
    <row r="798" spans="1:5" hidden="1" x14ac:dyDescent="0.25">
      <c r="A798" s="11">
        <v>12</v>
      </c>
      <c r="B798" s="11" t="s">
        <v>2013</v>
      </c>
      <c r="C798" s="11">
        <v>1</v>
      </c>
      <c r="D798" t="s">
        <v>1962</v>
      </c>
      <c r="E798">
        <f>VLOOKUP(CONCATENATE(validProjetado[[#This Row],[Tipo]],validProjetado[[#This Row],[Destino]]),validConcreto!K:O,4)</f>
        <v>0.1</v>
      </c>
    </row>
    <row r="799" spans="1:5" hidden="1" x14ac:dyDescent="0.25">
      <c r="A799" s="11">
        <v>13</v>
      </c>
      <c r="B799" s="11" t="s">
        <v>2013</v>
      </c>
      <c r="C799" s="11">
        <v>1</v>
      </c>
      <c r="D799" t="s">
        <v>1962</v>
      </c>
      <c r="E799">
        <f>VLOOKUP(CONCATENATE(validProjetado[[#This Row],[Tipo]],validProjetado[[#This Row],[Destino]]),validConcreto!K:O,4)</f>
        <v>0.1</v>
      </c>
    </row>
    <row r="800" spans="1:5" hidden="1" x14ac:dyDescent="0.25">
      <c r="A800" s="11">
        <v>14</v>
      </c>
      <c r="B800" s="11" t="s">
        <v>2013</v>
      </c>
      <c r="C800" s="11">
        <v>1</v>
      </c>
      <c r="D800" t="s">
        <v>1962</v>
      </c>
      <c r="E800">
        <f>VLOOKUP(CONCATENATE(validProjetado[[#This Row],[Tipo]],validProjetado[[#This Row],[Destino]]),validConcreto!K:O,4)</f>
        <v>0.1</v>
      </c>
    </row>
    <row r="801" spans="1:5" hidden="1" x14ac:dyDescent="0.25">
      <c r="A801" s="11">
        <v>15</v>
      </c>
      <c r="B801" s="11" t="s">
        <v>2013</v>
      </c>
      <c r="C801" s="11">
        <v>1</v>
      </c>
      <c r="D801" t="s">
        <v>1962</v>
      </c>
      <c r="E801">
        <f>VLOOKUP(CONCATENATE(validProjetado[[#This Row],[Tipo]],validProjetado[[#This Row],[Destino]]),validConcreto!K:O,4)</f>
        <v>0.1</v>
      </c>
    </row>
    <row r="802" spans="1:5" hidden="1" x14ac:dyDescent="0.25">
      <c r="A802" s="11">
        <v>16</v>
      </c>
      <c r="B802" s="11" t="s">
        <v>2013</v>
      </c>
      <c r="C802" s="11">
        <v>1</v>
      </c>
      <c r="D802" t="s">
        <v>1962</v>
      </c>
      <c r="E802">
        <f>VLOOKUP(CONCATENATE(validProjetado[[#This Row],[Tipo]],validProjetado[[#This Row],[Destino]]),validConcreto!K:O,4)</f>
        <v>0.1</v>
      </c>
    </row>
    <row r="803" spans="1:5" hidden="1" x14ac:dyDescent="0.25">
      <c r="A803" s="11">
        <v>17</v>
      </c>
      <c r="B803" s="11" t="s">
        <v>2013</v>
      </c>
      <c r="C803" s="11">
        <v>1</v>
      </c>
      <c r="D803" t="s">
        <v>1962</v>
      </c>
      <c r="E803">
        <f>VLOOKUP(CONCATENATE(validProjetado[[#This Row],[Tipo]],validProjetado[[#This Row],[Destino]]),validConcreto!K:O,4)</f>
        <v>0.1</v>
      </c>
    </row>
    <row r="804" spans="1:5" hidden="1" x14ac:dyDescent="0.25">
      <c r="A804" s="11">
        <v>18</v>
      </c>
      <c r="B804" s="11" t="s">
        <v>2013</v>
      </c>
      <c r="C804" s="11">
        <v>1</v>
      </c>
      <c r="D804" t="s">
        <v>1962</v>
      </c>
      <c r="E804">
        <f>VLOOKUP(CONCATENATE(validProjetado[[#This Row],[Tipo]],validProjetado[[#This Row],[Destino]]),validConcreto!K:O,4)</f>
        <v>0.1</v>
      </c>
    </row>
    <row r="805" spans="1:5" hidden="1" x14ac:dyDescent="0.25">
      <c r="A805" s="11">
        <v>19</v>
      </c>
      <c r="B805" s="11" t="s">
        <v>2013</v>
      </c>
      <c r="C805" s="11">
        <v>1</v>
      </c>
      <c r="D805" t="s">
        <v>1962</v>
      </c>
      <c r="E805">
        <f>VLOOKUP(CONCATENATE(validProjetado[[#This Row],[Tipo]],validProjetado[[#This Row],[Destino]]),validConcreto!K:O,4)</f>
        <v>0.1</v>
      </c>
    </row>
    <row r="806" spans="1:5" hidden="1" x14ac:dyDescent="0.25">
      <c r="A806" s="11">
        <v>20</v>
      </c>
      <c r="B806" s="11" t="s">
        <v>2013</v>
      </c>
      <c r="C806" s="11">
        <v>1</v>
      </c>
      <c r="D806" t="s">
        <v>1962</v>
      </c>
      <c r="E806">
        <f>VLOOKUP(CONCATENATE(validProjetado[[#This Row],[Tipo]],validProjetado[[#This Row],[Destino]]),validConcreto!K:O,4)</f>
        <v>0.1</v>
      </c>
    </row>
    <row r="807" spans="1:5" hidden="1" x14ac:dyDescent="0.25">
      <c r="A807" s="11">
        <v>21</v>
      </c>
      <c r="B807" s="11" t="s">
        <v>2013</v>
      </c>
      <c r="C807" s="11">
        <v>1</v>
      </c>
      <c r="D807" t="s">
        <v>1962</v>
      </c>
      <c r="E807">
        <f>VLOOKUP(CONCATENATE(validProjetado[[#This Row],[Tipo]],validProjetado[[#This Row],[Destino]]),validConcreto!K:O,4)</f>
        <v>0.1</v>
      </c>
    </row>
    <row r="808" spans="1:5" hidden="1" x14ac:dyDescent="0.25">
      <c r="A808" s="11">
        <v>22</v>
      </c>
      <c r="B808" s="11" t="s">
        <v>2013</v>
      </c>
      <c r="C808" s="11">
        <v>1</v>
      </c>
      <c r="D808" t="s">
        <v>1962</v>
      </c>
      <c r="E808">
        <f>VLOOKUP(CONCATENATE(validProjetado[[#This Row],[Tipo]],validProjetado[[#This Row],[Destino]]),validConcreto!K:O,4)</f>
        <v>0.1</v>
      </c>
    </row>
    <row r="809" spans="1:5" hidden="1" x14ac:dyDescent="0.25">
      <c r="A809" s="11">
        <v>23</v>
      </c>
      <c r="B809" s="11" t="s">
        <v>2013</v>
      </c>
      <c r="C809" s="11">
        <v>1</v>
      </c>
      <c r="D809" t="s">
        <v>1962</v>
      </c>
      <c r="E809">
        <f>VLOOKUP(CONCATENATE(validProjetado[[#This Row],[Tipo]],validProjetado[[#This Row],[Destino]]),validConcreto!K:O,4)</f>
        <v>0.1</v>
      </c>
    </row>
    <row r="810" spans="1:5" hidden="1" x14ac:dyDescent="0.25">
      <c r="A810" s="11">
        <v>24</v>
      </c>
      <c r="B810" s="11" t="s">
        <v>2013</v>
      </c>
      <c r="C810" s="11">
        <v>1</v>
      </c>
      <c r="D810" t="s">
        <v>1962</v>
      </c>
      <c r="E810">
        <f>VLOOKUP(CONCATENATE(validProjetado[[#This Row],[Tipo]],validProjetado[[#This Row],[Destino]]),validConcreto!K:O,4)</f>
        <v>0.1</v>
      </c>
    </row>
    <row r="811" spans="1:5" hidden="1" x14ac:dyDescent="0.25">
      <c r="A811" s="11">
        <v>25</v>
      </c>
      <c r="B811" s="11" t="s">
        <v>2013</v>
      </c>
      <c r="C811" s="11">
        <v>1</v>
      </c>
      <c r="D811" t="s">
        <v>1962</v>
      </c>
      <c r="E811">
        <f>VLOOKUP(CONCATENATE(validProjetado[[#This Row],[Tipo]],validProjetado[[#This Row],[Destino]]),validConcreto!K:O,4)</f>
        <v>0.1</v>
      </c>
    </row>
    <row r="812" spans="1:5" hidden="1" x14ac:dyDescent="0.25">
      <c r="A812" s="11">
        <v>26</v>
      </c>
      <c r="B812" s="11" t="s">
        <v>2013</v>
      </c>
      <c r="C812" s="11">
        <v>1</v>
      </c>
      <c r="D812" t="s">
        <v>1962</v>
      </c>
      <c r="E812">
        <f>VLOOKUP(CONCATENATE(validProjetado[[#This Row],[Tipo]],validProjetado[[#This Row],[Destino]]),validConcreto!K:O,4)</f>
        <v>0.1</v>
      </c>
    </row>
    <row r="813" spans="1:5" hidden="1" x14ac:dyDescent="0.25">
      <c r="A813" s="11">
        <v>27</v>
      </c>
      <c r="B813" s="11" t="s">
        <v>2013</v>
      </c>
      <c r="C813" s="11">
        <v>1</v>
      </c>
      <c r="D813" t="s">
        <v>1962</v>
      </c>
      <c r="E813">
        <f>VLOOKUP(CONCATENATE(validProjetado[[#This Row],[Tipo]],validProjetado[[#This Row],[Destino]]),validConcreto!K:O,4)</f>
        <v>0.1</v>
      </c>
    </row>
    <row r="814" spans="1:5" hidden="1" x14ac:dyDescent="0.25">
      <c r="A814" s="11">
        <v>28</v>
      </c>
      <c r="B814" s="11" t="s">
        <v>2013</v>
      </c>
      <c r="C814" s="11">
        <v>1</v>
      </c>
      <c r="D814" t="s">
        <v>1962</v>
      </c>
      <c r="E814">
        <f>VLOOKUP(CONCATENATE(validProjetado[[#This Row],[Tipo]],validProjetado[[#This Row],[Destino]]),validConcreto!K:O,4)</f>
        <v>0.1</v>
      </c>
    </row>
    <row r="815" spans="1:5" hidden="1" x14ac:dyDescent="0.25">
      <c r="A815" s="11">
        <v>29</v>
      </c>
      <c r="B815" s="11" t="s">
        <v>2013</v>
      </c>
      <c r="C815" s="11">
        <v>2</v>
      </c>
      <c r="D815" t="s">
        <v>1962</v>
      </c>
      <c r="E815">
        <f>VLOOKUP(CONCATENATE(validProjetado[[#This Row],[Tipo]],validProjetado[[#This Row],[Destino]]),validConcreto!K:O,4)</f>
        <v>0.1</v>
      </c>
    </row>
    <row r="816" spans="1:5" hidden="1" x14ac:dyDescent="0.25">
      <c r="A816" s="11">
        <v>30</v>
      </c>
      <c r="B816" s="11" t="s">
        <v>2013</v>
      </c>
      <c r="C816" s="11">
        <v>1</v>
      </c>
      <c r="D816" t="s">
        <v>1962</v>
      </c>
      <c r="E816">
        <f>VLOOKUP(CONCATENATE(validProjetado[[#This Row],[Tipo]],validProjetado[[#This Row],[Destino]]),validConcreto!K:O,4)</f>
        <v>0.1</v>
      </c>
    </row>
    <row r="817" spans="1:5" hidden="1" x14ac:dyDescent="0.25">
      <c r="A817" s="11">
        <v>31</v>
      </c>
      <c r="B817" s="11" t="s">
        <v>2013</v>
      </c>
      <c r="C817" s="11">
        <v>1</v>
      </c>
      <c r="D817" t="s">
        <v>1962</v>
      </c>
      <c r="E817">
        <f>VLOOKUP(CONCATENATE(validProjetado[[#This Row],[Tipo]],validProjetado[[#This Row],[Destino]]),validConcreto!K:O,4)</f>
        <v>0.1</v>
      </c>
    </row>
    <row r="818" spans="1:5" hidden="1" x14ac:dyDescent="0.25">
      <c r="A818" s="11">
        <v>32</v>
      </c>
      <c r="B818" s="11" t="s">
        <v>2013</v>
      </c>
      <c r="C818" s="11">
        <v>1</v>
      </c>
      <c r="D818" t="s">
        <v>1962</v>
      </c>
      <c r="E818">
        <f>VLOOKUP(CONCATENATE(validProjetado[[#This Row],[Tipo]],validProjetado[[#This Row],[Destino]]),validConcreto!K:O,4)</f>
        <v>0.1</v>
      </c>
    </row>
    <row r="819" spans="1:5" hidden="1" x14ac:dyDescent="0.25">
      <c r="A819" s="11">
        <v>33</v>
      </c>
      <c r="B819" s="11" t="s">
        <v>2013</v>
      </c>
      <c r="C819" s="11">
        <v>1</v>
      </c>
      <c r="D819" t="s">
        <v>1962</v>
      </c>
      <c r="E819">
        <f>VLOOKUP(CONCATENATE(validProjetado[[#This Row],[Tipo]],validProjetado[[#This Row],[Destino]]),validConcreto!K:O,4)</f>
        <v>0.1</v>
      </c>
    </row>
    <row r="820" spans="1:5" hidden="1" x14ac:dyDescent="0.25">
      <c r="A820" s="11">
        <v>34</v>
      </c>
      <c r="B820" s="11" t="s">
        <v>2013</v>
      </c>
      <c r="C820" s="11">
        <v>2</v>
      </c>
      <c r="D820" t="s">
        <v>1962</v>
      </c>
      <c r="E820">
        <f>VLOOKUP(CONCATENATE(validProjetado[[#This Row],[Tipo]],validProjetado[[#This Row],[Destino]]),validConcreto!K:O,4)</f>
        <v>0.1</v>
      </c>
    </row>
    <row r="821" spans="1:5" hidden="1" x14ac:dyDescent="0.25">
      <c r="A821" s="11">
        <v>1</v>
      </c>
      <c r="B821" s="11" t="s">
        <v>2016</v>
      </c>
      <c r="C821" s="11">
        <v>1</v>
      </c>
      <c r="D821" t="s">
        <v>1962</v>
      </c>
      <c r="E821">
        <f>VLOOKUP(CONCATENATE(validProjetado[[#This Row],[Tipo]],validProjetado[[#This Row],[Destino]]),validConcreto!K:O,4)</f>
        <v>0.1</v>
      </c>
    </row>
    <row r="822" spans="1:5" hidden="1" x14ac:dyDescent="0.25">
      <c r="A822" s="11">
        <v>2</v>
      </c>
      <c r="B822" s="11" t="s">
        <v>2016</v>
      </c>
      <c r="C822" s="11">
        <v>2</v>
      </c>
      <c r="D822" t="s">
        <v>1962</v>
      </c>
      <c r="E822">
        <f>VLOOKUP(CONCATENATE(validProjetado[[#This Row],[Tipo]],validProjetado[[#This Row],[Destino]]),validConcreto!K:O,4)</f>
        <v>0.1</v>
      </c>
    </row>
    <row r="823" spans="1:5" hidden="1" x14ac:dyDescent="0.25">
      <c r="A823" s="11">
        <v>3</v>
      </c>
      <c r="B823" s="11" t="s">
        <v>2016</v>
      </c>
      <c r="C823" s="11">
        <v>1</v>
      </c>
      <c r="D823" t="s">
        <v>1962</v>
      </c>
      <c r="E823">
        <f>VLOOKUP(CONCATENATE(validProjetado[[#This Row],[Tipo]],validProjetado[[#This Row],[Destino]]),validConcreto!K:O,4)</f>
        <v>0.1</v>
      </c>
    </row>
    <row r="824" spans="1:5" hidden="1" x14ac:dyDescent="0.25">
      <c r="A824" s="11">
        <v>4</v>
      </c>
      <c r="B824" s="11" t="s">
        <v>2016</v>
      </c>
      <c r="C824" s="11">
        <v>2</v>
      </c>
      <c r="D824" t="s">
        <v>1962</v>
      </c>
      <c r="E824">
        <f>VLOOKUP(CONCATENATE(validProjetado[[#This Row],[Tipo]],validProjetado[[#This Row],[Destino]]),validConcreto!K:O,4)</f>
        <v>0.1</v>
      </c>
    </row>
    <row r="825" spans="1:5" hidden="1" x14ac:dyDescent="0.25">
      <c r="A825" s="11">
        <v>5</v>
      </c>
      <c r="B825" s="11" t="s">
        <v>2016</v>
      </c>
      <c r="C825" s="11">
        <v>1</v>
      </c>
      <c r="D825" t="s">
        <v>1962</v>
      </c>
      <c r="E825">
        <f>VLOOKUP(CONCATENATE(validProjetado[[#This Row],[Tipo]],validProjetado[[#This Row],[Destino]]),validConcreto!K:O,4)</f>
        <v>0.1</v>
      </c>
    </row>
    <row r="826" spans="1:5" hidden="1" x14ac:dyDescent="0.25">
      <c r="A826" s="11">
        <v>6</v>
      </c>
      <c r="B826" s="11" t="s">
        <v>2016</v>
      </c>
      <c r="C826" s="11">
        <v>2</v>
      </c>
      <c r="D826" t="s">
        <v>1962</v>
      </c>
      <c r="E826">
        <f>VLOOKUP(CONCATENATE(validProjetado[[#This Row],[Tipo]],validProjetado[[#This Row],[Destino]]),validConcreto!K:O,4)</f>
        <v>0.1</v>
      </c>
    </row>
    <row r="827" spans="1:5" hidden="1" x14ac:dyDescent="0.25">
      <c r="A827" s="11">
        <v>7</v>
      </c>
      <c r="B827" s="11" t="s">
        <v>2016</v>
      </c>
      <c r="C827" s="11">
        <v>1</v>
      </c>
      <c r="D827" t="s">
        <v>1962</v>
      </c>
      <c r="E827">
        <f>VLOOKUP(CONCATENATE(validProjetado[[#This Row],[Tipo]],validProjetado[[#This Row],[Destino]]),validConcreto!K:O,4)</f>
        <v>0.1</v>
      </c>
    </row>
    <row r="828" spans="1:5" hidden="1" x14ac:dyDescent="0.25">
      <c r="A828" s="11">
        <v>8</v>
      </c>
      <c r="B828" s="11" t="s">
        <v>2016</v>
      </c>
      <c r="C828" s="11">
        <v>2</v>
      </c>
      <c r="D828" t="s">
        <v>1962</v>
      </c>
      <c r="E828">
        <f>VLOOKUP(CONCATENATE(validProjetado[[#This Row],[Tipo]],validProjetado[[#This Row],[Destino]]),validConcreto!K:O,4)</f>
        <v>0.1</v>
      </c>
    </row>
    <row r="829" spans="1:5" hidden="1" x14ac:dyDescent="0.25">
      <c r="A829" s="11">
        <v>9</v>
      </c>
      <c r="B829" s="11" t="s">
        <v>2016</v>
      </c>
      <c r="C829" s="11">
        <v>1</v>
      </c>
      <c r="D829" t="s">
        <v>1962</v>
      </c>
      <c r="E829">
        <f>VLOOKUP(CONCATENATE(validProjetado[[#This Row],[Tipo]],validProjetado[[#This Row],[Destino]]),validConcreto!K:O,4)</f>
        <v>0.1</v>
      </c>
    </row>
    <row r="830" spans="1:5" hidden="1" x14ac:dyDescent="0.25">
      <c r="A830" s="11">
        <v>10</v>
      </c>
      <c r="B830" s="11" t="s">
        <v>2016</v>
      </c>
      <c r="C830" s="11">
        <v>2</v>
      </c>
      <c r="D830" t="s">
        <v>1962</v>
      </c>
      <c r="E830">
        <f>VLOOKUP(CONCATENATE(validProjetado[[#This Row],[Tipo]],validProjetado[[#This Row],[Destino]]),validConcreto!K:O,4)</f>
        <v>0.1</v>
      </c>
    </row>
    <row r="831" spans="1:5" hidden="1" x14ac:dyDescent="0.25">
      <c r="A831" s="11">
        <v>11</v>
      </c>
      <c r="B831" s="11" t="s">
        <v>2016</v>
      </c>
      <c r="C831" s="11">
        <v>1</v>
      </c>
      <c r="D831" t="s">
        <v>1962</v>
      </c>
      <c r="E831">
        <f>VLOOKUP(CONCATENATE(validProjetado[[#This Row],[Tipo]],validProjetado[[#This Row],[Destino]]),validConcreto!K:O,4)</f>
        <v>0.1</v>
      </c>
    </row>
    <row r="832" spans="1:5" hidden="1" x14ac:dyDescent="0.25">
      <c r="A832" s="11">
        <v>12</v>
      </c>
      <c r="B832" s="11" t="s">
        <v>2016</v>
      </c>
      <c r="C832" s="11">
        <v>2</v>
      </c>
      <c r="D832" t="s">
        <v>1962</v>
      </c>
      <c r="E832">
        <f>VLOOKUP(CONCATENATE(validProjetado[[#This Row],[Tipo]],validProjetado[[#This Row],[Destino]]),validConcreto!K:O,4)</f>
        <v>0.1</v>
      </c>
    </row>
    <row r="833" spans="1:5" hidden="1" x14ac:dyDescent="0.25">
      <c r="A833" s="11">
        <v>13</v>
      </c>
      <c r="B833" s="11" t="s">
        <v>2016</v>
      </c>
      <c r="C833" s="11">
        <v>1</v>
      </c>
      <c r="D833" t="s">
        <v>1962</v>
      </c>
      <c r="E833">
        <f>VLOOKUP(CONCATENATE(validProjetado[[#This Row],[Tipo]],validProjetado[[#This Row],[Destino]]),validConcreto!K:O,4)</f>
        <v>0.1</v>
      </c>
    </row>
    <row r="834" spans="1:5" hidden="1" x14ac:dyDescent="0.25">
      <c r="A834" s="11">
        <v>14</v>
      </c>
      <c r="B834" s="11" t="s">
        <v>2016</v>
      </c>
      <c r="C834" s="11">
        <v>2</v>
      </c>
      <c r="D834" t="s">
        <v>1962</v>
      </c>
      <c r="E834">
        <f>VLOOKUP(CONCATENATE(validProjetado[[#This Row],[Tipo]],validProjetado[[#This Row],[Destino]]),validConcreto!K:O,4)</f>
        <v>0.1</v>
      </c>
    </row>
    <row r="835" spans="1:5" hidden="1" x14ac:dyDescent="0.25">
      <c r="A835" s="11">
        <v>15</v>
      </c>
      <c r="B835" s="11" t="s">
        <v>2016</v>
      </c>
      <c r="C835" s="11">
        <v>1</v>
      </c>
      <c r="D835" t="s">
        <v>1962</v>
      </c>
      <c r="E835">
        <f>VLOOKUP(CONCATENATE(validProjetado[[#This Row],[Tipo]],validProjetado[[#This Row],[Destino]]),validConcreto!K:O,4)</f>
        <v>0.1</v>
      </c>
    </row>
    <row r="836" spans="1:5" hidden="1" x14ac:dyDescent="0.25">
      <c r="A836" s="11">
        <v>16</v>
      </c>
      <c r="B836" s="11" t="s">
        <v>2016</v>
      </c>
      <c r="C836" s="11">
        <v>2</v>
      </c>
      <c r="D836" t="s">
        <v>1962</v>
      </c>
      <c r="E836">
        <f>VLOOKUP(CONCATENATE(validProjetado[[#This Row],[Tipo]],validProjetado[[#This Row],[Destino]]),validConcreto!K:O,4)</f>
        <v>0.1</v>
      </c>
    </row>
    <row r="837" spans="1:5" hidden="1" x14ac:dyDescent="0.25">
      <c r="A837" s="11">
        <v>17</v>
      </c>
      <c r="B837" s="11" t="s">
        <v>2016</v>
      </c>
      <c r="C837" s="11">
        <v>1</v>
      </c>
      <c r="D837" t="s">
        <v>1962</v>
      </c>
      <c r="E837">
        <f>VLOOKUP(CONCATENATE(validProjetado[[#This Row],[Tipo]],validProjetado[[#This Row],[Destino]]),validConcreto!K:O,4)</f>
        <v>0.1</v>
      </c>
    </row>
    <row r="838" spans="1:5" hidden="1" x14ac:dyDescent="0.25">
      <c r="A838" s="11">
        <v>1</v>
      </c>
      <c r="B838" s="11" t="s">
        <v>2021</v>
      </c>
      <c r="C838" s="11">
        <v>2</v>
      </c>
      <c r="D838" t="s">
        <v>1962</v>
      </c>
      <c r="E838">
        <f>VLOOKUP(CONCATENATE(validProjetado[[#This Row],[Tipo]],validProjetado[[#This Row],[Destino]]),validConcreto!K:O,4)</f>
        <v>0.1</v>
      </c>
    </row>
    <row r="839" spans="1:5" hidden="1" x14ac:dyDescent="0.25">
      <c r="A839" s="11">
        <v>2</v>
      </c>
      <c r="B839" s="11" t="s">
        <v>2021</v>
      </c>
      <c r="C839" s="11">
        <v>1</v>
      </c>
      <c r="D839" t="s">
        <v>1962</v>
      </c>
      <c r="E839">
        <f>VLOOKUP(CONCATENATE(validProjetado[[#This Row],[Tipo]],validProjetado[[#This Row],[Destino]]),validConcreto!K:O,4)</f>
        <v>0.1</v>
      </c>
    </row>
    <row r="840" spans="1:5" hidden="1" x14ac:dyDescent="0.25">
      <c r="A840" s="11">
        <v>3</v>
      </c>
      <c r="B840" s="11" t="s">
        <v>2021</v>
      </c>
      <c r="C840" s="11">
        <v>2</v>
      </c>
      <c r="D840" t="s">
        <v>1962</v>
      </c>
      <c r="E840">
        <f>VLOOKUP(CONCATENATE(validProjetado[[#This Row],[Tipo]],validProjetado[[#This Row],[Destino]]),validConcreto!K:O,4)</f>
        <v>0.1</v>
      </c>
    </row>
    <row r="841" spans="1:5" hidden="1" x14ac:dyDescent="0.25">
      <c r="A841" s="11">
        <v>4</v>
      </c>
      <c r="B841" s="11" t="s">
        <v>2021</v>
      </c>
      <c r="C841" s="11">
        <v>1</v>
      </c>
      <c r="D841" t="s">
        <v>1962</v>
      </c>
      <c r="E841">
        <f>VLOOKUP(CONCATENATE(validProjetado[[#This Row],[Tipo]],validProjetado[[#This Row],[Destino]]),validConcreto!K:O,4)</f>
        <v>0.1</v>
      </c>
    </row>
    <row r="842" spans="1:5" hidden="1" x14ac:dyDescent="0.25">
      <c r="A842" s="11">
        <v>5</v>
      </c>
      <c r="B842" s="11" t="s">
        <v>2021</v>
      </c>
      <c r="C842" s="11">
        <v>2</v>
      </c>
      <c r="D842" t="s">
        <v>1962</v>
      </c>
      <c r="E842">
        <f>VLOOKUP(CONCATENATE(validProjetado[[#This Row],[Tipo]],validProjetado[[#This Row],[Destino]]),validConcreto!K:O,4)</f>
        <v>0.1</v>
      </c>
    </row>
    <row r="843" spans="1:5" hidden="1" x14ac:dyDescent="0.25">
      <c r="A843" s="11">
        <v>6</v>
      </c>
      <c r="B843" s="11" t="s">
        <v>2021</v>
      </c>
      <c r="C843" s="11">
        <v>1</v>
      </c>
      <c r="D843" t="s">
        <v>1962</v>
      </c>
      <c r="E843">
        <f>VLOOKUP(CONCATENATE(validProjetado[[#This Row],[Tipo]],validProjetado[[#This Row],[Destino]]),validConcreto!K:O,4)</f>
        <v>0.1</v>
      </c>
    </row>
    <row r="844" spans="1:5" hidden="1" x14ac:dyDescent="0.25">
      <c r="A844" s="11">
        <v>7</v>
      </c>
      <c r="B844" s="11" t="s">
        <v>2021</v>
      </c>
      <c r="C844" s="11">
        <v>2</v>
      </c>
      <c r="D844" t="s">
        <v>1962</v>
      </c>
      <c r="E844">
        <f>VLOOKUP(CONCATENATE(validProjetado[[#This Row],[Tipo]],validProjetado[[#This Row],[Destino]]),validConcreto!K:O,4)</f>
        <v>0.1</v>
      </c>
    </row>
    <row r="845" spans="1:5" hidden="1" x14ac:dyDescent="0.25">
      <c r="A845" s="11">
        <v>8</v>
      </c>
      <c r="B845" s="11" t="s">
        <v>2021</v>
      </c>
      <c r="C845" s="11">
        <v>1</v>
      </c>
      <c r="D845" t="s">
        <v>1962</v>
      </c>
      <c r="E845">
        <f>VLOOKUP(CONCATENATE(validProjetado[[#This Row],[Tipo]],validProjetado[[#This Row],[Destino]]),validConcreto!K:O,4)</f>
        <v>0.1</v>
      </c>
    </row>
    <row r="846" spans="1:5" hidden="1" x14ac:dyDescent="0.25">
      <c r="A846" s="11">
        <v>9</v>
      </c>
      <c r="B846" s="11" t="s">
        <v>2021</v>
      </c>
      <c r="C846" s="11">
        <v>2</v>
      </c>
      <c r="D846" t="s">
        <v>1962</v>
      </c>
      <c r="E846">
        <f>VLOOKUP(CONCATENATE(validProjetado[[#This Row],[Tipo]],validProjetado[[#This Row],[Destino]]),validConcreto!K:O,4)</f>
        <v>0.1</v>
      </c>
    </row>
    <row r="847" spans="1:5" hidden="1" x14ac:dyDescent="0.25">
      <c r="A847" s="11">
        <v>10</v>
      </c>
      <c r="B847" s="11" t="s">
        <v>2021</v>
      </c>
      <c r="C847" s="11">
        <v>1</v>
      </c>
      <c r="D847" t="s">
        <v>1962</v>
      </c>
      <c r="E847">
        <f>VLOOKUP(CONCATENATE(validProjetado[[#This Row],[Tipo]],validProjetado[[#This Row],[Destino]]),validConcreto!K:O,4)</f>
        <v>0.1</v>
      </c>
    </row>
    <row r="848" spans="1:5" hidden="1" x14ac:dyDescent="0.25">
      <c r="A848" s="11">
        <v>11</v>
      </c>
      <c r="B848" s="11" t="s">
        <v>2021</v>
      </c>
      <c r="C848" s="11">
        <v>2</v>
      </c>
      <c r="D848" t="s">
        <v>1962</v>
      </c>
      <c r="E848">
        <f>VLOOKUP(CONCATENATE(validProjetado[[#This Row],[Tipo]],validProjetado[[#This Row],[Destino]]),validConcreto!K:O,4)</f>
        <v>0.1</v>
      </c>
    </row>
    <row r="849" spans="1:5" hidden="1" x14ac:dyDescent="0.25">
      <c r="A849" s="11">
        <v>12</v>
      </c>
      <c r="B849" s="11" t="s">
        <v>2021</v>
      </c>
      <c r="C849" s="11">
        <v>1</v>
      </c>
      <c r="D849" t="s">
        <v>1962</v>
      </c>
      <c r="E849">
        <f>VLOOKUP(CONCATENATE(validProjetado[[#This Row],[Tipo]],validProjetado[[#This Row],[Destino]]),validConcreto!K:O,4)</f>
        <v>0.1</v>
      </c>
    </row>
    <row r="850" spans="1:5" hidden="1" x14ac:dyDescent="0.25">
      <c r="A850" s="11">
        <v>13</v>
      </c>
      <c r="B850" s="11" t="s">
        <v>2021</v>
      </c>
      <c r="C850" s="11">
        <v>2</v>
      </c>
      <c r="D850" t="s">
        <v>1962</v>
      </c>
      <c r="E850">
        <f>VLOOKUP(CONCATENATE(validProjetado[[#This Row],[Tipo]],validProjetado[[#This Row],[Destino]]),validConcreto!K:O,4)</f>
        <v>0.1</v>
      </c>
    </row>
    <row r="851" spans="1:5" hidden="1" x14ac:dyDescent="0.25">
      <c r="A851" s="11">
        <v>14</v>
      </c>
      <c r="B851" s="11" t="s">
        <v>2021</v>
      </c>
      <c r="C851" s="11">
        <v>1</v>
      </c>
      <c r="D851" t="s">
        <v>1962</v>
      </c>
      <c r="E851">
        <f>VLOOKUP(CONCATENATE(validProjetado[[#This Row],[Tipo]],validProjetado[[#This Row],[Destino]]),validConcreto!K:O,4)</f>
        <v>0.1</v>
      </c>
    </row>
    <row r="852" spans="1:5" hidden="1" x14ac:dyDescent="0.25">
      <c r="A852" s="11">
        <v>1</v>
      </c>
      <c r="B852" s="11" t="s">
        <v>2024</v>
      </c>
      <c r="C852" s="11">
        <v>1</v>
      </c>
      <c r="D852" t="s">
        <v>1962</v>
      </c>
      <c r="E852">
        <f>VLOOKUP(CONCATENATE(validProjetado[[#This Row],[Tipo]],validProjetado[[#This Row],[Destino]]),validConcreto!K:O,4)</f>
        <v>0.1</v>
      </c>
    </row>
    <row r="853" spans="1:5" hidden="1" x14ac:dyDescent="0.25">
      <c r="A853" s="11">
        <v>2</v>
      </c>
      <c r="B853" s="11" t="s">
        <v>2024</v>
      </c>
      <c r="C853" s="11">
        <v>1</v>
      </c>
      <c r="D853" t="s">
        <v>1962</v>
      </c>
      <c r="E853">
        <f>VLOOKUP(CONCATENATE(validProjetado[[#This Row],[Tipo]],validProjetado[[#This Row],[Destino]]),validConcreto!K:O,4)</f>
        <v>0.1</v>
      </c>
    </row>
    <row r="854" spans="1:5" hidden="1" x14ac:dyDescent="0.25">
      <c r="A854" s="11">
        <v>3</v>
      </c>
      <c r="B854" s="11" t="s">
        <v>2024</v>
      </c>
      <c r="C854" s="11">
        <v>1</v>
      </c>
      <c r="D854" t="s">
        <v>1962</v>
      </c>
      <c r="E854">
        <f>VLOOKUP(CONCATENATE(validProjetado[[#This Row],[Tipo]],validProjetado[[#This Row],[Destino]]),validConcreto!K:O,4)</f>
        <v>0.1</v>
      </c>
    </row>
    <row r="855" spans="1:5" hidden="1" x14ac:dyDescent="0.25">
      <c r="A855" s="11">
        <v>4</v>
      </c>
      <c r="B855" s="11" t="s">
        <v>2024</v>
      </c>
      <c r="C855" s="11">
        <v>1</v>
      </c>
      <c r="D855" t="s">
        <v>1962</v>
      </c>
      <c r="E855">
        <f>VLOOKUP(CONCATENATE(validProjetado[[#This Row],[Tipo]],validProjetado[[#This Row],[Destino]]),validConcreto!K:O,4)</f>
        <v>0.1</v>
      </c>
    </row>
    <row r="856" spans="1:5" hidden="1" x14ac:dyDescent="0.25">
      <c r="A856" s="11">
        <v>5</v>
      </c>
      <c r="B856" s="11" t="s">
        <v>2024</v>
      </c>
      <c r="C856" s="11">
        <v>1</v>
      </c>
      <c r="D856" t="s">
        <v>1962</v>
      </c>
      <c r="E856">
        <f>VLOOKUP(CONCATENATE(validProjetado[[#This Row],[Tipo]],validProjetado[[#This Row],[Destino]]),validConcreto!K:O,4)</f>
        <v>0.1</v>
      </c>
    </row>
    <row r="857" spans="1:5" hidden="1" x14ac:dyDescent="0.25">
      <c r="A857" s="11">
        <v>6</v>
      </c>
      <c r="B857" s="11" t="s">
        <v>2024</v>
      </c>
      <c r="C857" s="11">
        <v>1</v>
      </c>
      <c r="D857" t="s">
        <v>1962</v>
      </c>
      <c r="E857">
        <f>VLOOKUP(CONCATENATE(validProjetado[[#This Row],[Tipo]],validProjetado[[#This Row],[Destino]]),validConcreto!K:O,4)</f>
        <v>0.1</v>
      </c>
    </row>
    <row r="858" spans="1:5" hidden="1" x14ac:dyDescent="0.25">
      <c r="A858" s="11">
        <v>7</v>
      </c>
      <c r="B858" s="11" t="s">
        <v>2024</v>
      </c>
      <c r="C858" s="11">
        <v>1</v>
      </c>
      <c r="D858" t="s">
        <v>1962</v>
      </c>
      <c r="E858">
        <f>VLOOKUP(CONCATENATE(validProjetado[[#This Row],[Tipo]],validProjetado[[#This Row],[Destino]]),validConcreto!K:O,4)</f>
        <v>0.1</v>
      </c>
    </row>
    <row r="859" spans="1:5" hidden="1" x14ac:dyDescent="0.25">
      <c r="A859" s="11">
        <v>8</v>
      </c>
      <c r="B859" s="11" t="s">
        <v>2024</v>
      </c>
      <c r="C859" s="11">
        <v>1</v>
      </c>
      <c r="D859" t="s">
        <v>1962</v>
      </c>
      <c r="E859">
        <f>VLOOKUP(CONCATENATE(validProjetado[[#This Row],[Tipo]],validProjetado[[#This Row],[Destino]]),validConcreto!K:O,4)</f>
        <v>0.1</v>
      </c>
    </row>
    <row r="860" spans="1:5" hidden="1" x14ac:dyDescent="0.25">
      <c r="A860" s="11">
        <v>9</v>
      </c>
      <c r="B860" s="11" t="s">
        <v>2024</v>
      </c>
      <c r="C860" s="11">
        <v>1</v>
      </c>
      <c r="D860" t="s">
        <v>1962</v>
      </c>
      <c r="E860">
        <f>VLOOKUP(CONCATENATE(validProjetado[[#This Row],[Tipo]],validProjetado[[#This Row],[Destino]]),validConcreto!K:O,4)</f>
        <v>0.1</v>
      </c>
    </row>
    <row r="861" spans="1:5" hidden="1" x14ac:dyDescent="0.25">
      <c r="A861" s="11">
        <v>10</v>
      </c>
      <c r="B861" s="11" t="s">
        <v>2024</v>
      </c>
      <c r="C861" s="11">
        <v>1</v>
      </c>
      <c r="D861" t="s">
        <v>1962</v>
      </c>
      <c r="E861">
        <f>VLOOKUP(CONCATENATE(validProjetado[[#This Row],[Tipo]],validProjetado[[#This Row],[Destino]]),validConcreto!K:O,4)</f>
        <v>0.1</v>
      </c>
    </row>
    <row r="862" spans="1:5" hidden="1" x14ac:dyDescent="0.25">
      <c r="A862" s="11">
        <v>11</v>
      </c>
      <c r="B862" s="11" t="s">
        <v>2024</v>
      </c>
      <c r="C862" s="11">
        <v>1</v>
      </c>
      <c r="D862" t="s">
        <v>1962</v>
      </c>
      <c r="E862">
        <f>VLOOKUP(CONCATENATE(validProjetado[[#This Row],[Tipo]],validProjetado[[#This Row],[Destino]]),validConcreto!K:O,4)</f>
        <v>0.1</v>
      </c>
    </row>
    <row r="863" spans="1:5" hidden="1" x14ac:dyDescent="0.25">
      <c r="A863" s="11">
        <v>12</v>
      </c>
      <c r="B863" s="11" t="s">
        <v>2024</v>
      </c>
      <c r="C863" s="11">
        <v>1</v>
      </c>
      <c r="D863" t="s">
        <v>1962</v>
      </c>
      <c r="E863">
        <f>VLOOKUP(CONCATENATE(validProjetado[[#This Row],[Tipo]],validProjetado[[#This Row],[Destino]]),validConcreto!K:O,4)</f>
        <v>0.1</v>
      </c>
    </row>
    <row r="864" spans="1:5" hidden="1" x14ac:dyDescent="0.25">
      <c r="A864" s="11">
        <v>13</v>
      </c>
      <c r="B864" s="11" t="s">
        <v>2024</v>
      </c>
      <c r="C864" s="11">
        <v>1</v>
      </c>
      <c r="D864" t="s">
        <v>1962</v>
      </c>
      <c r="E864">
        <f>VLOOKUP(CONCATENATE(validProjetado[[#This Row],[Tipo]],validProjetado[[#This Row],[Destino]]),validConcreto!K:O,4)</f>
        <v>0.1</v>
      </c>
    </row>
    <row r="865" spans="1:5" hidden="1" x14ac:dyDescent="0.25">
      <c r="A865" s="11">
        <v>14</v>
      </c>
      <c r="B865" s="11" t="s">
        <v>2024</v>
      </c>
      <c r="C865" s="11">
        <v>1</v>
      </c>
      <c r="D865" t="s">
        <v>1962</v>
      </c>
      <c r="E865">
        <f>VLOOKUP(CONCATENATE(validProjetado[[#This Row],[Tipo]],validProjetado[[#This Row],[Destino]]),validConcreto!K:O,4)</f>
        <v>0.1</v>
      </c>
    </row>
    <row r="866" spans="1:5" hidden="1" x14ac:dyDescent="0.25">
      <c r="A866" s="11">
        <v>15</v>
      </c>
      <c r="B866" s="11" t="s">
        <v>2024</v>
      </c>
      <c r="C866" s="11">
        <v>1</v>
      </c>
      <c r="D866" t="s">
        <v>1962</v>
      </c>
      <c r="E866">
        <f>VLOOKUP(CONCATENATE(validProjetado[[#This Row],[Tipo]],validProjetado[[#This Row],[Destino]]),validConcreto!K:O,4)</f>
        <v>0.1</v>
      </c>
    </row>
    <row r="867" spans="1:5" hidden="1" x14ac:dyDescent="0.25">
      <c r="A867" s="11">
        <v>16</v>
      </c>
      <c r="B867" s="11" t="s">
        <v>2024</v>
      </c>
      <c r="C867" s="11">
        <v>1</v>
      </c>
      <c r="D867" t="s">
        <v>1962</v>
      </c>
      <c r="E867">
        <f>VLOOKUP(CONCATENATE(validProjetado[[#This Row],[Tipo]],validProjetado[[#This Row],[Destino]]),validConcreto!K:O,4)</f>
        <v>0.1</v>
      </c>
    </row>
    <row r="868" spans="1:5" hidden="1" x14ac:dyDescent="0.25">
      <c r="A868" s="11">
        <v>17</v>
      </c>
      <c r="B868" s="11" t="s">
        <v>2024</v>
      </c>
      <c r="C868" s="11">
        <v>1</v>
      </c>
      <c r="D868" t="s">
        <v>1962</v>
      </c>
      <c r="E868">
        <f>VLOOKUP(CONCATENATE(validProjetado[[#This Row],[Tipo]],validProjetado[[#This Row],[Destino]]),validConcreto!K:O,4)</f>
        <v>0.1</v>
      </c>
    </row>
    <row r="869" spans="1:5" hidden="1" x14ac:dyDescent="0.25">
      <c r="A869" s="11">
        <v>18</v>
      </c>
      <c r="B869" s="11" t="s">
        <v>2024</v>
      </c>
      <c r="C869" s="11">
        <v>1</v>
      </c>
      <c r="D869" t="s">
        <v>1962</v>
      </c>
      <c r="E869">
        <f>VLOOKUP(CONCATENATE(validProjetado[[#This Row],[Tipo]],validProjetado[[#This Row],[Destino]]),validConcreto!K:O,4)</f>
        <v>0.1</v>
      </c>
    </row>
    <row r="870" spans="1:5" hidden="1" x14ac:dyDescent="0.25">
      <c r="A870" s="11">
        <v>19</v>
      </c>
      <c r="B870" s="11" t="s">
        <v>2024</v>
      </c>
      <c r="C870" s="11">
        <v>1</v>
      </c>
      <c r="D870" t="s">
        <v>1962</v>
      </c>
      <c r="E870">
        <f>VLOOKUP(CONCATENATE(validProjetado[[#This Row],[Tipo]],validProjetado[[#This Row],[Destino]]),validConcreto!K:O,4)</f>
        <v>0.1</v>
      </c>
    </row>
    <row r="871" spans="1:5" hidden="1" x14ac:dyDescent="0.25">
      <c r="A871" s="11">
        <v>20</v>
      </c>
      <c r="B871" s="11" t="s">
        <v>2024</v>
      </c>
      <c r="C871" s="11">
        <v>1</v>
      </c>
      <c r="D871" t="s">
        <v>1962</v>
      </c>
      <c r="E871">
        <f>VLOOKUP(CONCATENATE(validProjetado[[#This Row],[Tipo]],validProjetado[[#This Row],[Destino]]),validConcreto!K:O,4)</f>
        <v>0.1</v>
      </c>
    </row>
    <row r="872" spans="1:5" hidden="1" x14ac:dyDescent="0.25">
      <c r="A872" s="11">
        <v>21</v>
      </c>
      <c r="B872" s="11" t="s">
        <v>2024</v>
      </c>
      <c r="C872" s="11">
        <v>1</v>
      </c>
      <c r="D872" t="s">
        <v>1962</v>
      </c>
      <c r="E872">
        <f>VLOOKUP(CONCATENATE(validProjetado[[#This Row],[Tipo]],validProjetado[[#This Row],[Destino]]),validConcreto!K:O,4)</f>
        <v>0.1</v>
      </c>
    </row>
    <row r="873" spans="1:5" hidden="1" x14ac:dyDescent="0.25">
      <c r="A873" s="11">
        <v>22</v>
      </c>
      <c r="B873" s="11" t="s">
        <v>2024</v>
      </c>
      <c r="C873" s="11">
        <v>1</v>
      </c>
      <c r="D873" t="s">
        <v>1962</v>
      </c>
      <c r="E873">
        <f>VLOOKUP(CONCATENATE(validProjetado[[#This Row],[Tipo]],validProjetado[[#This Row],[Destino]]),validConcreto!K:O,4)</f>
        <v>0.1</v>
      </c>
    </row>
    <row r="874" spans="1:5" hidden="1" x14ac:dyDescent="0.25">
      <c r="A874" s="11">
        <v>23</v>
      </c>
      <c r="B874" s="11" t="s">
        <v>2024</v>
      </c>
      <c r="C874" s="11">
        <v>1</v>
      </c>
      <c r="D874" t="s">
        <v>1962</v>
      </c>
      <c r="E874">
        <f>VLOOKUP(CONCATENATE(validProjetado[[#This Row],[Tipo]],validProjetado[[#This Row],[Destino]]),validConcreto!K:O,4)</f>
        <v>0.1</v>
      </c>
    </row>
    <row r="875" spans="1:5" hidden="1" x14ac:dyDescent="0.25">
      <c r="A875" s="11">
        <v>24</v>
      </c>
      <c r="B875" s="11" t="s">
        <v>2024</v>
      </c>
      <c r="C875" s="11">
        <v>1</v>
      </c>
      <c r="D875" t="s">
        <v>1962</v>
      </c>
      <c r="E875">
        <f>VLOOKUP(CONCATENATE(validProjetado[[#This Row],[Tipo]],validProjetado[[#This Row],[Destino]]),validConcreto!K:O,4)</f>
        <v>0.1</v>
      </c>
    </row>
    <row r="876" spans="1:5" hidden="1" x14ac:dyDescent="0.25">
      <c r="A876" s="11">
        <v>25</v>
      </c>
      <c r="B876" s="11" t="s">
        <v>2024</v>
      </c>
      <c r="C876" s="11">
        <v>1</v>
      </c>
      <c r="D876" t="s">
        <v>1962</v>
      </c>
      <c r="E876">
        <f>VLOOKUP(CONCATENATE(validProjetado[[#This Row],[Tipo]],validProjetado[[#This Row],[Destino]]),validConcreto!K:O,4)</f>
        <v>0.1</v>
      </c>
    </row>
    <row r="877" spans="1:5" hidden="1" x14ac:dyDescent="0.25">
      <c r="A877" s="11">
        <v>26</v>
      </c>
      <c r="B877" s="11" t="s">
        <v>2024</v>
      </c>
      <c r="C877" s="11">
        <v>1</v>
      </c>
      <c r="D877" t="s">
        <v>1962</v>
      </c>
      <c r="E877">
        <f>VLOOKUP(CONCATENATE(validProjetado[[#This Row],[Tipo]],validProjetado[[#This Row],[Destino]]),validConcreto!K:O,4)</f>
        <v>0.1</v>
      </c>
    </row>
    <row r="878" spans="1:5" hidden="1" x14ac:dyDescent="0.25">
      <c r="A878" s="11">
        <v>27</v>
      </c>
      <c r="B878" s="11" t="s">
        <v>2024</v>
      </c>
      <c r="C878" s="11">
        <v>1</v>
      </c>
      <c r="D878" t="s">
        <v>1962</v>
      </c>
      <c r="E878">
        <f>VLOOKUP(CONCATENATE(validProjetado[[#This Row],[Tipo]],validProjetado[[#This Row],[Destino]]),validConcreto!K:O,4)</f>
        <v>0.1</v>
      </c>
    </row>
    <row r="879" spans="1:5" hidden="1" x14ac:dyDescent="0.25">
      <c r="A879" s="11">
        <v>28</v>
      </c>
      <c r="B879" s="11" t="s">
        <v>2024</v>
      </c>
      <c r="C879" s="11">
        <v>1</v>
      </c>
      <c r="D879" t="s">
        <v>1962</v>
      </c>
      <c r="E879">
        <f>VLOOKUP(CONCATENATE(validProjetado[[#This Row],[Tipo]],validProjetado[[#This Row],[Destino]]),validConcreto!K:O,4)</f>
        <v>0.1</v>
      </c>
    </row>
    <row r="880" spans="1:5" hidden="1" x14ac:dyDescent="0.25">
      <c r="A880" s="11">
        <v>29</v>
      </c>
      <c r="B880" s="11" t="s">
        <v>2024</v>
      </c>
      <c r="C880" s="11">
        <v>1</v>
      </c>
      <c r="D880" t="s">
        <v>1962</v>
      </c>
      <c r="E880">
        <f>VLOOKUP(CONCATENATE(validProjetado[[#This Row],[Tipo]],validProjetado[[#This Row],[Destino]]),validConcreto!K:O,4)</f>
        <v>0.1</v>
      </c>
    </row>
    <row r="881" spans="1:5" hidden="1" x14ac:dyDescent="0.25">
      <c r="A881" s="11">
        <v>30</v>
      </c>
      <c r="B881" s="11" t="s">
        <v>2024</v>
      </c>
      <c r="C881" s="11">
        <v>1</v>
      </c>
      <c r="D881" t="s">
        <v>1962</v>
      </c>
      <c r="E881">
        <f>VLOOKUP(CONCATENATE(validProjetado[[#This Row],[Tipo]],validProjetado[[#This Row],[Destino]]),validConcreto!K:O,4)</f>
        <v>0.1</v>
      </c>
    </row>
    <row r="882" spans="1:5" hidden="1" x14ac:dyDescent="0.25">
      <c r="A882" s="11">
        <v>31</v>
      </c>
      <c r="B882" s="11" t="s">
        <v>2024</v>
      </c>
      <c r="C882" s="11">
        <v>1</v>
      </c>
      <c r="D882" t="s">
        <v>1962</v>
      </c>
      <c r="E882">
        <f>VLOOKUP(CONCATENATE(validProjetado[[#This Row],[Tipo]],validProjetado[[#This Row],[Destino]]),validConcreto!K:O,4)</f>
        <v>0.1</v>
      </c>
    </row>
    <row r="883" spans="1:5" hidden="1" x14ac:dyDescent="0.25">
      <c r="A883" s="11">
        <v>32</v>
      </c>
      <c r="B883" s="11" t="s">
        <v>2024</v>
      </c>
      <c r="C883" s="11">
        <v>1</v>
      </c>
      <c r="D883" t="s">
        <v>1962</v>
      </c>
      <c r="E883">
        <f>VLOOKUP(CONCATENATE(validProjetado[[#This Row],[Tipo]],validProjetado[[#This Row],[Destino]]),validConcreto!K:O,4)</f>
        <v>0.1</v>
      </c>
    </row>
    <row r="884" spans="1:5" x14ac:dyDescent="0.25">
      <c r="A884" s="11">
        <v>1</v>
      </c>
      <c r="B884" s="11" t="s">
        <v>2027</v>
      </c>
      <c r="C884" s="11">
        <v>1</v>
      </c>
      <c r="D884" t="s">
        <v>1962</v>
      </c>
      <c r="E884">
        <f>VLOOKUP(CONCATENATE(validProjetado[[#This Row],[Tipo]],validProjetado[[#This Row],[Destino]]),validConcreto!K:O,4)</f>
        <v>0.1</v>
      </c>
    </row>
    <row r="885" spans="1:5" x14ac:dyDescent="0.25">
      <c r="A885" s="11">
        <v>3</v>
      </c>
      <c r="B885" s="11" t="s">
        <v>2027</v>
      </c>
      <c r="C885" s="11">
        <v>1</v>
      </c>
      <c r="D885" t="s">
        <v>1962</v>
      </c>
      <c r="E885">
        <f>VLOOKUP(CONCATENATE(validProjetado[[#This Row],[Tipo]],validProjetado[[#This Row],[Destino]]),validConcreto!K:O,4)</f>
        <v>0.1</v>
      </c>
    </row>
    <row r="886" spans="1:5" x14ac:dyDescent="0.25">
      <c r="A886" s="11">
        <v>5</v>
      </c>
      <c r="B886" s="11" t="s">
        <v>2027</v>
      </c>
      <c r="C886" s="11">
        <v>1</v>
      </c>
      <c r="D886" t="s">
        <v>1962</v>
      </c>
      <c r="E886">
        <f>VLOOKUP(CONCATENATE(validProjetado[[#This Row],[Tipo]],validProjetado[[#This Row],[Destino]]),validConcreto!K:O,4)</f>
        <v>0.1</v>
      </c>
    </row>
    <row r="887" spans="1:5" x14ac:dyDescent="0.25">
      <c r="A887" s="11">
        <v>7</v>
      </c>
      <c r="B887" s="11" t="s">
        <v>2027</v>
      </c>
      <c r="C887" s="11">
        <v>1</v>
      </c>
      <c r="D887" t="s">
        <v>1962</v>
      </c>
      <c r="E887">
        <f>VLOOKUP(CONCATENATE(validProjetado[[#This Row],[Tipo]],validProjetado[[#This Row],[Destino]]),validConcreto!K:O,4)</f>
        <v>0.1</v>
      </c>
    </row>
    <row r="888" spans="1:5" x14ac:dyDescent="0.25">
      <c r="A888" s="11">
        <v>9</v>
      </c>
      <c r="B888" s="11" t="s">
        <v>2027</v>
      </c>
      <c r="C888" s="11">
        <v>1</v>
      </c>
      <c r="D888" t="s">
        <v>1962</v>
      </c>
      <c r="E888">
        <f>VLOOKUP(CONCATENATE(validProjetado[[#This Row],[Tipo]],validProjetado[[#This Row],[Destino]]),validConcreto!K:O,4)</f>
        <v>0.1</v>
      </c>
    </row>
    <row r="889" spans="1:5" x14ac:dyDescent="0.25">
      <c r="A889" s="11">
        <v>11</v>
      </c>
      <c r="B889" s="11" t="s">
        <v>2027</v>
      </c>
      <c r="C889" s="11">
        <v>1</v>
      </c>
      <c r="D889" t="s">
        <v>1962</v>
      </c>
      <c r="E889">
        <f>VLOOKUP(CONCATENATE(validProjetado[[#This Row],[Tipo]],validProjetado[[#This Row],[Destino]]),validConcreto!K:O,4)</f>
        <v>0.1</v>
      </c>
    </row>
    <row r="890" spans="1:5" x14ac:dyDescent="0.25">
      <c r="A890" s="11">
        <v>13</v>
      </c>
      <c r="B890" s="11" t="s">
        <v>2027</v>
      </c>
      <c r="C890" s="11">
        <v>1</v>
      </c>
      <c r="D890" t="s">
        <v>1962</v>
      </c>
      <c r="E890">
        <f>VLOOKUP(CONCATENATE(validProjetado[[#This Row],[Tipo]],validProjetado[[#This Row],[Destino]]),validConcreto!K:O,4)</f>
        <v>0.1</v>
      </c>
    </row>
    <row r="891" spans="1:5" x14ac:dyDescent="0.25">
      <c r="A891" s="11">
        <v>15</v>
      </c>
      <c r="B891" s="11" t="s">
        <v>2027</v>
      </c>
      <c r="C891" s="11">
        <v>1</v>
      </c>
      <c r="D891" t="s">
        <v>1962</v>
      </c>
      <c r="E891">
        <f>VLOOKUP(CONCATENATE(validProjetado[[#This Row],[Tipo]],validProjetado[[#This Row],[Destino]]),validConcreto!K:O,4)</f>
        <v>0.1</v>
      </c>
    </row>
    <row r="892" spans="1:5" x14ac:dyDescent="0.25">
      <c r="A892" s="11">
        <v>17</v>
      </c>
      <c r="B892" s="11" t="s">
        <v>2027</v>
      </c>
      <c r="C892" s="11">
        <v>1</v>
      </c>
      <c r="D892" t="s">
        <v>1962</v>
      </c>
      <c r="E892">
        <f>VLOOKUP(CONCATENATE(validProjetado[[#This Row],[Tipo]],validProjetado[[#This Row],[Destino]]),validConcreto!K:O,4)</f>
        <v>0.1</v>
      </c>
    </row>
    <row r="893" spans="1:5" x14ac:dyDescent="0.25">
      <c r="A893" s="11">
        <v>19</v>
      </c>
      <c r="B893" s="11" t="s">
        <v>2027</v>
      </c>
      <c r="C893" s="11">
        <v>1</v>
      </c>
      <c r="D893" t="s">
        <v>1962</v>
      </c>
      <c r="E893">
        <f>VLOOKUP(CONCATENATE(validProjetado[[#This Row],[Tipo]],validProjetado[[#This Row],[Destino]]),validConcreto!K:O,4)</f>
        <v>0.1</v>
      </c>
    </row>
    <row r="894" spans="1:5" x14ac:dyDescent="0.25">
      <c r="A894" s="11">
        <v>21</v>
      </c>
      <c r="B894" s="11" t="s">
        <v>2027</v>
      </c>
      <c r="C894" s="11">
        <v>1</v>
      </c>
      <c r="D894" t="s">
        <v>1962</v>
      </c>
      <c r="E894">
        <f>VLOOKUP(CONCATENATE(validProjetado[[#This Row],[Tipo]],validProjetado[[#This Row],[Destino]]),validConcreto!K:O,4)</f>
        <v>0.1</v>
      </c>
    </row>
    <row r="895" spans="1:5" x14ac:dyDescent="0.25">
      <c r="A895" s="11">
        <v>23</v>
      </c>
      <c r="B895" s="11" t="s">
        <v>2027</v>
      </c>
      <c r="C895" s="11">
        <v>1</v>
      </c>
      <c r="D895" t="s">
        <v>1962</v>
      </c>
      <c r="E895">
        <f>VLOOKUP(CONCATENATE(validProjetado[[#This Row],[Tipo]],validProjetado[[#This Row],[Destino]]),validConcreto!K:O,4)</f>
        <v>0.1</v>
      </c>
    </row>
    <row r="896" spans="1:5" x14ac:dyDescent="0.25">
      <c r="A896" s="11">
        <v>27</v>
      </c>
      <c r="B896" s="11" t="s">
        <v>2027</v>
      </c>
      <c r="C896" s="11">
        <v>1</v>
      </c>
      <c r="D896" t="s">
        <v>1962</v>
      </c>
      <c r="E896">
        <f>VLOOKUP(CONCATENATE(validProjetado[[#This Row],[Tipo]],validProjetado[[#This Row],[Destino]]),validConcreto!K:O,4)</f>
        <v>0.1</v>
      </c>
    </row>
    <row r="897" spans="1:5" x14ac:dyDescent="0.25">
      <c r="A897" s="11">
        <v>36</v>
      </c>
      <c r="B897" s="11" t="s">
        <v>2027</v>
      </c>
      <c r="C897" s="11">
        <v>1</v>
      </c>
      <c r="D897" t="s">
        <v>1962</v>
      </c>
      <c r="E897">
        <f>VLOOKUP(CONCATENATE(validProjetado[[#This Row],[Tipo]],validProjetado[[#This Row],[Destino]]),validConcreto!K:O,4)</f>
        <v>0.1</v>
      </c>
    </row>
    <row r="898" spans="1:5" hidden="1" x14ac:dyDescent="0.25">
      <c r="A898" s="11">
        <v>1</v>
      </c>
      <c r="B898" s="11" t="s">
        <v>2030</v>
      </c>
      <c r="C898" s="11">
        <v>1</v>
      </c>
      <c r="D898" t="s">
        <v>1962</v>
      </c>
      <c r="E898">
        <f>VLOOKUP(CONCATENATE(validProjetado[[#This Row],[Tipo]],validProjetado[[#This Row],[Destino]]),validConcreto!K:O,4)</f>
        <v>0.1</v>
      </c>
    </row>
    <row r="899" spans="1:5" hidden="1" x14ac:dyDescent="0.25">
      <c r="A899" s="11">
        <v>2</v>
      </c>
      <c r="B899" s="11" t="s">
        <v>2030</v>
      </c>
      <c r="C899" s="11">
        <v>1</v>
      </c>
      <c r="D899" t="s">
        <v>1962</v>
      </c>
      <c r="E899">
        <f>VLOOKUP(CONCATENATE(validProjetado[[#This Row],[Tipo]],validProjetado[[#This Row],[Destino]]),validConcreto!K:O,4)</f>
        <v>0.1</v>
      </c>
    </row>
    <row r="900" spans="1:5" hidden="1" x14ac:dyDescent="0.25">
      <c r="A900" s="11">
        <v>3</v>
      </c>
      <c r="B900" s="11" t="s">
        <v>2030</v>
      </c>
      <c r="C900" s="11">
        <v>1</v>
      </c>
      <c r="D900" t="s">
        <v>1962</v>
      </c>
      <c r="E900">
        <f>VLOOKUP(CONCATENATE(validProjetado[[#This Row],[Tipo]],validProjetado[[#This Row],[Destino]]),validConcreto!K:O,4)</f>
        <v>0.1</v>
      </c>
    </row>
    <row r="901" spans="1:5" hidden="1" x14ac:dyDescent="0.25">
      <c r="A901" s="11">
        <v>4</v>
      </c>
      <c r="B901" s="11" t="s">
        <v>2030</v>
      </c>
      <c r="C901" s="11">
        <v>1</v>
      </c>
      <c r="D901" t="s">
        <v>1962</v>
      </c>
      <c r="E901">
        <f>VLOOKUP(CONCATENATE(validProjetado[[#This Row],[Tipo]],validProjetado[[#This Row],[Destino]]),validConcreto!K:O,4)</f>
        <v>0.1</v>
      </c>
    </row>
    <row r="902" spans="1:5" hidden="1" x14ac:dyDescent="0.25">
      <c r="A902" s="11">
        <v>5</v>
      </c>
      <c r="B902" s="11" t="s">
        <v>2030</v>
      </c>
      <c r="C902" s="11">
        <v>1</v>
      </c>
      <c r="D902" t="s">
        <v>1962</v>
      </c>
      <c r="E902">
        <f>VLOOKUP(CONCATENATE(validProjetado[[#This Row],[Tipo]],validProjetado[[#This Row],[Destino]]),validConcreto!K:O,4)</f>
        <v>0.1</v>
      </c>
    </row>
    <row r="903" spans="1:5" hidden="1" x14ac:dyDescent="0.25">
      <c r="A903" s="11">
        <v>6</v>
      </c>
      <c r="B903" s="11" t="s">
        <v>2030</v>
      </c>
      <c r="C903" s="11">
        <v>1</v>
      </c>
      <c r="D903" t="s">
        <v>1962</v>
      </c>
      <c r="E903">
        <f>VLOOKUP(CONCATENATE(validProjetado[[#This Row],[Tipo]],validProjetado[[#This Row],[Destino]]),validConcreto!K:O,4)</f>
        <v>0.1</v>
      </c>
    </row>
    <row r="904" spans="1:5" hidden="1" x14ac:dyDescent="0.25">
      <c r="A904" s="11">
        <v>7</v>
      </c>
      <c r="B904" s="11" t="s">
        <v>2030</v>
      </c>
      <c r="C904" s="11">
        <v>1</v>
      </c>
      <c r="D904" t="s">
        <v>1962</v>
      </c>
      <c r="E904">
        <f>VLOOKUP(CONCATENATE(validProjetado[[#This Row],[Tipo]],validProjetado[[#This Row],[Destino]]),validConcreto!K:O,4)</f>
        <v>0.1</v>
      </c>
    </row>
    <row r="905" spans="1:5" hidden="1" x14ac:dyDescent="0.25">
      <c r="A905" s="11">
        <v>8</v>
      </c>
      <c r="B905" s="11" t="s">
        <v>2030</v>
      </c>
      <c r="C905" s="11">
        <v>1</v>
      </c>
      <c r="D905" t="s">
        <v>1962</v>
      </c>
      <c r="E905">
        <f>VLOOKUP(CONCATENATE(validProjetado[[#This Row],[Tipo]],validProjetado[[#This Row],[Destino]]),validConcreto!K:O,4)</f>
        <v>0.1</v>
      </c>
    </row>
    <row r="906" spans="1:5" hidden="1" x14ac:dyDescent="0.25">
      <c r="A906" s="11">
        <v>9</v>
      </c>
      <c r="B906" s="11" t="s">
        <v>2030</v>
      </c>
      <c r="C906" s="11">
        <v>1</v>
      </c>
      <c r="D906" t="s">
        <v>1962</v>
      </c>
      <c r="E906">
        <f>VLOOKUP(CONCATENATE(validProjetado[[#This Row],[Tipo]],validProjetado[[#This Row],[Destino]]),validConcreto!K:O,4)</f>
        <v>0.1</v>
      </c>
    </row>
    <row r="907" spans="1:5" hidden="1" x14ac:dyDescent="0.25">
      <c r="A907" s="11">
        <v>10</v>
      </c>
      <c r="B907" s="11" t="s">
        <v>2030</v>
      </c>
      <c r="C907" s="11">
        <v>1</v>
      </c>
      <c r="D907" t="s">
        <v>1962</v>
      </c>
      <c r="E907">
        <f>VLOOKUP(CONCATENATE(validProjetado[[#This Row],[Tipo]],validProjetado[[#This Row],[Destino]]),validConcreto!K:O,4)</f>
        <v>0.1</v>
      </c>
    </row>
    <row r="908" spans="1:5" hidden="1" x14ac:dyDescent="0.25">
      <c r="A908" s="11">
        <v>11</v>
      </c>
      <c r="B908" s="11" t="s">
        <v>2030</v>
      </c>
      <c r="C908" s="11">
        <v>1</v>
      </c>
      <c r="D908" t="s">
        <v>1962</v>
      </c>
      <c r="E908">
        <f>VLOOKUP(CONCATENATE(validProjetado[[#This Row],[Tipo]],validProjetado[[#This Row],[Destino]]),validConcreto!K:O,4)</f>
        <v>0.1</v>
      </c>
    </row>
    <row r="909" spans="1:5" hidden="1" x14ac:dyDescent="0.25">
      <c r="A909" s="11">
        <v>12</v>
      </c>
      <c r="B909" s="11" t="s">
        <v>2030</v>
      </c>
      <c r="C909" s="11">
        <v>1</v>
      </c>
      <c r="D909" t="s">
        <v>1962</v>
      </c>
      <c r="E909">
        <f>VLOOKUP(CONCATENATE(validProjetado[[#This Row],[Tipo]],validProjetado[[#This Row],[Destino]]),validConcreto!K:O,4)</f>
        <v>0.1</v>
      </c>
    </row>
    <row r="910" spans="1:5" hidden="1" x14ac:dyDescent="0.25">
      <c r="A910" s="11">
        <v>13</v>
      </c>
      <c r="B910" s="11" t="s">
        <v>2030</v>
      </c>
      <c r="C910" s="11">
        <v>1</v>
      </c>
      <c r="D910" t="s">
        <v>1962</v>
      </c>
      <c r="E910">
        <f>VLOOKUP(CONCATENATE(validProjetado[[#This Row],[Tipo]],validProjetado[[#This Row],[Destino]]),validConcreto!K:O,4)</f>
        <v>0.1</v>
      </c>
    </row>
    <row r="911" spans="1:5" hidden="1" x14ac:dyDescent="0.25">
      <c r="A911" s="11">
        <v>14</v>
      </c>
      <c r="B911" s="11" t="s">
        <v>2030</v>
      </c>
      <c r="C911" s="11">
        <v>1</v>
      </c>
      <c r="D911" t="s">
        <v>1962</v>
      </c>
      <c r="E911">
        <f>VLOOKUP(CONCATENATE(validProjetado[[#This Row],[Tipo]],validProjetado[[#This Row],[Destino]]),validConcreto!K:O,4)</f>
        <v>0.1</v>
      </c>
    </row>
    <row r="912" spans="1:5" hidden="1" x14ac:dyDescent="0.25">
      <c r="A912" s="11">
        <v>15</v>
      </c>
      <c r="B912" s="11" t="s">
        <v>2030</v>
      </c>
      <c r="C912" s="11">
        <v>1</v>
      </c>
      <c r="D912" t="s">
        <v>1962</v>
      </c>
      <c r="E912">
        <f>VLOOKUP(CONCATENATE(validProjetado[[#This Row],[Tipo]],validProjetado[[#This Row],[Destino]]),validConcreto!K:O,4)</f>
        <v>0.1</v>
      </c>
    </row>
    <row r="913" spans="1:5" hidden="1" x14ac:dyDescent="0.25">
      <c r="A913" s="11">
        <v>16</v>
      </c>
      <c r="B913" s="11" t="s">
        <v>2030</v>
      </c>
      <c r="C913" s="11">
        <v>1</v>
      </c>
      <c r="D913" t="s">
        <v>1962</v>
      </c>
      <c r="E913">
        <f>VLOOKUP(CONCATENATE(validProjetado[[#This Row],[Tipo]],validProjetado[[#This Row],[Destino]]),validConcreto!K:O,4)</f>
        <v>0.1</v>
      </c>
    </row>
    <row r="914" spans="1:5" hidden="1" x14ac:dyDescent="0.25">
      <c r="A914" s="11">
        <v>17</v>
      </c>
      <c r="B914" s="11" t="s">
        <v>2030</v>
      </c>
      <c r="C914" s="11">
        <v>1</v>
      </c>
      <c r="D914" t="s">
        <v>1962</v>
      </c>
      <c r="E914">
        <f>VLOOKUP(CONCATENATE(validProjetado[[#This Row],[Tipo]],validProjetado[[#This Row],[Destino]]),validConcreto!K:O,4)</f>
        <v>0.1</v>
      </c>
    </row>
    <row r="915" spans="1:5" hidden="1" x14ac:dyDescent="0.25">
      <c r="A915" s="11">
        <v>18</v>
      </c>
      <c r="B915" s="11" t="s">
        <v>2030</v>
      </c>
      <c r="C915" s="11">
        <v>1</v>
      </c>
      <c r="D915" t="s">
        <v>1962</v>
      </c>
      <c r="E915">
        <f>VLOOKUP(CONCATENATE(validProjetado[[#This Row],[Tipo]],validProjetado[[#This Row],[Destino]]),validConcreto!K:O,4)</f>
        <v>0.1</v>
      </c>
    </row>
    <row r="916" spans="1:5" hidden="1" x14ac:dyDescent="0.25">
      <c r="A916" s="11">
        <v>19</v>
      </c>
      <c r="B916" s="11" t="s">
        <v>2030</v>
      </c>
      <c r="C916" s="11">
        <v>1</v>
      </c>
      <c r="D916" t="s">
        <v>1962</v>
      </c>
      <c r="E916">
        <f>VLOOKUP(CONCATENATE(validProjetado[[#This Row],[Tipo]],validProjetado[[#This Row],[Destino]]),validConcreto!K:O,4)</f>
        <v>0.1</v>
      </c>
    </row>
    <row r="917" spans="1:5" hidden="1" x14ac:dyDescent="0.25">
      <c r="A917" s="11">
        <v>1</v>
      </c>
      <c r="B917" s="11" t="s">
        <v>2033</v>
      </c>
      <c r="C917" s="11">
        <v>1</v>
      </c>
      <c r="D917" t="s">
        <v>1962</v>
      </c>
      <c r="E917">
        <f>VLOOKUP(CONCATENATE(validProjetado[[#This Row],[Tipo]],validProjetado[[#This Row],[Destino]]),validConcreto!K:O,4)</f>
        <v>0.1</v>
      </c>
    </row>
    <row r="918" spans="1:5" hidden="1" x14ac:dyDescent="0.25">
      <c r="A918" s="11">
        <v>2</v>
      </c>
      <c r="B918" s="11" t="s">
        <v>2033</v>
      </c>
      <c r="C918" s="11">
        <v>1</v>
      </c>
      <c r="D918" t="s">
        <v>1962</v>
      </c>
      <c r="E918">
        <f>VLOOKUP(CONCATENATE(validProjetado[[#This Row],[Tipo]],validProjetado[[#This Row],[Destino]]),validConcreto!K:O,4)</f>
        <v>0.1</v>
      </c>
    </row>
    <row r="919" spans="1:5" hidden="1" x14ac:dyDescent="0.25">
      <c r="A919" s="11">
        <v>3</v>
      </c>
      <c r="B919" s="11" t="s">
        <v>2033</v>
      </c>
      <c r="C919" s="11">
        <v>1</v>
      </c>
      <c r="D919" t="s">
        <v>1962</v>
      </c>
      <c r="E919">
        <f>VLOOKUP(CONCATENATE(validProjetado[[#This Row],[Tipo]],validProjetado[[#This Row],[Destino]]),validConcreto!K:O,4)</f>
        <v>0.1</v>
      </c>
    </row>
    <row r="920" spans="1:5" hidden="1" x14ac:dyDescent="0.25">
      <c r="A920" s="11">
        <v>4</v>
      </c>
      <c r="B920" s="11" t="s">
        <v>2033</v>
      </c>
      <c r="C920" s="11">
        <v>1</v>
      </c>
      <c r="D920" t="s">
        <v>1962</v>
      </c>
      <c r="E920">
        <f>VLOOKUP(CONCATENATE(validProjetado[[#This Row],[Tipo]],validProjetado[[#This Row],[Destino]]),validConcreto!K:O,4)</f>
        <v>0.1</v>
      </c>
    </row>
    <row r="921" spans="1:5" hidden="1" x14ac:dyDescent="0.25">
      <c r="A921" s="11">
        <v>5</v>
      </c>
      <c r="B921" s="11" t="s">
        <v>2033</v>
      </c>
      <c r="C921" s="11">
        <v>1</v>
      </c>
      <c r="D921" t="s">
        <v>1962</v>
      </c>
      <c r="E921">
        <f>VLOOKUP(CONCATENATE(validProjetado[[#This Row],[Tipo]],validProjetado[[#This Row],[Destino]]),validConcreto!K:O,4)</f>
        <v>0.1</v>
      </c>
    </row>
    <row r="922" spans="1:5" hidden="1" x14ac:dyDescent="0.25">
      <c r="A922" s="11">
        <v>6</v>
      </c>
      <c r="B922" s="11" t="s">
        <v>2033</v>
      </c>
      <c r="C922" s="11">
        <v>1</v>
      </c>
      <c r="D922" t="s">
        <v>1962</v>
      </c>
      <c r="E922">
        <f>VLOOKUP(CONCATENATE(validProjetado[[#This Row],[Tipo]],validProjetado[[#This Row],[Destino]]),validConcreto!K:O,4)</f>
        <v>0.1</v>
      </c>
    </row>
    <row r="923" spans="1:5" hidden="1" x14ac:dyDescent="0.25">
      <c r="A923" s="11">
        <v>7</v>
      </c>
      <c r="B923" s="11" t="s">
        <v>2033</v>
      </c>
      <c r="C923" s="11">
        <v>1</v>
      </c>
      <c r="D923" t="s">
        <v>1962</v>
      </c>
      <c r="E923">
        <f>VLOOKUP(CONCATENATE(validProjetado[[#This Row],[Tipo]],validProjetado[[#This Row],[Destino]]),validConcreto!K:O,4)</f>
        <v>0.1</v>
      </c>
    </row>
    <row r="924" spans="1:5" hidden="1" x14ac:dyDescent="0.25">
      <c r="A924" s="11">
        <v>8</v>
      </c>
      <c r="B924" s="11" t="s">
        <v>2033</v>
      </c>
      <c r="C924" s="11">
        <v>1</v>
      </c>
      <c r="D924" t="s">
        <v>1962</v>
      </c>
      <c r="E924">
        <f>VLOOKUP(CONCATENATE(validProjetado[[#This Row],[Tipo]],validProjetado[[#This Row],[Destino]]),validConcreto!K:O,4)</f>
        <v>0.1</v>
      </c>
    </row>
    <row r="925" spans="1:5" hidden="1" x14ac:dyDescent="0.25">
      <c r="A925" s="11">
        <v>9</v>
      </c>
      <c r="B925" s="11" t="s">
        <v>2033</v>
      </c>
      <c r="C925" s="11">
        <v>1</v>
      </c>
      <c r="D925" t="s">
        <v>1962</v>
      </c>
      <c r="E925">
        <f>VLOOKUP(CONCATENATE(validProjetado[[#This Row],[Tipo]],validProjetado[[#This Row],[Destino]]),validConcreto!K:O,4)</f>
        <v>0.1</v>
      </c>
    </row>
    <row r="926" spans="1:5" hidden="1" x14ac:dyDescent="0.25">
      <c r="A926" s="11">
        <v>10</v>
      </c>
      <c r="B926" s="11" t="s">
        <v>2033</v>
      </c>
      <c r="C926" s="11">
        <v>1</v>
      </c>
      <c r="D926" t="s">
        <v>1962</v>
      </c>
      <c r="E926">
        <f>VLOOKUP(CONCATENATE(validProjetado[[#This Row],[Tipo]],validProjetado[[#This Row],[Destino]]),validConcreto!K:O,4)</f>
        <v>0.1</v>
      </c>
    </row>
    <row r="927" spans="1:5" hidden="1" x14ac:dyDescent="0.25">
      <c r="A927" s="11">
        <v>11</v>
      </c>
      <c r="B927" s="11" t="s">
        <v>2033</v>
      </c>
      <c r="C927" s="11">
        <v>1</v>
      </c>
      <c r="D927" t="s">
        <v>1962</v>
      </c>
      <c r="E927">
        <f>VLOOKUP(CONCATENATE(validProjetado[[#This Row],[Tipo]],validProjetado[[#This Row],[Destino]]),validConcreto!K:O,4)</f>
        <v>0.1</v>
      </c>
    </row>
    <row r="928" spans="1:5" hidden="1" x14ac:dyDescent="0.25">
      <c r="A928" s="11">
        <v>12</v>
      </c>
      <c r="B928" s="11" t="s">
        <v>2033</v>
      </c>
      <c r="C928" s="11">
        <v>1</v>
      </c>
      <c r="D928" t="s">
        <v>1962</v>
      </c>
      <c r="E928">
        <f>VLOOKUP(CONCATENATE(validProjetado[[#This Row],[Tipo]],validProjetado[[#This Row],[Destino]]),validConcreto!K:O,4)</f>
        <v>0.1</v>
      </c>
    </row>
    <row r="929" spans="1:5" hidden="1" x14ac:dyDescent="0.25">
      <c r="A929" s="11">
        <v>13</v>
      </c>
      <c r="B929" s="11" t="s">
        <v>2033</v>
      </c>
      <c r="C929" s="11">
        <v>1</v>
      </c>
      <c r="D929" t="s">
        <v>1962</v>
      </c>
      <c r="E929">
        <f>VLOOKUP(CONCATENATE(validProjetado[[#This Row],[Tipo]],validProjetado[[#This Row],[Destino]]),validConcreto!K:O,4)</f>
        <v>0.1</v>
      </c>
    </row>
    <row r="930" spans="1:5" hidden="1" x14ac:dyDescent="0.25">
      <c r="A930" s="11">
        <v>14</v>
      </c>
      <c r="B930" s="11" t="s">
        <v>2033</v>
      </c>
      <c r="C930" s="11">
        <v>1</v>
      </c>
      <c r="D930" t="s">
        <v>1962</v>
      </c>
      <c r="E930">
        <f>VLOOKUP(CONCATENATE(validProjetado[[#This Row],[Tipo]],validProjetado[[#This Row],[Destino]]),validConcreto!K:O,4)</f>
        <v>0.1</v>
      </c>
    </row>
    <row r="931" spans="1:5" hidden="1" x14ac:dyDescent="0.25">
      <c r="A931" s="11">
        <v>15</v>
      </c>
      <c r="B931" s="11" t="s">
        <v>2033</v>
      </c>
      <c r="C931" s="11">
        <v>1</v>
      </c>
      <c r="D931" t="s">
        <v>1962</v>
      </c>
      <c r="E931">
        <f>VLOOKUP(CONCATENATE(validProjetado[[#This Row],[Tipo]],validProjetado[[#This Row],[Destino]]),validConcreto!K:O,4)</f>
        <v>0.1</v>
      </c>
    </row>
    <row r="932" spans="1:5" hidden="1" x14ac:dyDescent="0.25">
      <c r="A932" s="11">
        <v>16</v>
      </c>
      <c r="B932" s="11" t="s">
        <v>2033</v>
      </c>
      <c r="C932" s="11">
        <v>1</v>
      </c>
      <c r="D932" t="s">
        <v>1962</v>
      </c>
      <c r="E932">
        <f>VLOOKUP(CONCATENATE(validProjetado[[#This Row],[Tipo]],validProjetado[[#This Row],[Destino]]),validConcreto!K:O,4)</f>
        <v>0.1</v>
      </c>
    </row>
    <row r="933" spans="1:5" hidden="1" x14ac:dyDescent="0.25">
      <c r="A933" s="11">
        <v>17</v>
      </c>
      <c r="B933" s="11" t="s">
        <v>2033</v>
      </c>
      <c r="C933" s="11">
        <v>1</v>
      </c>
      <c r="D933" t="s">
        <v>1962</v>
      </c>
      <c r="E933">
        <f>VLOOKUP(CONCATENATE(validProjetado[[#This Row],[Tipo]],validProjetado[[#This Row],[Destino]]),validConcreto!K:O,4)</f>
        <v>0.1</v>
      </c>
    </row>
    <row r="934" spans="1:5" hidden="1" x14ac:dyDescent="0.25">
      <c r="A934" s="11">
        <v>18</v>
      </c>
      <c r="B934" s="11" t="s">
        <v>2033</v>
      </c>
      <c r="C934" s="11">
        <v>1</v>
      </c>
      <c r="D934" t="s">
        <v>1962</v>
      </c>
      <c r="E934">
        <f>VLOOKUP(CONCATENATE(validProjetado[[#This Row],[Tipo]],validProjetado[[#This Row],[Destino]]),validConcreto!K:O,4)</f>
        <v>0.1</v>
      </c>
    </row>
    <row r="935" spans="1:5" hidden="1" x14ac:dyDescent="0.25">
      <c r="A935" s="11">
        <v>19</v>
      </c>
      <c r="B935" s="11" t="s">
        <v>2033</v>
      </c>
      <c r="C935" s="11">
        <v>1</v>
      </c>
      <c r="D935" t="s">
        <v>1962</v>
      </c>
      <c r="E935">
        <f>VLOOKUP(CONCATENATE(validProjetado[[#This Row],[Tipo]],validProjetado[[#This Row],[Destino]]),validConcreto!K:O,4)</f>
        <v>0.1</v>
      </c>
    </row>
    <row r="936" spans="1:5" hidden="1" x14ac:dyDescent="0.25">
      <c r="A936" s="11">
        <v>20</v>
      </c>
      <c r="B936" s="11" t="s">
        <v>2033</v>
      </c>
      <c r="C936" s="11">
        <v>1</v>
      </c>
      <c r="D936" t="s">
        <v>1962</v>
      </c>
      <c r="E936">
        <f>VLOOKUP(CONCATENATE(validProjetado[[#This Row],[Tipo]],validProjetado[[#This Row],[Destino]]),validConcreto!K:O,4)</f>
        <v>0.1</v>
      </c>
    </row>
    <row r="937" spans="1:5" hidden="1" x14ac:dyDescent="0.25">
      <c r="A937" s="11">
        <v>21</v>
      </c>
      <c r="B937" s="11" t="s">
        <v>2033</v>
      </c>
      <c r="C937" s="11">
        <v>1</v>
      </c>
      <c r="D937" t="s">
        <v>1962</v>
      </c>
      <c r="E937">
        <f>VLOOKUP(CONCATENATE(validProjetado[[#This Row],[Tipo]],validProjetado[[#This Row],[Destino]]),validConcreto!K:O,4)</f>
        <v>0.1</v>
      </c>
    </row>
    <row r="938" spans="1:5" hidden="1" x14ac:dyDescent="0.25">
      <c r="A938" s="11">
        <v>22</v>
      </c>
      <c r="B938" s="11" t="s">
        <v>2033</v>
      </c>
      <c r="C938" s="11">
        <v>1</v>
      </c>
      <c r="D938" t="s">
        <v>1962</v>
      </c>
      <c r="E938">
        <f>VLOOKUP(CONCATENATE(validProjetado[[#This Row],[Tipo]],validProjetado[[#This Row],[Destino]]),validConcreto!K:O,4)</f>
        <v>0.1</v>
      </c>
    </row>
    <row r="939" spans="1:5" hidden="1" x14ac:dyDescent="0.25">
      <c r="A939" s="11">
        <v>23</v>
      </c>
      <c r="B939" s="11" t="s">
        <v>2033</v>
      </c>
      <c r="C939" s="11">
        <v>2</v>
      </c>
      <c r="D939" t="s">
        <v>1962</v>
      </c>
      <c r="E939">
        <f>VLOOKUP(CONCATENATE(validProjetado[[#This Row],[Tipo]],validProjetado[[#This Row],[Destino]]),validConcreto!K:O,4)</f>
        <v>0.1</v>
      </c>
    </row>
    <row r="940" spans="1:5" hidden="1" x14ac:dyDescent="0.25">
      <c r="A940" s="11">
        <v>24</v>
      </c>
      <c r="B940" s="11" t="s">
        <v>2033</v>
      </c>
      <c r="C940" s="11">
        <v>1</v>
      </c>
      <c r="D940" t="s">
        <v>1962</v>
      </c>
      <c r="E940">
        <f>VLOOKUP(CONCATENATE(validProjetado[[#This Row],[Tipo]],validProjetado[[#This Row],[Destino]]),validConcreto!K:O,4)</f>
        <v>0.1</v>
      </c>
    </row>
    <row r="941" spans="1:5" hidden="1" x14ac:dyDescent="0.25">
      <c r="A941" s="11">
        <v>25</v>
      </c>
      <c r="B941" s="11" t="s">
        <v>2033</v>
      </c>
      <c r="C941" s="11">
        <v>2</v>
      </c>
      <c r="D941" t="s">
        <v>1962</v>
      </c>
      <c r="E941">
        <f>VLOOKUP(CONCATENATE(validProjetado[[#This Row],[Tipo]],validProjetado[[#This Row],[Destino]]),validConcreto!K:O,4)</f>
        <v>0.1</v>
      </c>
    </row>
    <row r="942" spans="1:5" hidden="1" x14ac:dyDescent="0.25">
      <c r="A942" s="11">
        <v>26</v>
      </c>
      <c r="B942" s="11" t="s">
        <v>2033</v>
      </c>
      <c r="C942" s="11">
        <v>1</v>
      </c>
      <c r="D942" t="s">
        <v>1962</v>
      </c>
      <c r="E942">
        <f>VLOOKUP(CONCATENATE(validProjetado[[#This Row],[Tipo]],validProjetado[[#This Row],[Destino]]),validConcreto!K:O,4)</f>
        <v>0.1</v>
      </c>
    </row>
    <row r="943" spans="1:5" hidden="1" x14ac:dyDescent="0.25">
      <c r="A943" s="11">
        <v>27</v>
      </c>
      <c r="B943" s="11" t="s">
        <v>2033</v>
      </c>
      <c r="C943" s="11">
        <v>2</v>
      </c>
      <c r="D943" t="s">
        <v>1962</v>
      </c>
      <c r="E943">
        <f>VLOOKUP(CONCATENATE(validProjetado[[#This Row],[Tipo]],validProjetado[[#This Row],[Destino]]),validConcreto!K:O,4)</f>
        <v>0.1</v>
      </c>
    </row>
    <row r="944" spans="1:5" hidden="1" x14ac:dyDescent="0.25">
      <c r="A944" s="11">
        <v>28</v>
      </c>
      <c r="B944" s="11" t="s">
        <v>2033</v>
      </c>
      <c r="C944" s="11">
        <v>1</v>
      </c>
      <c r="D944" t="s">
        <v>1962</v>
      </c>
      <c r="E944">
        <f>VLOOKUP(CONCATENATE(validProjetado[[#This Row],[Tipo]],validProjetado[[#This Row],[Destino]]),validConcreto!K:O,4)</f>
        <v>0.1</v>
      </c>
    </row>
    <row r="945" spans="1:5" hidden="1" x14ac:dyDescent="0.25">
      <c r="A945" s="11">
        <v>29</v>
      </c>
      <c r="B945" s="11" t="s">
        <v>2033</v>
      </c>
      <c r="C945" s="11">
        <v>2</v>
      </c>
      <c r="D945" t="s">
        <v>1962</v>
      </c>
      <c r="E945">
        <f>VLOOKUP(CONCATENATE(validProjetado[[#This Row],[Tipo]],validProjetado[[#This Row],[Destino]]),validConcreto!K:O,4)</f>
        <v>0.1</v>
      </c>
    </row>
    <row r="946" spans="1:5" hidden="1" x14ac:dyDescent="0.25">
      <c r="A946" s="11">
        <v>30</v>
      </c>
      <c r="B946" s="11" t="s">
        <v>2033</v>
      </c>
      <c r="C946" s="11">
        <v>1</v>
      </c>
      <c r="D946" t="s">
        <v>1962</v>
      </c>
      <c r="E946">
        <f>VLOOKUP(CONCATENATE(validProjetado[[#This Row],[Tipo]],validProjetado[[#This Row],[Destino]]),validConcreto!K:O,4)</f>
        <v>0.1</v>
      </c>
    </row>
    <row r="947" spans="1:5" hidden="1" x14ac:dyDescent="0.25">
      <c r="A947" s="11">
        <v>31</v>
      </c>
      <c r="B947" s="11" t="s">
        <v>2033</v>
      </c>
      <c r="C947" s="11">
        <v>2</v>
      </c>
      <c r="D947" t="s">
        <v>1962</v>
      </c>
      <c r="E947">
        <f>VLOOKUP(CONCATENATE(validProjetado[[#This Row],[Tipo]],validProjetado[[#This Row],[Destino]]),validConcreto!K:O,4)</f>
        <v>0.1</v>
      </c>
    </row>
    <row r="948" spans="1:5" hidden="1" x14ac:dyDescent="0.25">
      <c r="A948" s="11">
        <v>32</v>
      </c>
      <c r="B948" s="11" t="s">
        <v>2033</v>
      </c>
      <c r="C948" s="11">
        <v>1</v>
      </c>
      <c r="D948" t="s">
        <v>1962</v>
      </c>
      <c r="E948">
        <f>VLOOKUP(CONCATENATE(validProjetado[[#This Row],[Tipo]],validProjetado[[#This Row],[Destino]]),validConcreto!K:O,4)</f>
        <v>0.1</v>
      </c>
    </row>
    <row r="949" spans="1:5" hidden="1" x14ac:dyDescent="0.25">
      <c r="A949" s="11">
        <v>33</v>
      </c>
      <c r="B949" s="11" t="s">
        <v>2033</v>
      </c>
      <c r="C949" s="11">
        <v>2</v>
      </c>
      <c r="D949" t="s">
        <v>1962</v>
      </c>
      <c r="E949">
        <f>VLOOKUP(CONCATENATE(validProjetado[[#This Row],[Tipo]],validProjetado[[#This Row],[Destino]]),validConcreto!K:O,4)</f>
        <v>0.1</v>
      </c>
    </row>
    <row r="950" spans="1:5" hidden="1" x14ac:dyDescent="0.25">
      <c r="A950" s="11">
        <v>34</v>
      </c>
      <c r="B950" s="11" t="s">
        <v>2033</v>
      </c>
      <c r="C950" s="11">
        <v>1</v>
      </c>
      <c r="D950" t="s">
        <v>1962</v>
      </c>
      <c r="E950">
        <f>VLOOKUP(CONCATENATE(validProjetado[[#This Row],[Tipo]],validProjetado[[#This Row],[Destino]]),validConcreto!K:O,4)</f>
        <v>0.1</v>
      </c>
    </row>
    <row r="951" spans="1:5" hidden="1" x14ac:dyDescent="0.25">
      <c r="A951" s="11">
        <v>35</v>
      </c>
      <c r="B951" s="11" t="s">
        <v>2033</v>
      </c>
      <c r="C951" s="11">
        <v>2</v>
      </c>
      <c r="D951" t="s">
        <v>1962</v>
      </c>
      <c r="E951">
        <f>VLOOKUP(CONCATENATE(validProjetado[[#This Row],[Tipo]],validProjetado[[#This Row],[Destino]]),validConcreto!K:O,4)</f>
        <v>0.1</v>
      </c>
    </row>
    <row r="952" spans="1:5" hidden="1" x14ac:dyDescent="0.25">
      <c r="A952" s="11">
        <v>36</v>
      </c>
      <c r="B952" s="11" t="s">
        <v>2033</v>
      </c>
      <c r="C952" s="11">
        <v>1</v>
      </c>
      <c r="D952" t="s">
        <v>1962</v>
      </c>
      <c r="E952">
        <f>VLOOKUP(CONCATENATE(validProjetado[[#This Row],[Tipo]],validProjetado[[#This Row],[Destino]]),validConcreto!K:O,4)</f>
        <v>0.1</v>
      </c>
    </row>
    <row r="953" spans="1:5" hidden="1" x14ac:dyDescent="0.25">
      <c r="A953" s="11">
        <v>37</v>
      </c>
      <c r="B953" s="11" t="s">
        <v>2033</v>
      </c>
      <c r="C953" s="11">
        <v>1</v>
      </c>
      <c r="D953" t="s">
        <v>1962</v>
      </c>
      <c r="E953">
        <f>VLOOKUP(CONCATENATE(validProjetado[[#This Row],[Tipo]],validProjetado[[#This Row],[Destino]]),validConcreto!K:O,4)</f>
        <v>0.1</v>
      </c>
    </row>
    <row r="954" spans="1:5" hidden="1" x14ac:dyDescent="0.25">
      <c r="A954" s="11">
        <v>38</v>
      </c>
      <c r="B954" s="11" t="s">
        <v>2033</v>
      </c>
      <c r="C954" s="11">
        <v>2</v>
      </c>
      <c r="D954" t="s">
        <v>1962</v>
      </c>
      <c r="E954">
        <f>VLOOKUP(CONCATENATE(validProjetado[[#This Row],[Tipo]],validProjetado[[#This Row],[Destino]]),validConcreto!K:O,4)</f>
        <v>0.1</v>
      </c>
    </row>
    <row r="955" spans="1:5" hidden="1" x14ac:dyDescent="0.25">
      <c r="A955" s="11">
        <v>1</v>
      </c>
      <c r="B955" s="11" t="s">
        <v>2036</v>
      </c>
      <c r="C955" s="11">
        <v>1</v>
      </c>
      <c r="D955" t="s">
        <v>1962</v>
      </c>
      <c r="E955">
        <f>VLOOKUP(CONCATENATE(validProjetado[[#This Row],[Tipo]],validProjetado[[#This Row],[Destino]]),validConcreto!K:O,4)</f>
        <v>0.1</v>
      </c>
    </row>
    <row r="956" spans="1:5" hidden="1" x14ac:dyDescent="0.25">
      <c r="A956" s="11">
        <v>2</v>
      </c>
      <c r="B956" s="11" t="s">
        <v>2036</v>
      </c>
      <c r="C956" s="11">
        <v>1</v>
      </c>
      <c r="D956" t="s">
        <v>1962</v>
      </c>
      <c r="E956">
        <f>VLOOKUP(CONCATENATE(validProjetado[[#This Row],[Tipo]],validProjetado[[#This Row],[Destino]]),validConcreto!K:O,4)</f>
        <v>0.1</v>
      </c>
    </row>
    <row r="957" spans="1:5" hidden="1" x14ac:dyDescent="0.25">
      <c r="A957" s="11">
        <v>3</v>
      </c>
      <c r="B957" s="11" t="s">
        <v>2036</v>
      </c>
      <c r="C957" s="11">
        <v>1</v>
      </c>
      <c r="D957" t="s">
        <v>1962</v>
      </c>
      <c r="E957">
        <f>VLOOKUP(CONCATENATE(validProjetado[[#This Row],[Tipo]],validProjetado[[#This Row],[Destino]]),validConcreto!K:O,4)</f>
        <v>0.1</v>
      </c>
    </row>
    <row r="958" spans="1:5" hidden="1" x14ac:dyDescent="0.25">
      <c r="A958" s="11">
        <v>4</v>
      </c>
      <c r="B958" s="11" t="s">
        <v>2036</v>
      </c>
      <c r="C958" s="11">
        <v>1</v>
      </c>
      <c r="D958" t="s">
        <v>1962</v>
      </c>
      <c r="E958">
        <f>VLOOKUP(CONCATENATE(validProjetado[[#This Row],[Tipo]],validProjetado[[#This Row],[Destino]]),validConcreto!K:O,4)</f>
        <v>0.1</v>
      </c>
    </row>
    <row r="959" spans="1:5" hidden="1" x14ac:dyDescent="0.25">
      <c r="A959" s="11">
        <v>5</v>
      </c>
      <c r="B959" s="11" t="s">
        <v>2036</v>
      </c>
      <c r="C959" s="11">
        <v>1</v>
      </c>
      <c r="D959" t="s">
        <v>1962</v>
      </c>
      <c r="E959">
        <f>VLOOKUP(CONCATENATE(validProjetado[[#This Row],[Tipo]],validProjetado[[#This Row],[Destino]]),validConcreto!K:O,4)</f>
        <v>0.1</v>
      </c>
    </row>
    <row r="960" spans="1:5" hidden="1" x14ac:dyDescent="0.25">
      <c r="A960" s="11">
        <v>6</v>
      </c>
      <c r="B960" s="11" t="s">
        <v>2036</v>
      </c>
      <c r="C960" s="11">
        <v>1</v>
      </c>
      <c r="D960" t="s">
        <v>1962</v>
      </c>
      <c r="E960">
        <f>VLOOKUP(CONCATENATE(validProjetado[[#This Row],[Tipo]],validProjetado[[#This Row],[Destino]]),validConcreto!K:O,4)</f>
        <v>0.1</v>
      </c>
    </row>
    <row r="961" spans="1:5" hidden="1" x14ac:dyDescent="0.25">
      <c r="A961" s="11">
        <v>7</v>
      </c>
      <c r="B961" s="11" t="s">
        <v>2036</v>
      </c>
      <c r="C961" s="11">
        <v>1</v>
      </c>
      <c r="D961" t="s">
        <v>1962</v>
      </c>
      <c r="E961">
        <f>VLOOKUP(CONCATENATE(validProjetado[[#This Row],[Tipo]],validProjetado[[#This Row],[Destino]]),validConcreto!K:O,4)</f>
        <v>0.1</v>
      </c>
    </row>
    <row r="962" spans="1:5" hidden="1" x14ac:dyDescent="0.25">
      <c r="A962" s="11">
        <v>8</v>
      </c>
      <c r="B962" s="11" t="s">
        <v>2036</v>
      </c>
      <c r="C962" s="11">
        <v>1</v>
      </c>
      <c r="D962" t="s">
        <v>1962</v>
      </c>
      <c r="E962">
        <f>VLOOKUP(CONCATENATE(validProjetado[[#This Row],[Tipo]],validProjetado[[#This Row],[Destino]]),validConcreto!K:O,4)</f>
        <v>0.1</v>
      </c>
    </row>
    <row r="963" spans="1:5" hidden="1" x14ac:dyDescent="0.25">
      <c r="A963" s="11">
        <v>9</v>
      </c>
      <c r="B963" s="11" t="s">
        <v>2036</v>
      </c>
      <c r="C963" s="11">
        <v>1</v>
      </c>
      <c r="D963" t="s">
        <v>1962</v>
      </c>
      <c r="E963">
        <f>VLOOKUP(CONCATENATE(validProjetado[[#This Row],[Tipo]],validProjetado[[#This Row],[Destino]]),validConcreto!K:O,4)</f>
        <v>0.1</v>
      </c>
    </row>
    <row r="964" spans="1:5" hidden="1" x14ac:dyDescent="0.25">
      <c r="A964" s="11">
        <v>10</v>
      </c>
      <c r="B964" s="11" t="s">
        <v>2036</v>
      </c>
      <c r="C964" s="11">
        <v>1</v>
      </c>
      <c r="D964" t="s">
        <v>1962</v>
      </c>
      <c r="E964">
        <f>VLOOKUP(CONCATENATE(validProjetado[[#This Row],[Tipo]],validProjetado[[#This Row],[Destino]]),validConcreto!K:O,4)</f>
        <v>0.1</v>
      </c>
    </row>
    <row r="965" spans="1:5" hidden="1" x14ac:dyDescent="0.25">
      <c r="A965" s="11">
        <v>11</v>
      </c>
      <c r="B965" s="11" t="s">
        <v>2036</v>
      </c>
      <c r="C965" s="11">
        <v>1</v>
      </c>
      <c r="D965" t="s">
        <v>1962</v>
      </c>
      <c r="E965">
        <f>VLOOKUP(CONCATENATE(validProjetado[[#This Row],[Tipo]],validProjetado[[#This Row],[Destino]]),validConcreto!K:O,4)</f>
        <v>0.1</v>
      </c>
    </row>
    <row r="966" spans="1:5" hidden="1" x14ac:dyDescent="0.25">
      <c r="A966" s="11">
        <v>12</v>
      </c>
      <c r="B966" s="11" t="s">
        <v>2036</v>
      </c>
      <c r="C966" s="11">
        <v>1</v>
      </c>
      <c r="D966" t="s">
        <v>1962</v>
      </c>
      <c r="E966">
        <f>VLOOKUP(CONCATENATE(validProjetado[[#This Row],[Tipo]],validProjetado[[#This Row],[Destino]]),validConcreto!K:O,4)</f>
        <v>0.1</v>
      </c>
    </row>
    <row r="967" spans="1:5" hidden="1" x14ac:dyDescent="0.25">
      <c r="A967" s="11">
        <v>13</v>
      </c>
      <c r="B967" s="11" t="s">
        <v>2036</v>
      </c>
      <c r="C967" s="11">
        <v>1</v>
      </c>
      <c r="D967" t="s">
        <v>1962</v>
      </c>
      <c r="E967">
        <f>VLOOKUP(CONCATENATE(validProjetado[[#This Row],[Tipo]],validProjetado[[#This Row],[Destino]]),validConcreto!K:O,4)</f>
        <v>0.1</v>
      </c>
    </row>
    <row r="968" spans="1:5" hidden="1" x14ac:dyDescent="0.25">
      <c r="A968" s="11">
        <v>14</v>
      </c>
      <c r="B968" s="11" t="s">
        <v>2036</v>
      </c>
      <c r="C968" s="11">
        <v>1</v>
      </c>
      <c r="D968" t="s">
        <v>1962</v>
      </c>
      <c r="E968">
        <f>VLOOKUP(CONCATENATE(validProjetado[[#This Row],[Tipo]],validProjetado[[#This Row],[Destino]]),validConcreto!K:O,4)</f>
        <v>0.1</v>
      </c>
    </row>
    <row r="969" spans="1:5" hidden="1" x14ac:dyDescent="0.25">
      <c r="A969" s="11">
        <v>15</v>
      </c>
      <c r="B969" s="11" t="s">
        <v>2036</v>
      </c>
      <c r="C969" s="11">
        <v>1</v>
      </c>
      <c r="D969" t="s">
        <v>1962</v>
      </c>
      <c r="E969">
        <f>VLOOKUP(CONCATENATE(validProjetado[[#This Row],[Tipo]],validProjetado[[#This Row],[Destino]]),validConcreto!K:O,4)</f>
        <v>0.1</v>
      </c>
    </row>
    <row r="970" spans="1:5" hidden="1" x14ac:dyDescent="0.25">
      <c r="A970" s="11">
        <v>16</v>
      </c>
      <c r="B970" s="11" t="s">
        <v>2036</v>
      </c>
      <c r="C970" s="11">
        <v>1</v>
      </c>
      <c r="D970" t="s">
        <v>1962</v>
      </c>
      <c r="E970">
        <f>VLOOKUP(CONCATENATE(validProjetado[[#This Row],[Tipo]],validProjetado[[#This Row],[Destino]]),validConcreto!K:O,4)</f>
        <v>0.1</v>
      </c>
    </row>
    <row r="971" spans="1:5" hidden="1" x14ac:dyDescent="0.25">
      <c r="A971" s="11">
        <v>17</v>
      </c>
      <c r="B971" s="11" t="s">
        <v>2036</v>
      </c>
      <c r="C971" s="11">
        <v>1</v>
      </c>
      <c r="D971" t="s">
        <v>1962</v>
      </c>
      <c r="E971">
        <f>VLOOKUP(CONCATENATE(validProjetado[[#This Row],[Tipo]],validProjetado[[#This Row],[Destino]]),validConcreto!K:O,4)</f>
        <v>0.1</v>
      </c>
    </row>
    <row r="972" spans="1:5" hidden="1" x14ac:dyDescent="0.25">
      <c r="A972" s="11">
        <v>18</v>
      </c>
      <c r="B972" s="11" t="s">
        <v>2036</v>
      </c>
      <c r="C972" s="11">
        <v>1</v>
      </c>
      <c r="D972" t="s">
        <v>1962</v>
      </c>
      <c r="E972">
        <f>VLOOKUP(CONCATENATE(validProjetado[[#This Row],[Tipo]],validProjetado[[#This Row],[Destino]]),validConcreto!K:O,4)</f>
        <v>0.1</v>
      </c>
    </row>
    <row r="973" spans="1:5" hidden="1" x14ac:dyDescent="0.25">
      <c r="A973" s="11">
        <v>19</v>
      </c>
      <c r="B973" s="11" t="s">
        <v>2036</v>
      </c>
      <c r="C973" s="11">
        <v>1</v>
      </c>
      <c r="D973" t="s">
        <v>1962</v>
      </c>
      <c r="E973">
        <f>VLOOKUP(CONCATENATE(validProjetado[[#This Row],[Tipo]],validProjetado[[#This Row],[Destino]]),validConcreto!K:O,4)</f>
        <v>0.1</v>
      </c>
    </row>
    <row r="974" spans="1:5" hidden="1" x14ac:dyDescent="0.25">
      <c r="A974" s="11">
        <v>20</v>
      </c>
      <c r="B974" s="11" t="s">
        <v>2036</v>
      </c>
      <c r="C974" s="11">
        <v>1</v>
      </c>
      <c r="D974" t="s">
        <v>1962</v>
      </c>
      <c r="E974">
        <f>VLOOKUP(CONCATENATE(validProjetado[[#This Row],[Tipo]],validProjetado[[#This Row],[Destino]]),validConcreto!K:O,4)</f>
        <v>0.1</v>
      </c>
    </row>
    <row r="975" spans="1:5" hidden="1" x14ac:dyDescent="0.25">
      <c r="A975" s="11">
        <v>21</v>
      </c>
      <c r="B975" s="11" t="s">
        <v>2036</v>
      </c>
      <c r="C975" s="11">
        <v>1</v>
      </c>
      <c r="D975" t="s">
        <v>1962</v>
      </c>
      <c r="E975">
        <f>VLOOKUP(CONCATENATE(validProjetado[[#This Row],[Tipo]],validProjetado[[#This Row],[Destino]]),validConcreto!K:O,4)</f>
        <v>0.1</v>
      </c>
    </row>
    <row r="976" spans="1:5" hidden="1" x14ac:dyDescent="0.25">
      <c r="A976" s="11">
        <v>22</v>
      </c>
      <c r="B976" s="11" t="s">
        <v>2036</v>
      </c>
      <c r="C976" s="11">
        <v>1</v>
      </c>
      <c r="D976" t="s">
        <v>1962</v>
      </c>
      <c r="E976">
        <f>VLOOKUP(CONCATENATE(validProjetado[[#This Row],[Tipo]],validProjetado[[#This Row],[Destino]]),validConcreto!K:O,4)</f>
        <v>0.1</v>
      </c>
    </row>
    <row r="977" spans="1:5" hidden="1" x14ac:dyDescent="0.25">
      <c r="A977" s="11">
        <v>23</v>
      </c>
      <c r="B977" s="11" t="s">
        <v>2036</v>
      </c>
      <c r="C977" s="11">
        <v>1</v>
      </c>
      <c r="D977" t="s">
        <v>1962</v>
      </c>
      <c r="E977">
        <f>VLOOKUP(CONCATENATE(validProjetado[[#This Row],[Tipo]],validProjetado[[#This Row],[Destino]]),validConcreto!K:O,4)</f>
        <v>0.1</v>
      </c>
    </row>
    <row r="978" spans="1:5" hidden="1" x14ac:dyDescent="0.25">
      <c r="A978" s="11">
        <v>24</v>
      </c>
      <c r="B978" s="11" t="s">
        <v>2036</v>
      </c>
      <c r="C978" s="11">
        <v>1</v>
      </c>
      <c r="D978" t="s">
        <v>1962</v>
      </c>
      <c r="E978">
        <f>VLOOKUP(CONCATENATE(validProjetado[[#This Row],[Tipo]],validProjetado[[#This Row],[Destino]]),validConcreto!K:O,4)</f>
        <v>0.1</v>
      </c>
    </row>
    <row r="979" spans="1:5" hidden="1" x14ac:dyDescent="0.25">
      <c r="A979" s="11">
        <v>25</v>
      </c>
      <c r="B979" s="11" t="s">
        <v>2036</v>
      </c>
      <c r="C979" s="11">
        <v>1</v>
      </c>
      <c r="D979" t="s">
        <v>1962</v>
      </c>
      <c r="E979">
        <f>VLOOKUP(CONCATENATE(validProjetado[[#This Row],[Tipo]],validProjetado[[#This Row],[Destino]]),validConcreto!K:O,4)</f>
        <v>0.1</v>
      </c>
    </row>
    <row r="980" spans="1:5" hidden="1" x14ac:dyDescent="0.25">
      <c r="A980" s="11">
        <v>26</v>
      </c>
      <c r="B980" s="11" t="s">
        <v>2036</v>
      </c>
      <c r="C980" s="11">
        <v>1</v>
      </c>
      <c r="D980" t="s">
        <v>1962</v>
      </c>
      <c r="E980">
        <f>VLOOKUP(CONCATENATE(validProjetado[[#This Row],[Tipo]],validProjetado[[#This Row],[Destino]]),validConcreto!K:O,4)</f>
        <v>0.1</v>
      </c>
    </row>
    <row r="981" spans="1:5" hidden="1" x14ac:dyDescent="0.25">
      <c r="A981" s="11">
        <v>27</v>
      </c>
      <c r="B981" s="11" t="s">
        <v>2036</v>
      </c>
      <c r="C981" s="11">
        <v>1</v>
      </c>
      <c r="D981" t="s">
        <v>1962</v>
      </c>
      <c r="E981">
        <f>VLOOKUP(CONCATENATE(validProjetado[[#This Row],[Tipo]],validProjetado[[#This Row],[Destino]]),validConcreto!K:O,4)</f>
        <v>0.1</v>
      </c>
    </row>
    <row r="982" spans="1:5" hidden="1" x14ac:dyDescent="0.25">
      <c r="A982" s="11">
        <v>28</v>
      </c>
      <c r="B982" s="11" t="s">
        <v>2036</v>
      </c>
      <c r="C982" s="11">
        <v>1</v>
      </c>
      <c r="D982" t="s">
        <v>1962</v>
      </c>
      <c r="E982">
        <f>VLOOKUP(CONCATENATE(validProjetado[[#This Row],[Tipo]],validProjetado[[#This Row],[Destino]]),validConcreto!K:O,4)</f>
        <v>0.1</v>
      </c>
    </row>
    <row r="983" spans="1:5" hidden="1" x14ac:dyDescent="0.25">
      <c r="A983" s="11">
        <v>29</v>
      </c>
      <c r="B983" s="11" t="s">
        <v>2036</v>
      </c>
      <c r="C983" s="11">
        <v>1</v>
      </c>
      <c r="D983" t="s">
        <v>1962</v>
      </c>
      <c r="E983">
        <f>VLOOKUP(CONCATENATE(validProjetado[[#This Row],[Tipo]],validProjetado[[#This Row],[Destino]]),validConcreto!K:O,4)</f>
        <v>0.1</v>
      </c>
    </row>
    <row r="984" spans="1:5" hidden="1" x14ac:dyDescent="0.25">
      <c r="A984" s="11">
        <v>30</v>
      </c>
      <c r="B984" s="11" t="s">
        <v>2036</v>
      </c>
      <c r="C984" s="11">
        <v>1</v>
      </c>
      <c r="D984" t="s">
        <v>1962</v>
      </c>
      <c r="E984">
        <f>VLOOKUP(CONCATENATE(validProjetado[[#This Row],[Tipo]],validProjetado[[#This Row],[Destino]]),validConcreto!K:O,4)</f>
        <v>0.1</v>
      </c>
    </row>
    <row r="985" spans="1:5" hidden="1" x14ac:dyDescent="0.25">
      <c r="A985" s="11">
        <v>31</v>
      </c>
      <c r="B985" s="11" t="s">
        <v>2036</v>
      </c>
      <c r="C985" s="11">
        <v>1</v>
      </c>
      <c r="D985" t="s">
        <v>1962</v>
      </c>
      <c r="E985">
        <f>VLOOKUP(CONCATENATE(validProjetado[[#This Row],[Tipo]],validProjetado[[#This Row],[Destino]]),validConcreto!K:O,4)</f>
        <v>0.1</v>
      </c>
    </row>
    <row r="986" spans="1:5" hidden="1" x14ac:dyDescent="0.25">
      <c r="A986" s="11">
        <v>32</v>
      </c>
      <c r="B986" s="11" t="s">
        <v>2036</v>
      </c>
      <c r="C986" s="11">
        <v>1</v>
      </c>
      <c r="D986" t="s">
        <v>1962</v>
      </c>
      <c r="E986">
        <f>VLOOKUP(CONCATENATE(validProjetado[[#This Row],[Tipo]],validProjetado[[#This Row],[Destino]]),validConcreto!K:O,4)</f>
        <v>0.1</v>
      </c>
    </row>
    <row r="987" spans="1:5" hidden="1" x14ac:dyDescent="0.25">
      <c r="A987" s="11">
        <v>33</v>
      </c>
      <c r="B987" s="11" t="s">
        <v>2036</v>
      </c>
      <c r="C987" s="11">
        <v>1</v>
      </c>
      <c r="D987" t="s">
        <v>1962</v>
      </c>
      <c r="E987">
        <f>VLOOKUP(CONCATENATE(validProjetado[[#This Row],[Tipo]],validProjetado[[#This Row],[Destino]]),validConcreto!K:O,4)</f>
        <v>0.1</v>
      </c>
    </row>
    <row r="988" spans="1:5" hidden="1" x14ac:dyDescent="0.25">
      <c r="A988" s="11">
        <v>34</v>
      </c>
      <c r="B988" s="11" t="s">
        <v>2036</v>
      </c>
      <c r="C988" s="11">
        <v>1</v>
      </c>
      <c r="D988" t="s">
        <v>1962</v>
      </c>
      <c r="E988">
        <f>VLOOKUP(CONCATENATE(validProjetado[[#This Row],[Tipo]],validProjetado[[#This Row],[Destino]]),validConcreto!K:O,4)</f>
        <v>0.1</v>
      </c>
    </row>
    <row r="989" spans="1:5" hidden="1" x14ac:dyDescent="0.25">
      <c r="A989" s="11">
        <v>35</v>
      </c>
      <c r="B989" s="11" t="s">
        <v>2036</v>
      </c>
      <c r="C989" s="11">
        <v>1</v>
      </c>
      <c r="D989" t="s">
        <v>1962</v>
      </c>
      <c r="E989">
        <f>VLOOKUP(CONCATENATE(validProjetado[[#This Row],[Tipo]],validProjetado[[#This Row],[Destino]]),validConcreto!K:O,4)</f>
        <v>0.1</v>
      </c>
    </row>
    <row r="990" spans="1:5" hidden="1" x14ac:dyDescent="0.25">
      <c r="A990" s="11">
        <v>36</v>
      </c>
      <c r="B990" s="11" t="s">
        <v>2036</v>
      </c>
      <c r="C990" s="11">
        <v>1</v>
      </c>
      <c r="D990" t="s">
        <v>1962</v>
      </c>
      <c r="E990">
        <f>VLOOKUP(CONCATENATE(validProjetado[[#This Row],[Tipo]],validProjetado[[#This Row],[Destino]]),validConcreto!K:O,4)</f>
        <v>0.1</v>
      </c>
    </row>
    <row r="991" spans="1:5" hidden="1" x14ac:dyDescent="0.25">
      <c r="A991" s="11">
        <v>37</v>
      </c>
      <c r="B991" s="11" t="s">
        <v>2036</v>
      </c>
      <c r="C991" s="11">
        <v>1</v>
      </c>
      <c r="D991" t="s">
        <v>1962</v>
      </c>
      <c r="E991">
        <f>VLOOKUP(CONCATENATE(validProjetado[[#This Row],[Tipo]],validProjetado[[#This Row],[Destino]]),validConcreto!K:O,4)</f>
        <v>0.1</v>
      </c>
    </row>
    <row r="992" spans="1:5" hidden="1" x14ac:dyDescent="0.25">
      <c r="A992" s="11">
        <v>38</v>
      </c>
      <c r="B992" s="11" t="s">
        <v>2036</v>
      </c>
      <c r="C992" s="11">
        <v>1</v>
      </c>
      <c r="D992" t="s">
        <v>1962</v>
      </c>
      <c r="E992">
        <f>VLOOKUP(CONCATENATE(validProjetado[[#This Row],[Tipo]],validProjetado[[#This Row],[Destino]]),validConcreto!K:O,4)</f>
        <v>0.1</v>
      </c>
    </row>
    <row r="993" spans="1:5" hidden="1" x14ac:dyDescent="0.25">
      <c r="A993" s="11">
        <v>39</v>
      </c>
      <c r="B993" s="11" t="s">
        <v>2036</v>
      </c>
      <c r="C993" s="11">
        <v>1</v>
      </c>
      <c r="D993" t="s">
        <v>1962</v>
      </c>
      <c r="E993">
        <f>VLOOKUP(CONCATENATE(validProjetado[[#This Row],[Tipo]],validProjetado[[#This Row],[Destino]]),validConcreto!K:O,4)</f>
        <v>0.1</v>
      </c>
    </row>
    <row r="994" spans="1:5" hidden="1" x14ac:dyDescent="0.25">
      <c r="A994" s="11">
        <v>40</v>
      </c>
      <c r="B994" s="11" t="s">
        <v>2036</v>
      </c>
      <c r="C994" s="11">
        <v>1</v>
      </c>
      <c r="D994" t="s">
        <v>1962</v>
      </c>
      <c r="E994">
        <f>VLOOKUP(CONCATENATE(validProjetado[[#This Row],[Tipo]],validProjetado[[#This Row],[Destino]]),validConcreto!K:O,4)</f>
        <v>0.1</v>
      </c>
    </row>
    <row r="995" spans="1:5" hidden="1" x14ac:dyDescent="0.25">
      <c r="A995" s="11">
        <v>41</v>
      </c>
      <c r="B995" s="11" t="s">
        <v>2036</v>
      </c>
      <c r="C995" s="11">
        <v>1</v>
      </c>
      <c r="D995" t="s">
        <v>1962</v>
      </c>
      <c r="E995">
        <f>VLOOKUP(CONCATENATE(validProjetado[[#This Row],[Tipo]],validProjetado[[#This Row],[Destino]]),validConcreto!K:O,4)</f>
        <v>0.1</v>
      </c>
    </row>
    <row r="996" spans="1:5" hidden="1" x14ac:dyDescent="0.25">
      <c r="A996" s="11">
        <v>42</v>
      </c>
      <c r="B996" s="11" t="s">
        <v>2036</v>
      </c>
      <c r="C996" s="11">
        <v>1</v>
      </c>
      <c r="D996" t="s">
        <v>1962</v>
      </c>
      <c r="E996">
        <f>VLOOKUP(CONCATENATE(validProjetado[[#This Row],[Tipo]],validProjetado[[#This Row],[Destino]]),validConcreto!K:O,4)</f>
        <v>0.1</v>
      </c>
    </row>
    <row r="997" spans="1:5" hidden="1" x14ac:dyDescent="0.25">
      <c r="A997" s="11">
        <v>43</v>
      </c>
      <c r="B997" s="11" t="s">
        <v>2036</v>
      </c>
      <c r="C997" s="11">
        <v>2</v>
      </c>
      <c r="D997" t="s">
        <v>1962</v>
      </c>
      <c r="E997">
        <f>VLOOKUP(CONCATENATE(validProjetado[[#This Row],[Tipo]],validProjetado[[#This Row],[Destino]]),validConcreto!K:O,4)</f>
        <v>0.1</v>
      </c>
    </row>
    <row r="998" spans="1:5" hidden="1" x14ac:dyDescent="0.25">
      <c r="A998" s="11">
        <v>44</v>
      </c>
      <c r="B998" s="11" t="s">
        <v>2036</v>
      </c>
      <c r="C998" s="11">
        <v>2</v>
      </c>
      <c r="D998" t="s">
        <v>1962</v>
      </c>
      <c r="E998">
        <f>VLOOKUP(CONCATENATE(validProjetado[[#This Row],[Tipo]],validProjetado[[#This Row],[Destino]]),validConcreto!K:O,4)</f>
        <v>0.1</v>
      </c>
    </row>
    <row r="999" spans="1:5" hidden="1" x14ac:dyDescent="0.25">
      <c r="A999" s="11">
        <v>45</v>
      </c>
      <c r="B999" s="11" t="s">
        <v>2036</v>
      </c>
      <c r="C999" s="11">
        <v>2</v>
      </c>
      <c r="D999" t="s">
        <v>1962</v>
      </c>
      <c r="E999">
        <f>VLOOKUP(CONCATENATE(validProjetado[[#This Row],[Tipo]],validProjetado[[#This Row],[Destino]]),validConcreto!K:O,4)</f>
        <v>0.1</v>
      </c>
    </row>
    <row r="1000" spans="1:5" hidden="1" x14ac:dyDescent="0.25">
      <c r="A1000" s="11">
        <v>46</v>
      </c>
      <c r="B1000" s="11" t="s">
        <v>2036</v>
      </c>
      <c r="C1000" s="11">
        <v>2</v>
      </c>
      <c r="D1000" t="s">
        <v>1962</v>
      </c>
      <c r="E1000">
        <f>VLOOKUP(CONCATENATE(validProjetado[[#This Row],[Tipo]],validProjetado[[#This Row],[Destino]]),validConcreto!K:O,4)</f>
        <v>0.1</v>
      </c>
    </row>
    <row r="1001" spans="1:5" hidden="1" x14ac:dyDescent="0.25">
      <c r="A1001" s="11">
        <v>47</v>
      </c>
      <c r="B1001" s="11" t="s">
        <v>2036</v>
      </c>
      <c r="C1001" s="11">
        <v>2</v>
      </c>
      <c r="D1001" t="s">
        <v>1962</v>
      </c>
      <c r="E1001">
        <f>VLOOKUP(CONCATENATE(validProjetado[[#This Row],[Tipo]],validProjetado[[#This Row],[Destino]]),validConcreto!K:O,4)</f>
        <v>0.1</v>
      </c>
    </row>
    <row r="1002" spans="1:5" hidden="1" x14ac:dyDescent="0.25">
      <c r="A1002" s="11">
        <v>1</v>
      </c>
      <c r="B1002" s="11" t="s">
        <v>1961</v>
      </c>
      <c r="C1002" s="11">
        <v>1</v>
      </c>
      <c r="D1002" t="s">
        <v>1968</v>
      </c>
      <c r="E1002">
        <f>VLOOKUP(CONCATENATE(validProjetado[[#This Row],[Tipo]],validProjetado[[#This Row],[Destino]]),validConcreto!K:O,4)</f>
        <v>5.22</v>
      </c>
    </row>
    <row r="1003" spans="1:5" hidden="1" x14ac:dyDescent="0.25">
      <c r="A1003" s="11">
        <v>2</v>
      </c>
      <c r="B1003" s="11" t="s">
        <v>1961</v>
      </c>
      <c r="C1003" s="11">
        <v>1</v>
      </c>
      <c r="D1003" t="s">
        <v>1968</v>
      </c>
      <c r="E1003">
        <f>VLOOKUP(CONCATENATE(validProjetado[[#This Row],[Tipo]],validProjetado[[#This Row],[Destino]]),validConcreto!K:O,4)</f>
        <v>5.22</v>
      </c>
    </row>
    <row r="1004" spans="1:5" hidden="1" x14ac:dyDescent="0.25">
      <c r="A1004" s="11">
        <v>3</v>
      </c>
      <c r="B1004" s="11" t="s">
        <v>1961</v>
      </c>
      <c r="C1004" s="11">
        <v>1</v>
      </c>
      <c r="D1004" t="s">
        <v>1968</v>
      </c>
      <c r="E1004">
        <f>VLOOKUP(CONCATENATE(validProjetado[[#This Row],[Tipo]],validProjetado[[#This Row],[Destino]]),validConcreto!K:O,4)</f>
        <v>5.22</v>
      </c>
    </row>
    <row r="1005" spans="1:5" hidden="1" x14ac:dyDescent="0.25">
      <c r="A1005" s="11">
        <v>4</v>
      </c>
      <c r="B1005" s="11" t="s">
        <v>1961</v>
      </c>
      <c r="C1005" s="11">
        <v>1</v>
      </c>
      <c r="D1005" t="s">
        <v>1968</v>
      </c>
      <c r="E1005">
        <f>VLOOKUP(CONCATENATE(validProjetado[[#This Row],[Tipo]],validProjetado[[#This Row],[Destino]]),validConcreto!K:O,4)</f>
        <v>5.22</v>
      </c>
    </row>
    <row r="1006" spans="1:5" hidden="1" x14ac:dyDescent="0.25">
      <c r="A1006" s="11">
        <v>5</v>
      </c>
      <c r="B1006" s="11" t="s">
        <v>1961</v>
      </c>
      <c r="C1006" s="11">
        <v>1</v>
      </c>
      <c r="D1006" t="s">
        <v>1968</v>
      </c>
      <c r="E1006">
        <f>VLOOKUP(CONCATENATE(validProjetado[[#This Row],[Tipo]],validProjetado[[#This Row],[Destino]]),validConcreto!K:O,4)</f>
        <v>5.22</v>
      </c>
    </row>
    <row r="1007" spans="1:5" hidden="1" x14ac:dyDescent="0.25">
      <c r="A1007" s="11">
        <v>6</v>
      </c>
      <c r="B1007" s="11" t="s">
        <v>1961</v>
      </c>
      <c r="C1007" s="11">
        <v>1</v>
      </c>
      <c r="D1007" t="s">
        <v>1968</v>
      </c>
      <c r="E1007">
        <f>VLOOKUP(CONCATENATE(validProjetado[[#This Row],[Tipo]],validProjetado[[#This Row],[Destino]]),validConcreto!K:O,4)</f>
        <v>5.22</v>
      </c>
    </row>
    <row r="1008" spans="1:5" hidden="1" x14ac:dyDescent="0.25">
      <c r="A1008" s="11">
        <v>7</v>
      </c>
      <c r="B1008" s="11" t="s">
        <v>1961</v>
      </c>
      <c r="C1008" s="11">
        <v>2</v>
      </c>
      <c r="D1008" t="s">
        <v>1968</v>
      </c>
      <c r="E1008">
        <f>VLOOKUP(CONCATENATE(validProjetado[[#This Row],[Tipo]],validProjetado[[#This Row],[Destino]]),validConcreto!K:O,4)</f>
        <v>6.38</v>
      </c>
    </row>
    <row r="1009" spans="1:5" hidden="1" x14ac:dyDescent="0.25">
      <c r="A1009" s="11">
        <v>8</v>
      </c>
      <c r="B1009" s="11" t="s">
        <v>1961</v>
      </c>
      <c r="C1009" s="11">
        <v>2</v>
      </c>
      <c r="D1009" t="s">
        <v>1968</v>
      </c>
      <c r="E1009">
        <f>VLOOKUP(CONCATENATE(validProjetado[[#This Row],[Tipo]],validProjetado[[#This Row],[Destino]]),validConcreto!K:O,4)</f>
        <v>6.38</v>
      </c>
    </row>
    <row r="1010" spans="1:5" hidden="1" x14ac:dyDescent="0.25">
      <c r="A1010" s="11">
        <v>1</v>
      </c>
      <c r="B1010" s="11" t="s">
        <v>1970</v>
      </c>
      <c r="C1010" s="11">
        <v>1</v>
      </c>
      <c r="D1010" t="s">
        <v>1968</v>
      </c>
      <c r="E1010">
        <f>VLOOKUP(CONCATENATE(validProjetado[[#This Row],[Tipo]],validProjetado[[#This Row],[Destino]]),validConcreto!K:O,4)</f>
        <v>5.22</v>
      </c>
    </row>
    <row r="1011" spans="1:5" hidden="1" x14ac:dyDescent="0.25">
      <c r="A1011" s="11">
        <v>2</v>
      </c>
      <c r="B1011" s="11" t="s">
        <v>1970</v>
      </c>
      <c r="C1011" s="11">
        <v>1</v>
      </c>
      <c r="D1011" t="s">
        <v>1968</v>
      </c>
      <c r="E1011">
        <f>VLOOKUP(CONCATENATE(validProjetado[[#This Row],[Tipo]],validProjetado[[#This Row],[Destino]]),validConcreto!K:O,4)</f>
        <v>5.22</v>
      </c>
    </row>
    <row r="1012" spans="1:5" hidden="1" x14ac:dyDescent="0.25">
      <c r="A1012" s="11">
        <v>3</v>
      </c>
      <c r="B1012" s="11" t="s">
        <v>1970</v>
      </c>
      <c r="C1012" s="11">
        <v>1</v>
      </c>
      <c r="D1012" t="s">
        <v>1968</v>
      </c>
      <c r="E1012">
        <f>VLOOKUP(CONCATENATE(validProjetado[[#This Row],[Tipo]],validProjetado[[#This Row],[Destino]]),validConcreto!K:O,4)</f>
        <v>5.22</v>
      </c>
    </row>
    <row r="1013" spans="1:5" hidden="1" x14ac:dyDescent="0.25">
      <c r="A1013" s="11">
        <v>4</v>
      </c>
      <c r="B1013" s="11" t="s">
        <v>1970</v>
      </c>
      <c r="C1013" s="11">
        <v>1</v>
      </c>
      <c r="D1013" t="s">
        <v>1968</v>
      </c>
      <c r="E1013">
        <f>VLOOKUP(CONCATENATE(validProjetado[[#This Row],[Tipo]],validProjetado[[#This Row],[Destino]]),validConcreto!K:O,4)</f>
        <v>5.22</v>
      </c>
    </row>
    <row r="1014" spans="1:5" hidden="1" x14ac:dyDescent="0.25">
      <c r="A1014" s="11">
        <v>5</v>
      </c>
      <c r="B1014" s="11" t="s">
        <v>1970</v>
      </c>
      <c r="C1014" s="11">
        <v>1</v>
      </c>
      <c r="D1014" t="s">
        <v>1968</v>
      </c>
      <c r="E1014">
        <f>VLOOKUP(CONCATENATE(validProjetado[[#This Row],[Tipo]],validProjetado[[#This Row],[Destino]]),validConcreto!K:O,4)</f>
        <v>5.22</v>
      </c>
    </row>
    <row r="1015" spans="1:5" hidden="1" x14ac:dyDescent="0.25">
      <c r="A1015" s="11">
        <v>6</v>
      </c>
      <c r="B1015" s="11" t="s">
        <v>1970</v>
      </c>
      <c r="C1015" s="11">
        <v>1</v>
      </c>
      <c r="D1015" t="s">
        <v>1968</v>
      </c>
      <c r="E1015">
        <f>VLOOKUP(CONCATENATE(validProjetado[[#This Row],[Tipo]],validProjetado[[#This Row],[Destino]]),validConcreto!K:O,4)</f>
        <v>5.22</v>
      </c>
    </row>
    <row r="1016" spans="1:5" hidden="1" x14ac:dyDescent="0.25">
      <c r="A1016" s="11">
        <v>7</v>
      </c>
      <c r="B1016" s="11" t="s">
        <v>1970</v>
      </c>
      <c r="C1016" s="11">
        <v>1</v>
      </c>
      <c r="D1016" t="s">
        <v>1968</v>
      </c>
      <c r="E1016">
        <f>VLOOKUP(CONCATENATE(validProjetado[[#This Row],[Tipo]],validProjetado[[#This Row],[Destino]]),validConcreto!K:O,4)</f>
        <v>5.22</v>
      </c>
    </row>
    <row r="1017" spans="1:5" hidden="1" x14ac:dyDescent="0.25">
      <c r="A1017" s="11">
        <v>8</v>
      </c>
      <c r="B1017" s="11" t="s">
        <v>1970</v>
      </c>
      <c r="C1017" s="11">
        <v>1</v>
      </c>
      <c r="D1017" t="s">
        <v>1968</v>
      </c>
      <c r="E1017">
        <f>VLOOKUP(CONCATENATE(validProjetado[[#This Row],[Tipo]],validProjetado[[#This Row],[Destino]]),validConcreto!K:O,4)</f>
        <v>5.22</v>
      </c>
    </row>
    <row r="1018" spans="1:5" hidden="1" x14ac:dyDescent="0.25">
      <c r="A1018" s="11">
        <v>9</v>
      </c>
      <c r="B1018" s="11" t="s">
        <v>1970</v>
      </c>
      <c r="C1018" s="11">
        <v>1</v>
      </c>
      <c r="D1018" t="s">
        <v>1968</v>
      </c>
      <c r="E1018">
        <f>VLOOKUP(CONCATENATE(validProjetado[[#This Row],[Tipo]],validProjetado[[#This Row],[Destino]]),validConcreto!K:O,4)</f>
        <v>5.22</v>
      </c>
    </row>
    <row r="1019" spans="1:5" hidden="1" x14ac:dyDescent="0.25">
      <c r="A1019" s="11">
        <v>10</v>
      </c>
      <c r="B1019" s="11" t="s">
        <v>1970</v>
      </c>
      <c r="C1019" s="11">
        <v>1</v>
      </c>
      <c r="D1019" t="s">
        <v>1968</v>
      </c>
      <c r="E1019">
        <f>VLOOKUP(CONCATENATE(validProjetado[[#This Row],[Tipo]],validProjetado[[#This Row],[Destino]]),validConcreto!K:O,4)</f>
        <v>5.22</v>
      </c>
    </row>
    <row r="1020" spans="1:5" hidden="1" x14ac:dyDescent="0.25">
      <c r="A1020" s="11">
        <v>11</v>
      </c>
      <c r="B1020" s="11" t="s">
        <v>1970</v>
      </c>
      <c r="C1020" s="11">
        <v>1</v>
      </c>
      <c r="D1020" t="s">
        <v>1968</v>
      </c>
      <c r="E1020">
        <f>VLOOKUP(CONCATENATE(validProjetado[[#This Row],[Tipo]],validProjetado[[#This Row],[Destino]]),validConcreto!K:O,4)</f>
        <v>5.22</v>
      </c>
    </row>
    <row r="1021" spans="1:5" hidden="1" x14ac:dyDescent="0.25">
      <c r="A1021" s="11">
        <v>12</v>
      </c>
      <c r="B1021" s="11" t="s">
        <v>1970</v>
      </c>
      <c r="C1021" s="11">
        <v>1</v>
      </c>
      <c r="D1021" t="s">
        <v>1968</v>
      </c>
      <c r="E1021">
        <f>VLOOKUP(CONCATENATE(validProjetado[[#This Row],[Tipo]],validProjetado[[#This Row],[Destino]]),validConcreto!K:O,4)</f>
        <v>5.22</v>
      </c>
    </row>
    <row r="1022" spans="1:5" hidden="1" x14ac:dyDescent="0.25">
      <c r="A1022" s="11">
        <v>13</v>
      </c>
      <c r="B1022" s="11" t="s">
        <v>1970</v>
      </c>
      <c r="C1022" s="11">
        <v>1</v>
      </c>
      <c r="D1022" t="s">
        <v>1968</v>
      </c>
      <c r="E1022">
        <f>VLOOKUP(CONCATENATE(validProjetado[[#This Row],[Tipo]],validProjetado[[#This Row],[Destino]]),validConcreto!K:O,4)</f>
        <v>5.22</v>
      </c>
    </row>
    <row r="1023" spans="1:5" hidden="1" x14ac:dyDescent="0.25">
      <c r="A1023" s="11">
        <v>14</v>
      </c>
      <c r="B1023" s="11" t="s">
        <v>1970</v>
      </c>
      <c r="C1023" s="11">
        <v>1</v>
      </c>
      <c r="D1023" t="s">
        <v>1968</v>
      </c>
      <c r="E1023">
        <f>VLOOKUP(CONCATENATE(validProjetado[[#This Row],[Tipo]],validProjetado[[#This Row],[Destino]]),validConcreto!K:O,4)</f>
        <v>5.22</v>
      </c>
    </row>
    <row r="1024" spans="1:5" hidden="1" x14ac:dyDescent="0.25">
      <c r="A1024" s="11">
        <v>15</v>
      </c>
      <c r="B1024" s="11" t="s">
        <v>1970</v>
      </c>
      <c r="C1024" s="11">
        <v>1</v>
      </c>
      <c r="D1024" t="s">
        <v>1968</v>
      </c>
      <c r="E1024">
        <f>VLOOKUP(CONCATENATE(validProjetado[[#This Row],[Tipo]],validProjetado[[#This Row],[Destino]]),validConcreto!K:O,4)</f>
        <v>5.22</v>
      </c>
    </row>
    <row r="1025" spans="1:5" hidden="1" x14ac:dyDescent="0.25">
      <c r="A1025" s="11">
        <v>16</v>
      </c>
      <c r="B1025" s="11" t="s">
        <v>1970</v>
      </c>
      <c r="C1025" s="11">
        <v>1</v>
      </c>
      <c r="D1025" t="s">
        <v>1968</v>
      </c>
      <c r="E1025">
        <f>VLOOKUP(CONCATENATE(validProjetado[[#This Row],[Tipo]],validProjetado[[#This Row],[Destino]]),validConcreto!K:O,4)</f>
        <v>5.22</v>
      </c>
    </row>
    <row r="1026" spans="1:5" hidden="1" x14ac:dyDescent="0.25">
      <c r="A1026" s="11">
        <v>17</v>
      </c>
      <c r="B1026" s="11" t="s">
        <v>1970</v>
      </c>
      <c r="C1026" s="11">
        <v>1</v>
      </c>
      <c r="D1026" t="s">
        <v>1968</v>
      </c>
      <c r="E1026">
        <f>VLOOKUP(CONCATENATE(validProjetado[[#This Row],[Tipo]],validProjetado[[#This Row],[Destino]]),validConcreto!K:O,4)</f>
        <v>5.22</v>
      </c>
    </row>
    <row r="1027" spans="1:5" hidden="1" x14ac:dyDescent="0.25">
      <c r="A1027" s="11">
        <v>18</v>
      </c>
      <c r="B1027" s="11" t="s">
        <v>1970</v>
      </c>
      <c r="C1027" s="11">
        <v>1</v>
      </c>
      <c r="D1027" t="s">
        <v>1968</v>
      </c>
      <c r="E1027">
        <f>VLOOKUP(CONCATENATE(validProjetado[[#This Row],[Tipo]],validProjetado[[#This Row],[Destino]]),validConcreto!K:O,4)</f>
        <v>5.22</v>
      </c>
    </row>
    <row r="1028" spans="1:5" hidden="1" x14ac:dyDescent="0.25">
      <c r="A1028" s="11">
        <v>19</v>
      </c>
      <c r="B1028" s="11" t="s">
        <v>1970</v>
      </c>
      <c r="C1028" s="11">
        <v>1</v>
      </c>
      <c r="D1028" t="s">
        <v>1968</v>
      </c>
      <c r="E1028">
        <f>VLOOKUP(CONCATENATE(validProjetado[[#This Row],[Tipo]],validProjetado[[#This Row],[Destino]]),validConcreto!K:O,4)</f>
        <v>5.22</v>
      </c>
    </row>
    <row r="1029" spans="1:5" hidden="1" x14ac:dyDescent="0.25">
      <c r="A1029" s="11">
        <v>20</v>
      </c>
      <c r="B1029" s="11" t="s">
        <v>1970</v>
      </c>
      <c r="C1029" s="11">
        <v>1</v>
      </c>
      <c r="D1029" t="s">
        <v>1968</v>
      </c>
      <c r="E1029">
        <f>VLOOKUP(CONCATENATE(validProjetado[[#This Row],[Tipo]],validProjetado[[#This Row],[Destino]]),validConcreto!K:O,4)</f>
        <v>5.22</v>
      </c>
    </row>
    <row r="1030" spans="1:5" hidden="1" x14ac:dyDescent="0.25">
      <c r="A1030" s="11">
        <v>21</v>
      </c>
      <c r="B1030" s="11" t="s">
        <v>1970</v>
      </c>
      <c r="C1030" s="11">
        <v>2</v>
      </c>
      <c r="D1030" t="s">
        <v>1968</v>
      </c>
      <c r="E1030">
        <f>VLOOKUP(CONCATENATE(validProjetado[[#This Row],[Tipo]],validProjetado[[#This Row],[Destino]]),validConcreto!K:O,4)</f>
        <v>6.38</v>
      </c>
    </row>
    <row r="1031" spans="1:5" hidden="1" x14ac:dyDescent="0.25">
      <c r="A1031" s="11">
        <v>22</v>
      </c>
      <c r="B1031" s="11" t="s">
        <v>1970</v>
      </c>
      <c r="C1031" s="11">
        <v>2</v>
      </c>
      <c r="D1031" t="s">
        <v>1968</v>
      </c>
      <c r="E1031">
        <f>VLOOKUP(CONCATENATE(validProjetado[[#This Row],[Tipo]],validProjetado[[#This Row],[Destino]]),validConcreto!K:O,4)</f>
        <v>6.38</v>
      </c>
    </row>
    <row r="1032" spans="1:5" hidden="1" x14ac:dyDescent="0.25">
      <c r="A1032" s="11">
        <v>23</v>
      </c>
      <c r="B1032" s="11" t="s">
        <v>1970</v>
      </c>
      <c r="C1032" s="11">
        <v>2</v>
      </c>
      <c r="D1032" t="s">
        <v>1968</v>
      </c>
      <c r="E1032">
        <f>VLOOKUP(CONCATENATE(validProjetado[[#This Row],[Tipo]],validProjetado[[#This Row],[Destino]]),validConcreto!K:O,4)</f>
        <v>6.38</v>
      </c>
    </row>
    <row r="1033" spans="1:5" hidden="1" x14ac:dyDescent="0.25">
      <c r="A1033" s="11">
        <v>24</v>
      </c>
      <c r="B1033" s="11" t="s">
        <v>1970</v>
      </c>
      <c r="C1033" s="11">
        <v>1</v>
      </c>
      <c r="D1033" t="s">
        <v>1968</v>
      </c>
      <c r="E1033">
        <f>VLOOKUP(CONCATENATE(validProjetado[[#This Row],[Tipo]],validProjetado[[#This Row],[Destino]]),validConcreto!K:O,4)</f>
        <v>5.22</v>
      </c>
    </row>
    <row r="1034" spans="1:5" hidden="1" x14ac:dyDescent="0.25">
      <c r="A1034" s="11">
        <v>1</v>
      </c>
      <c r="B1034" s="11" t="s">
        <v>1975</v>
      </c>
      <c r="C1034" s="11">
        <v>1</v>
      </c>
      <c r="D1034" t="s">
        <v>1968</v>
      </c>
      <c r="E1034">
        <f>VLOOKUP(CONCATENATE(validProjetado[[#This Row],[Tipo]],validProjetado[[#This Row],[Destino]]),validConcreto!K:O,4)</f>
        <v>5.22</v>
      </c>
    </row>
    <row r="1035" spans="1:5" hidden="1" x14ac:dyDescent="0.25">
      <c r="A1035" s="11">
        <v>2</v>
      </c>
      <c r="B1035" s="11" t="s">
        <v>1975</v>
      </c>
      <c r="C1035" s="11">
        <v>1</v>
      </c>
      <c r="D1035" t="s">
        <v>1968</v>
      </c>
      <c r="E1035">
        <f>VLOOKUP(CONCATENATE(validProjetado[[#This Row],[Tipo]],validProjetado[[#This Row],[Destino]]),validConcreto!K:O,4)</f>
        <v>5.22</v>
      </c>
    </row>
    <row r="1036" spans="1:5" hidden="1" x14ac:dyDescent="0.25">
      <c r="A1036" s="11">
        <v>3</v>
      </c>
      <c r="B1036" s="11" t="s">
        <v>1975</v>
      </c>
      <c r="C1036" s="11">
        <v>1</v>
      </c>
      <c r="D1036" t="s">
        <v>1968</v>
      </c>
      <c r="E1036">
        <f>VLOOKUP(CONCATENATE(validProjetado[[#This Row],[Tipo]],validProjetado[[#This Row],[Destino]]),validConcreto!K:O,4)</f>
        <v>5.22</v>
      </c>
    </row>
    <row r="1037" spans="1:5" hidden="1" x14ac:dyDescent="0.25">
      <c r="A1037" s="11">
        <v>4</v>
      </c>
      <c r="B1037" s="11" t="s">
        <v>1975</v>
      </c>
      <c r="C1037" s="11">
        <v>1</v>
      </c>
      <c r="D1037" t="s">
        <v>1968</v>
      </c>
      <c r="E1037">
        <f>VLOOKUP(CONCATENATE(validProjetado[[#This Row],[Tipo]],validProjetado[[#This Row],[Destino]]),validConcreto!K:O,4)</f>
        <v>5.22</v>
      </c>
    </row>
    <row r="1038" spans="1:5" hidden="1" x14ac:dyDescent="0.25">
      <c r="A1038" s="11">
        <v>5</v>
      </c>
      <c r="B1038" s="11" t="s">
        <v>1975</v>
      </c>
      <c r="C1038" s="11">
        <v>1</v>
      </c>
      <c r="D1038" t="s">
        <v>1968</v>
      </c>
      <c r="E1038">
        <f>VLOOKUP(CONCATENATE(validProjetado[[#This Row],[Tipo]],validProjetado[[#This Row],[Destino]]),validConcreto!K:O,4)</f>
        <v>5.22</v>
      </c>
    </row>
    <row r="1039" spans="1:5" hidden="1" x14ac:dyDescent="0.25">
      <c r="A1039" s="11">
        <v>6</v>
      </c>
      <c r="B1039" s="11" t="s">
        <v>1975</v>
      </c>
      <c r="C1039" s="11">
        <v>1</v>
      </c>
      <c r="D1039" t="s">
        <v>1968</v>
      </c>
      <c r="E1039">
        <f>VLOOKUP(CONCATENATE(validProjetado[[#This Row],[Tipo]],validProjetado[[#This Row],[Destino]]),validConcreto!K:O,4)</f>
        <v>5.22</v>
      </c>
    </row>
    <row r="1040" spans="1:5" hidden="1" x14ac:dyDescent="0.25">
      <c r="A1040" s="11">
        <v>7</v>
      </c>
      <c r="B1040" s="11" t="s">
        <v>1975</v>
      </c>
      <c r="C1040" s="11">
        <v>1</v>
      </c>
      <c r="D1040" t="s">
        <v>1968</v>
      </c>
      <c r="E1040">
        <f>VLOOKUP(CONCATENATE(validProjetado[[#This Row],[Tipo]],validProjetado[[#This Row],[Destino]]),validConcreto!K:O,4)</f>
        <v>5.22</v>
      </c>
    </row>
    <row r="1041" spans="1:5" hidden="1" x14ac:dyDescent="0.25">
      <c r="A1041" s="11">
        <v>8</v>
      </c>
      <c r="B1041" s="11" t="s">
        <v>1975</v>
      </c>
      <c r="C1041" s="11">
        <v>1</v>
      </c>
      <c r="D1041" t="s">
        <v>1968</v>
      </c>
      <c r="E1041">
        <f>VLOOKUP(CONCATENATE(validProjetado[[#This Row],[Tipo]],validProjetado[[#This Row],[Destino]]),validConcreto!K:O,4)</f>
        <v>5.22</v>
      </c>
    </row>
    <row r="1042" spans="1:5" hidden="1" x14ac:dyDescent="0.25">
      <c r="A1042" s="11">
        <v>9</v>
      </c>
      <c r="B1042" s="11" t="s">
        <v>1975</v>
      </c>
      <c r="C1042" s="11">
        <v>1</v>
      </c>
      <c r="D1042" t="s">
        <v>1968</v>
      </c>
      <c r="E1042">
        <f>VLOOKUP(CONCATENATE(validProjetado[[#This Row],[Tipo]],validProjetado[[#This Row],[Destino]]),validConcreto!K:O,4)</f>
        <v>5.22</v>
      </c>
    </row>
    <row r="1043" spans="1:5" hidden="1" x14ac:dyDescent="0.25">
      <c r="A1043" s="11">
        <v>10</v>
      </c>
      <c r="B1043" s="11" t="s">
        <v>1975</v>
      </c>
      <c r="C1043" s="11">
        <v>1</v>
      </c>
      <c r="D1043" t="s">
        <v>1968</v>
      </c>
      <c r="E1043">
        <f>VLOOKUP(CONCATENATE(validProjetado[[#This Row],[Tipo]],validProjetado[[#This Row],[Destino]]),validConcreto!K:O,4)</f>
        <v>5.22</v>
      </c>
    </row>
    <row r="1044" spans="1:5" hidden="1" x14ac:dyDescent="0.25">
      <c r="A1044" s="11">
        <v>11</v>
      </c>
      <c r="B1044" s="11" t="s">
        <v>1975</v>
      </c>
      <c r="C1044" s="11">
        <v>1</v>
      </c>
      <c r="D1044" t="s">
        <v>1968</v>
      </c>
      <c r="E1044">
        <f>VLOOKUP(CONCATENATE(validProjetado[[#This Row],[Tipo]],validProjetado[[#This Row],[Destino]]),validConcreto!K:O,4)</f>
        <v>5.22</v>
      </c>
    </row>
    <row r="1045" spans="1:5" hidden="1" x14ac:dyDescent="0.25">
      <c r="A1045" s="11">
        <v>12</v>
      </c>
      <c r="B1045" s="11" t="s">
        <v>1975</v>
      </c>
      <c r="C1045" s="11">
        <v>1</v>
      </c>
      <c r="D1045" t="s">
        <v>1968</v>
      </c>
      <c r="E1045">
        <f>VLOOKUP(CONCATENATE(validProjetado[[#This Row],[Tipo]],validProjetado[[#This Row],[Destino]]),validConcreto!K:O,4)</f>
        <v>5.22</v>
      </c>
    </row>
    <row r="1046" spans="1:5" hidden="1" x14ac:dyDescent="0.25">
      <c r="A1046" s="11">
        <v>13</v>
      </c>
      <c r="B1046" s="11" t="s">
        <v>1975</v>
      </c>
      <c r="C1046" s="11">
        <v>1</v>
      </c>
      <c r="D1046" t="s">
        <v>1968</v>
      </c>
      <c r="E1046">
        <f>VLOOKUP(CONCATENATE(validProjetado[[#This Row],[Tipo]],validProjetado[[#This Row],[Destino]]),validConcreto!K:O,4)</f>
        <v>5.22</v>
      </c>
    </row>
    <row r="1047" spans="1:5" hidden="1" x14ac:dyDescent="0.25">
      <c r="A1047" s="11">
        <v>14</v>
      </c>
      <c r="B1047" s="11" t="s">
        <v>1975</v>
      </c>
      <c r="C1047" s="11">
        <v>1</v>
      </c>
      <c r="D1047" t="s">
        <v>1968</v>
      </c>
      <c r="E1047">
        <f>VLOOKUP(CONCATENATE(validProjetado[[#This Row],[Tipo]],validProjetado[[#This Row],[Destino]]),validConcreto!K:O,4)</f>
        <v>5.22</v>
      </c>
    </row>
    <row r="1048" spans="1:5" hidden="1" x14ac:dyDescent="0.25">
      <c r="A1048" s="11">
        <v>15</v>
      </c>
      <c r="B1048" s="11" t="s">
        <v>1975</v>
      </c>
      <c r="C1048" s="11">
        <v>1</v>
      </c>
      <c r="D1048" t="s">
        <v>1968</v>
      </c>
      <c r="E1048">
        <f>VLOOKUP(CONCATENATE(validProjetado[[#This Row],[Tipo]],validProjetado[[#This Row],[Destino]]),validConcreto!K:O,4)</f>
        <v>5.22</v>
      </c>
    </row>
    <row r="1049" spans="1:5" hidden="1" x14ac:dyDescent="0.25">
      <c r="A1049" s="11">
        <v>16</v>
      </c>
      <c r="B1049" s="11" t="s">
        <v>1975</v>
      </c>
      <c r="C1049" s="11">
        <v>1</v>
      </c>
      <c r="D1049" t="s">
        <v>1968</v>
      </c>
      <c r="E1049">
        <f>VLOOKUP(CONCATENATE(validProjetado[[#This Row],[Tipo]],validProjetado[[#This Row],[Destino]]),validConcreto!K:O,4)</f>
        <v>5.22</v>
      </c>
    </row>
    <row r="1050" spans="1:5" hidden="1" x14ac:dyDescent="0.25">
      <c r="A1050" s="11">
        <v>17</v>
      </c>
      <c r="B1050" s="11" t="s">
        <v>1975</v>
      </c>
      <c r="C1050" s="11">
        <v>1</v>
      </c>
      <c r="D1050" t="s">
        <v>1968</v>
      </c>
      <c r="E1050">
        <f>VLOOKUP(CONCATENATE(validProjetado[[#This Row],[Tipo]],validProjetado[[#This Row],[Destino]]),validConcreto!K:O,4)</f>
        <v>5.22</v>
      </c>
    </row>
    <row r="1051" spans="1:5" hidden="1" x14ac:dyDescent="0.25">
      <c r="A1051" s="11">
        <v>18</v>
      </c>
      <c r="B1051" s="11" t="s">
        <v>1975</v>
      </c>
      <c r="C1051" s="11">
        <v>1</v>
      </c>
      <c r="D1051" t="s">
        <v>1968</v>
      </c>
      <c r="E1051">
        <f>VLOOKUP(CONCATENATE(validProjetado[[#This Row],[Tipo]],validProjetado[[#This Row],[Destino]]),validConcreto!K:O,4)</f>
        <v>5.22</v>
      </c>
    </row>
    <row r="1052" spans="1:5" hidden="1" x14ac:dyDescent="0.25">
      <c r="A1052" s="11">
        <v>19</v>
      </c>
      <c r="B1052" s="11" t="s">
        <v>1975</v>
      </c>
      <c r="C1052" s="11">
        <v>1</v>
      </c>
      <c r="D1052" t="s">
        <v>1968</v>
      </c>
      <c r="E1052">
        <f>VLOOKUP(CONCATENATE(validProjetado[[#This Row],[Tipo]],validProjetado[[#This Row],[Destino]]),validConcreto!K:O,4)</f>
        <v>5.22</v>
      </c>
    </row>
    <row r="1053" spans="1:5" hidden="1" x14ac:dyDescent="0.25">
      <c r="A1053" s="11">
        <v>20</v>
      </c>
      <c r="B1053" s="11" t="s">
        <v>1975</v>
      </c>
      <c r="C1053" s="11">
        <v>1</v>
      </c>
      <c r="D1053" t="s">
        <v>1968</v>
      </c>
      <c r="E1053">
        <f>VLOOKUP(CONCATENATE(validProjetado[[#This Row],[Tipo]],validProjetado[[#This Row],[Destino]]),validConcreto!K:O,4)</f>
        <v>5.22</v>
      </c>
    </row>
    <row r="1054" spans="1:5" hidden="1" x14ac:dyDescent="0.25">
      <c r="A1054" s="11">
        <v>21</v>
      </c>
      <c r="B1054" s="11" t="s">
        <v>1975</v>
      </c>
      <c r="C1054" s="11">
        <v>1</v>
      </c>
      <c r="D1054" t="s">
        <v>1968</v>
      </c>
      <c r="E1054">
        <f>VLOOKUP(CONCATENATE(validProjetado[[#This Row],[Tipo]],validProjetado[[#This Row],[Destino]]),validConcreto!K:O,4)</f>
        <v>5.22</v>
      </c>
    </row>
    <row r="1055" spans="1:5" hidden="1" x14ac:dyDescent="0.25">
      <c r="A1055" s="11">
        <v>22</v>
      </c>
      <c r="B1055" s="11" t="s">
        <v>1975</v>
      </c>
      <c r="C1055" s="11">
        <v>1</v>
      </c>
      <c r="D1055" t="s">
        <v>1968</v>
      </c>
      <c r="E1055">
        <f>VLOOKUP(CONCATENATE(validProjetado[[#This Row],[Tipo]],validProjetado[[#This Row],[Destino]]),validConcreto!K:O,4)</f>
        <v>5.22</v>
      </c>
    </row>
    <row r="1056" spans="1:5" hidden="1" x14ac:dyDescent="0.25">
      <c r="A1056" s="11">
        <v>23</v>
      </c>
      <c r="B1056" s="11" t="s">
        <v>1975</v>
      </c>
      <c r="C1056" s="11">
        <v>1</v>
      </c>
      <c r="D1056" t="s">
        <v>1968</v>
      </c>
      <c r="E1056">
        <f>VLOOKUP(CONCATENATE(validProjetado[[#This Row],[Tipo]],validProjetado[[#This Row],[Destino]]),validConcreto!K:O,4)</f>
        <v>5.22</v>
      </c>
    </row>
    <row r="1057" spans="1:5" hidden="1" x14ac:dyDescent="0.25">
      <c r="A1057" s="11">
        <v>24</v>
      </c>
      <c r="B1057" s="11" t="s">
        <v>1975</v>
      </c>
      <c r="C1057" s="11">
        <v>1</v>
      </c>
      <c r="D1057" t="s">
        <v>1968</v>
      </c>
      <c r="E1057">
        <f>VLOOKUP(CONCATENATE(validProjetado[[#This Row],[Tipo]],validProjetado[[#This Row],[Destino]]),validConcreto!K:O,4)</f>
        <v>5.22</v>
      </c>
    </row>
    <row r="1058" spans="1:5" hidden="1" x14ac:dyDescent="0.25">
      <c r="A1058" s="11">
        <v>25</v>
      </c>
      <c r="B1058" s="11" t="s">
        <v>1975</v>
      </c>
      <c r="C1058" s="11">
        <v>1</v>
      </c>
      <c r="D1058" t="s">
        <v>1968</v>
      </c>
      <c r="E1058">
        <f>VLOOKUP(CONCATENATE(validProjetado[[#This Row],[Tipo]],validProjetado[[#This Row],[Destino]]),validConcreto!K:O,4)</f>
        <v>5.22</v>
      </c>
    </row>
    <row r="1059" spans="1:5" hidden="1" x14ac:dyDescent="0.25">
      <c r="A1059" s="11">
        <v>26</v>
      </c>
      <c r="B1059" s="11" t="s">
        <v>1975</v>
      </c>
      <c r="C1059" s="11">
        <v>1</v>
      </c>
      <c r="D1059" t="s">
        <v>1968</v>
      </c>
      <c r="E1059">
        <f>VLOOKUP(CONCATENATE(validProjetado[[#This Row],[Tipo]],validProjetado[[#This Row],[Destino]]),validConcreto!K:O,4)</f>
        <v>5.22</v>
      </c>
    </row>
    <row r="1060" spans="1:5" hidden="1" x14ac:dyDescent="0.25">
      <c r="A1060" s="11">
        <v>27</v>
      </c>
      <c r="B1060" s="11" t="s">
        <v>1975</v>
      </c>
      <c r="C1060" s="11">
        <v>2</v>
      </c>
      <c r="D1060" t="s">
        <v>1968</v>
      </c>
      <c r="E1060">
        <f>VLOOKUP(CONCATENATE(validProjetado[[#This Row],[Tipo]],validProjetado[[#This Row],[Destino]]),validConcreto!K:O,4)</f>
        <v>6.38</v>
      </c>
    </row>
    <row r="1061" spans="1:5" hidden="1" x14ac:dyDescent="0.25">
      <c r="A1061" s="11">
        <v>28</v>
      </c>
      <c r="B1061" s="11" t="s">
        <v>1975</v>
      </c>
      <c r="C1061" s="11">
        <v>2</v>
      </c>
      <c r="D1061" t="s">
        <v>1968</v>
      </c>
      <c r="E1061">
        <f>VLOOKUP(CONCATENATE(validProjetado[[#This Row],[Tipo]],validProjetado[[#This Row],[Destino]]),validConcreto!K:O,4)</f>
        <v>6.38</v>
      </c>
    </row>
    <row r="1062" spans="1:5" hidden="1" x14ac:dyDescent="0.25">
      <c r="A1062" s="11">
        <v>29</v>
      </c>
      <c r="B1062" s="11" t="s">
        <v>1975</v>
      </c>
      <c r="C1062" s="11">
        <v>2</v>
      </c>
      <c r="D1062" t="s">
        <v>1968</v>
      </c>
      <c r="E1062">
        <f>VLOOKUP(CONCATENATE(validProjetado[[#This Row],[Tipo]],validProjetado[[#This Row],[Destino]]),validConcreto!K:O,4)</f>
        <v>6.38</v>
      </c>
    </row>
    <row r="1063" spans="1:5" hidden="1" x14ac:dyDescent="0.25">
      <c r="A1063" s="11">
        <v>30</v>
      </c>
      <c r="B1063" s="11" t="s">
        <v>1975</v>
      </c>
      <c r="C1063" s="11">
        <v>2</v>
      </c>
      <c r="D1063" t="s">
        <v>1968</v>
      </c>
      <c r="E1063">
        <f>VLOOKUP(CONCATENATE(validProjetado[[#This Row],[Tipo]],validProjetado[[#This Row],[Destino]]),validConcreto!K:O,4)</f>
        <v>6.38</v>
      </c>
    </row>
    <row r="1064" spans="1:5" hidden="1" x14ac:dyDescent="0.25">
      <c r="A1064" s="11">
        <v>1</v>
      </c>
      <c r="B1064" s="11" t="s">
        <v>1979</v>
      </c>
      <c r="C1064" s="11">
        <v>1</v>
      </c>
      <c r="D1064" t="s">
        <v>1968</v>
      </c>
      <c r="E1064">
        <f>VLOOKUP(CONCATENATE(validProjetado[[#This Row],[Tipo]],validProjetado[[#This Row],[Destino]]),validConcreto!K:O,4)</f>
        <v>5.22</v>
      </c>
    </row>
    <row r="1065" spans="1:5" hidden="1" x14ac:dyDescent="0.25">
      <c r="A1065" s="11">
        <v>2</v>
      </c>
      <c r="B1065" s="11" t="s">
        <v>1979</v>
      </c>
      <c r="C1065" s="11">
        <v>1</v>
      </c>
      <c r="D1065" t="s">
        <v>1968</v>
      </c>
      <c r="E1065">
        <f>VLOOKUP(CONCATENATE(validProjetado[[#This Row],[Tipo]],validProjetado[[#This Row],[Destino]]),validConcreto!K:O,4)</f>
        <v>5.22</v>
      </c>
    </row>
    <row r="1066" spans="1:5" hidden="1" x14ac:dyDescent="0.25">
      <c r="A1066" s="11">
        <v>3</v>
      </c>
      <c r="B1066" s="11" t="s">
        <v>1979</v>
      </c>
      <c r="C1066" s="11">
        <v>1</v>
      </c>
      <c r="D1066" t="s">
        <v>1968</v>
      </c>
      <c r="E1066">
        <f>VLOOKUP(CONCATENATE(validProjetado[[#This Row],[Tipo]],validProjetado[[#This Row],[Destino]]),validConcreto!K:O,4)</f>
        <v>5.22</v>
      </c>
    </row>
    <row r="1067" spans="1:5" hidden="1" x14ac:dyDescent="0.25">
      <c r="A1067" s="11">
        <v>4</v>
      </c>
      <c r="B1067" s="11" t="s">
        <v>1979</v>
      </c>
      <c r="C1067" s="11">
        <v>1</v>
      </c>
      <c r="D1067" t="s">
        <v>1968</v>
      </c>
      <c r="E1067">
        <f>VLOOKUP(CONCATENATE(validProjetado[[#This Row],[Tipo]],validProjetado[[#This Row],[Destino]]),validConcreto!K:O,4)</f>
        <v>5.22</v>
      </c>
    </row>
    <row r="1068" spans="1:5" hidden="1" x14ac:dyDescent="0.25">
      <c r="A1068" s="11">
        <v>5</v>
      </c>
      <c r="B1068" s="11" t="s">
        <v>1979</v>
      </c>
      <c r="C1068" s="11">
        <v>1</v>
      </c>
      <c r="D1068" t="s">
        <v>1968</v>
      </c>
      <c r="E1068">
        <f>VLOOKUP(CONCATENATE(validProjetado[[#This Row],[Tipo]],validProjetado[[#This Row],[Destino]]),validConcreto!K:O,4)</f>
        <v>5.22</v>
      </c>
    </row>
    <row r="1069" spans="1:5" hidden="1" x14ac:dyDescent="0.25">
      <c r="A1069" s="11">
        <v>6</v>
      </c>
      <c r="B1069" s="11" t="s">
        <v>1979</v>
      </c>
      <c r="C1069" s="11">
        <v>1</v>
      </c>
      <c r="D1069" t="s">
        <v>1968</v>
      </c>
      <c r="E1069">
        <f>VLOOKUP(CONCATENATE(validProjetado[[#This Row],[Tipo]],validProjetado[[#This Row],[Destino]]),validConcreto!K:O,4)</f>
        <v>5.22</v>
      </c>
    </row>
    <row r="1070" spans="1:5" hidden="1" x14ac:dyDescent="0.25">
      <c r="A1070" s="11">
        <v>7</v>
      </c>
      <c r="B1070" s="11" t="s">
        <v>1979</v>
      </c>
      <c r="C1070" s="11">
        <v>1</v>
      </c>
      <c r="D1070" t="s">
        <v>1968</v>
      </c>
      <c r="E1070">
        <f>VLOOKUP(CONCATENATE(validProjetado[[#This Row],[Tipo]],validProjetado[[#This Row],[Destino]]),validConcreto!K:O,4)</f>
        <v>5.22</v>
      </c>
    </row>
    <row r="1071" spans="1:5" hidden="1" x14ac:dyDescent="0.25">
      <c r="A1071" s="11">
        <v>8</v>
      </c>
      <c r="B1071" s="11" t="s">
        <v>1979</v>
      </c>
      <c r="C1071" s="11">
        <v>1</v>
      </c>
      <c r="D1071" t="s">
        <v>1968</v>
      </c>
      <c r="E1071">
        <f>VLOOKUP(CONCATENATE(validProjetado[[#This Row],[Tipo]],validProjetado[[#This Row],[Destino]]),validConcreto!K:O,4)</f>
        <v>5.22</v>
      </c>
    </row>
    <row r="1072" spans="1:5" hidden="1" x14ac:dyDescent="0.25">
      <c r="A1072" s="11">
        <v>9</v>
      </c>
      <c r="B1072" s="11" t="s">
        <v>1979</v>
      </c>
      <c r="C1072" s="11">
        <v>1</v>
      </c>
      <c r="D1072" t="s">
        <v>1968</v>
      </c>
      <c r="E1072">
        <f>VLOOKUP(CONCATENATE(validProjetado[[#This Row],[Tipo]],validProjetado[[#This Row],[Destino]]),validConcreto!K:O,4)</f>
        <v>5.22</v>
      </c>
    </row>
    <row r="1073" spans="1:5" hidden="1" x14ac:dyDescent="0.25">
      <c r="A1073" s="11">
        <v>10</v>
      </c>
      <c r="B1073" s="11" t="s">
        <v>1979</v>
      </c>
      <c r="C1073" s="11">
        <v>1</v>
      </c>
      <c r="D1073" t="s">
        <v>1968</v>
      </c>
      <c r="E1073">
        <f>VLOOKUP(CONCATENATE(validProjetado[[#This Row],[Tipo]],validProjetado[[#This Row],[Destino]]),validConcreto!K:O,4)</f>
        <v>5.22</v>
      </c>
    </row>
    <row r="1074" spans="1:5" hidden="1" x14ac:dyDescent="0.25">
      <c r="A1074" s="11">
        <v>11</v>
      </c>
      <c r="B1074" s="11" t="s">
        <v>1979</v>
      </c>
      <c r="C1074" s="11">
        <v>1</v>
      </c>
      <c r="D1074" t="s">
        <v>1968</v>
      </c>
      <c r="E1074">
        <f>VLOOKUP(CONCATENATE(validProjetado[[#This Row],[Tipo]],validProjetado[[#This Row],[Destino]]),validConcreto!K:O,4)</f>
        <v>5.22</v>
      </c>
    </row>
    <row r="1075" spans="1:5" hidden="1" x14ac:dyDescent="0.25">
      <c r="A1075" s="11">
        <v>12</v>
      </c>
      <c r="B1075" s="11" t="s">
        <v>1979</v>
      </c>
      <c r="C1075" s="11">
        <v>1</v>
      </c>
      <c r="D1075" t="s">
        <v>1968</v>
      </c>
      <c r="E1075">
        <f>VLOOKUP(CONCATENATE(validProjetado[[#This Row],[Tipo]],validProjetado[[#This Row],[Destino]]),validConcreto!K:O,4)</f>
        <v>5.22</v>
      </c>
    </row>
    <row r="1076" spans="1:5" hidden="1" x14ac:dyDescent="0.25">
      <c r="A1076" s="11">
        <v>13</v>
      </c>
      <c r="B1076" s="11" t="s">
        <v>1979</v>
      </c>
      <c r="C1076" s="11">
        <v>1</v>
      </c>
      <c r="D1076" t="s">
        <v>1968</v>
      </c>
      <c r="E1076">
        <f>VLOOKUP(CONCATENATE(validProjetado[[#This Row],[Tipo]],validProjetado[[#This Row],[Destino]]),validConcreto!K:O,4)</f>
        <v>5.22</v>
      </c>
    </row>
    <row r="1077" spans="1:5" hidden="1" x14ac:dyDescent="0.25">
      <c r="A1077" s="11">
        <v>14</v>
      </c>
      <c r="B1077" s="11" t="s">
        <v>1979</v>
      </c>
      <c r="C1077" s="11">
        <v>1</v>
      </c>
      <c r="D1077" t="s">
        <v>1968</v>
      </c>
      <c r="E1077">
        <f>VLOOKUP(CONCATENATE(validProjetado[[#This Row],[Tipo]],validProjetado[[#This Row],[Destino]]),validConcreto!K:O,4)</f>
        <v>5.22</v>
      </c>
    </row>
    <row r="1078" spans="1:5" hidden="1" x14ac:dyDescent="0.25">
      <c r="A1078" s="11">
        <v>15</v>
      </c>
      <c r="B1078" s="11" t="s">
        <v>1979</v>
      </c>
      <c r="C1078" s="11">
        <v>1</v>
      </c>
      <c r="D1078" t="s">
        <v>1968</v>
      </c>
      <c r="E1078">
        <f>VLOOKUP(CONCATENATE(validProjetado[[#This Row],[Tipo]],validProjetado[[#This Row],[Destino]]),validConcreto!K:O,4)</f>
        <v>5.22</v>
      </c>
    </row>
    <row r="1079" spans="1:5" hidden="1" x14ac:dyDescent="0.25">
      <c r="A1079" s="11">
        <v>16</v>
      </c>
      <c r="B1079" s="11" t="s">
        <v>1979</v>
      </c>
      <c r="C1079" s="11">
        <v>1</v>
      </c>
      <c r="D1079" t="s">
        <v>1968</v>
      </c>
      <c r="E1079">
        <f>VLOOKUP(CONCATENATE(validProjetado[[#This Row],[Tipo]],validProjetado[[#This Row],[Destino]]),validConcreto!K:O,4)</f>
        <v>5.22</v>
      </c>
    </row>
    <row r="1080" spans="1:5" hidden="1" x14ac:dyDescent="0.25">
      <c r="A1080" s="11">
        <v>17</v>
      </c>
      <c r="B1080" s="11" t="s">
        <v>1979</v>
      </c>
      <c r="C1080" s="11">
        <v>1</v>
      </c>
      <c r="D1080" t="s">
        <v>1968</v>
      </c>
      <c r="E1080">
        <f>VLOOKUP(CONCATENATE(validProjetado[[#This Row],[Tipo]],validProjetado[[#This Row],[Destino]]),validConcreto!K:O,4)</f>
        <v>5.22</v>
      </c>
    </row>
    <row r="1081" spans="1:5" hidden="1" x14ac:dyDescent="0.25">
      <c r="A1081" s="11">
        <v>18</v>
      </c>
      <c r="B1081" s="11" t="s">
        <v>1979</v>
      </c>
      <c r="C1081" s="11">
        <v>1</v>
      </c>
      <c r="D1081" t="s">
        <v>1968</v>
      </c>
      <c r="E1081">
        <f>VLOOKUP(CONCATENATE(validProjetado[[#This Row],[Tipo]],validProjetado[[#This Row],[Destino]]),validConcreto!K:O,4)</f>
        <v>5.22</v>
      </c>
    </row>
    <row r="1082" spans="1:5" hidden="1" x14ac:dyDescent="0.25">
      <c r="A1082" s="11">
        <v>19</v>
      </c>
      <c r="B1082" s="11" t="s">
        <v>1979</v>
      </c>
      <c r="C1082" s="11">
        <v>1</v>
      </c>
      <c r="D1082" t="s">
        <v>1968</v>
      </c>
      <c r="E1082">
        <f>VLOOKUP(CONCATENATE(validProjetado[[#This Row],[Tipo]],validProjetado[[#This Row],[Destino]]),validConcreto!K:O,4)</f>
        <v>5.22</v>
      </c>
    </row>
    <row r="1083" spans="1:5" hidden="1" x14ac:dyDescent="0.25">
      <c r="A1083" s="11">
        <v>20</v>
      </c>
      <c r="B1083" s="11" t="s">
        <v>1979</v>
      </c>
      <c r="C1083" s="11">
        <v>1</v>
      </c>
      <c r="D1083" t="s">
        <v>1968</v>
      </c>
      <c r="E1083">
        <f>VLOOKUP(CONCATENATE(validProjetado[[#This Row],[Tipo]],validProjetado[[#This Row],[Destino]]),validConcreto!K:O,4)</f>
        <v>5.22</v>
      </c>
    </row>
    <row r="1084" spans="1:5" hidden="1" x14ac:dyDescent="0.25">
      <c r="A1084" s="11">
        <v>21</v>
      </c>
      <c r="B1084" s="11" t="s">
        <v>1979</v>
      </c>
      <c r="C1084" s="11">
        <v>1</v>
      </c>
      <c r="D1084" t="s">
        <v>1968</v>
      </c>
      <c r="E1084">
        <f>VLOOKUP(CONCATENATE(validProjetado[[#This Row],[Tipo]],validProjetado[[#This Row],[Destino]]),validConcreto!K:O,4)</f>
        <v>5.22</v>
      </c>
    </row>
    <row r="1085" spans="1:5" hidden="1" x14ac:dyDescent="0.25">
      <c r="A1085" s="11">
        <v>22</v>
      </c>
      <c r="B1085" s="11" t="s">
        <v>1979</v>
      </c>
      <c r="C1085" s="11">
        <v>1</v>
      </c>
      <c r="D1085" t="s">
        <v>1968</v>
      </c>
      <c r="E1085">
        <f>VLOOKUP(CONCATENATE(validProjetado[[#This Row],[Tipo]],validProjetado[[#This Row],[Destino]]),validConcreto!K:O,4)</f>
        <v>5.22</v>
      </c>
    </row>
    <row r="1086" spans="1:5" hidden="1" x14ac:dyDescent="0.25">
      <c r="A1086" s="11">
        <v>23</v>
      </c>
      <c r="B1086" s="11" t="s">
        <v>1979</v>
      </c>
      <c r="C1086" s="11">
        <v>1</v>
      </c>
      <c r="D1086" t="s">
        <v>1968</v>
      </c>
      <c r="E1086">
        <f>VLOOKUP(CONCATENATE(validProjetado[[#This Row],[Tipo]],validProjetado[[#This Row],[Destino]]),validConcreto!K:O,4)</f>
        <v>5.22</v>
      </c>
    </row>
    <row r="1087" spans="1:5" hidden="1" x14ac:dyDescent="0.25">
      <c r="A1087" s="11">
        <v>24</v>
      </c>
      <c r="B1087" s="11" t="s">
        <v>1979</v>
      </c>
      <c r="C1087" s="11">
        <v>1</v>
      </c>
      <c r="D1087" t="s">
        <v>1968</v>
      </c>
      <c r="E1087">
        <f>VLOOKUP(CONCATENATE(validProjetado[[#This Row],[Tipo]],validProjetado[[#This Row],[Destino]]),validConcreto!K:O,4)</f>
        <v>5.22</v>
      </c>
    </row>
    <row r="1088" spans="1:5" hidden="1" x14ac:dyDescent="0.25">
      <c r="A1088" s="11">
        <v>25</v>
      </c>
      <c r="B1088" s="11" t="s">
        <v>1979</v>
      </c>
      <c r="C1088" s="11">
        <v>1</v>
      </c>
      <c r="D1088" t="s">
        <v>1968</v>
      </c>
      <c r="E1088">
        <f>VLOOKUP(CONCATENATE(validProjetado[[#This Row],[Tipo]],validProjetado[[#This Row],[Destino]]),validConcreto!K:O,4)</f>
        <v>5.22</v>
      </c>
    </row>
    <row r="1089" spans="1:5" hidden="1" x14ac:dyDescent="0.25">
      <c r="A1089" s="11">
        <v>26</v>
      </c>
      <c r="B1089" s="11" t="s">
        <v>1979</v>
      </c>
      <c r="C1089" s="11">
        <v>1</v>
      </c>
      <c r="D1089" t="s">
        <v>1968</v>
      </c>
      <c r="E1089">
        <f>VLOOKUP(CONCATENATE(validProjetado[[#This Row],[Tipo]],validProjetado[[#This Row],[Destino]]),validConcreto!K:O,4)</f>
        <v>5.22</v>
      </c>
    </row>
    <row r="1090" spans="1:5" hidden="1" x14ac:dyDescent="0.25">
      <c r="A1090" s="11">
        <v>27</v>
      </c>
      <c r="B1090" s="11" t="s">
        <v>1979</v>
      </c>
      <c r="C1090" s="11">
        <v>1</v>
      </c>
      <c r="D1090" t="s">
        <v>1968</v>
      </c>
      <c r="E1090">
        <f>VLOOKUP(CONCATENATE(validProjetado[[#This Row],[Tipo]],validProjetado[[#This Row],[Destino]]),validConcreto!K:O,4)</f>
        <v>5.22</v>
      </c>
    </row>
    <row r="1091" spans="1:5" hidden="1" x14ac:dyDescent="0.25">
      <c r="A1091" s="11">
        <v>28</v>
      </c>
      <c r="B1091" s="11" t="s">
        <v>1979</v>
      </c>
      <c r="C1091" s="11">
        <v>1</v>
      </c>
      <c r="D1091" t="s">
        <v>1968</v>
      </c>
      <c r="E1091">
        <f>VLOOKUP(CONCATENATE(validProjetado[[#This Row],[Tipo]],validProjetado[[#This Row],[Destino]]),validConcreto!K:O,4)</f>
        <v>5.22</v>
      </c>
    </row>
    <row r="1092" spans="1:5" hidden="1" x14ac:dyDescent="0.25">
      <c r="A1092" s="11">
        <v>29</v>
      </c>
      <c r="B1092" s="11" t="s">
        <v>1979</v>
      </c>
      <c r="C1092" s="11">
        <v>2</v>
      </c>
      <c r="D1092" t="s">
        <v>1968</v>
      </c>
      <c r="E1092">
        <f>VLOOKUP(CONCATENATE(validProjetado[[#This Row],[Tipo]],validProjetado[[#This Row],[Destino]]),validConcreto!K:O,4)</f>
        <v>6.38</v>
      </c>
    </row>
    <row r="1093" spans="1:5" hidden="1" x14ac:dyDescent="0.25">
      <c r="A1093" s="11">
        <v>30</v>
      </c>
      <c r="B1093" s="11" t="s">
        <v>1979</v>
      </c>
      <c r="C1093" s="11">
        <v>2</v>
      </c>
      <c r="D1093" t="s">
        <v>1968</v>
      </c>
      <c r="E1093">
        <f>VLOOKUP(CONCATENATE(validProjetado[[#This Row],[Tipo]],validProjetado[[#This Row],[Destino]]),validConcreto!K:O,4)</f>
        <v>6.38</v>
      </c>
    </row>
    <row r="1094" spans="1:5" hidden="1" x14ac:dyDescent="0.25">
      <c r="A1094" s="11">
        <v>31</v>
      </c>
      <c r="B1094" s="11" t="s">
        <v>1979</v>
      </c>
      <c r="C1094" s="11">
        <v>2</v>
      </c>
      <c r="D1094" t="s">
        <v>1968</v>
      </c>
      <c r="E1094">
        <f>VLOOKUP(CONCATENATE(validProjetado[[#This Row],[Tipo]],validProjetado[[#This Row],[Destino]]),validConcreto!K:O,4)</f>
        <v>6.38</v>
      </c>
    </row>
    <row r="1095" spans="1:5" hidden="1" x14ac:dyDescent="0.25">
      <c r="A1095" s="11">
        <v>32</v>
      </c>
      <c r="B1095" s="11" t="s">
        <v>1979</v>
      </c>
      <c r="C1095" s="11">
        <v>2</v>
      </c>
      <c r="D1095" t="s">
        <v>1968</v>
      </c>
      <c r="E1095">
        <f>VLOOKUP(CONCATENATE(validProjetado[[#This Row],[Tipo]],validProjetado[[#This Row],[Destino]]),validConcreto!K:O,4)</f>
        <v>6.38</v>
      </c>
    </row>
    <row r="1096" spans="1:5" hidden="1" x14ac:dyDescent="0.25">
      <c r="A1096" s="11">
        <v>1</v>
      </c>
      <c r="B1096" s="11" t="s">
        <v>1985</v>
      </c>
      <c r="C1096" s="11">
        <v>1</v>
      </c>
      <c r="D1096" t="s">
        <v>1968</v>
      </c>
      <c r="E1096">
        <f>VLOOKUP(CONCATENATE(validProjetado[[#This Row],[Tipo]],validProjetado[[#This Row],[Destino]]),validConcreto!K:O,4)</f>
        <v>5.22</v>
      </c>
    </row>
    <row r="1097" spans="1:5" hidden="1" x14ac:dyDescent="0.25">
      <c r="A1097" s="11">
        <v>2</v>
      </c>
      <c r="B1097" s="11" t="s">
        <v>1985</v>
      </c>
      <c r="C1097" s="11">
        <v>2</v>
      </c>
      <c r="D1097" t="s">
        <v>1968</v>
      </c>
      <c r="E1097">
        <f>VLOOKUP(CONCATENATE(validProjetado[[#This Row],[Tipo]],validProjetado[[#This Row],[Destino]]),validConcreto!K:O,4)</f>
        <v>6.38</v>
      </c>
    </row>
    <row r="1098" spans="1:5" hidden="1" x14ac:dyDescent="0.25">
      <c r="A1098" s="11">
        <v>3</v>
      </c>
      <c r="B1098" s="11" t="s">
        <v>1985</v>
      </c>
      <c r="C1098" s="11">
        <v>1</v>
      </c>
      <c r="D1098" t="s">
        <v>1968</v>
      </c>
      <c r="E1098">
        <f>VLOOKUP(CONCATENATE(validProjetado[[#This Row],[Tipo]],validProjetado[[#This Row],[Destino]]),validConcreto!K:O,4)</f>
        <v>5.22</v>
      </c>
    </row>
    <row r="1099" spans="1:5" hidden="1" x14ac:dyDescent="0.25">
      <c r="A1099" s="11">
        <v>4</v>
      </c>
      <c r="B1099" s="11" t="s">
        <v>1985</v>
      </c>
      <c r="C1099" s="11">
        <v>2</v>
      </c>
      <c r="D1099" t="s">
        <v>1968</v>
      </c>
      <c r="E1099">
        <f>VLOOKUP(CONCATENATE(validProjetado[[#This Row],[Tipo]],validProjetado[[#This Row],[Destino]]),validConcreto!K:O,4)</f>
        <v>6.38</v>
      </c>
    </row>
    <row r="1100" spans="1:5" hidden="1" x14ac:dyDescent="0.25">
      <c r="A1100" s="11">
        <v>5</v>
      </c>
      <c r="B1100" s="11" t="s">
        <v>1985</v>
      </c>
      <c r="C1100" s="11">
        <v>1</v>
      </c>
      <c r="D1100" t="s">
        <v>1968</v>
      </c>
      <c r="E1100">
        <f>VLOOKUP(CONCATENATE(validProjetado[[#This Row],[Tipo]],validProjetado[[#This Row],[Destino]]),validConcreto!K:O,4)</f>
        <v>5.22</v>
      </c>
    </row>
    <row r="1101" spans="1:5" hidden="1" x14ac:dyDescent="0.25">
      <c r="A1101" s="11">
        <v>6</v>
      </c>
      <c r="B1101" s="11" t="s">
        <v>1985</v>
      </c>
      <c r="C1101" s="11">
        <v>2</v>
      </c>
      <c r="D1101" t="s">
        <v>1968</v>
      </c>
      <c r="E1101">
        <f>VLOOKUP(CONCATENATE(validProjetado[[#This Row],[Tipo]],validProjetado[[#This Row],[Destino]]),validConcreto!K:O,4)</f>
        <v>6.38</v>
      </c>
    </row>
    <row r="1102" spans="1:5" hidden="1" x14ac:dyDescent="0.25">
      <c r="A1102" s="11">
        <v>7</v>
      </c>
      <c r="B1102" s="11" t="s">
        <v>1985</v>
      </c>
      <c r="C1102" s="11">
        <v>1</v>
      </c>
      <c r="D1102" t="s">
        <v>1968</v>
      </c>
      <c r="E1102">
        <f>VLOOKUP(CONCATENATE(validProjetado[[#This Row],[Tipo]],validProjetado[[#This Row],[Destino]]),validConcreto!K:O,4)</f>
        <v>5.22</v>
      </c>
    </row>
    <row r="1103" spans="1:5" hidden="1" x14ac:dyDescent="0.25">
      <c r="A1103" s="11">
        <v>8</v>
      </c>
      <c r="B1103" s="11" t="s">
        <v>1985</v>
      </c>
      <c r="C1103" s="11">
        <v>2</v>
      </c>
      <c r="D1103" t="s">
        <v>1968</v>
      </c>
      <c r="E1103">
        <f>VLOOKUP(CONCATENATE(validProjetado[[#This Row],[Tipo]],validProjetado[[#This Row],[Destino]]),validConcreto!K:O,4)</f>
        <v>6.38</v>
      </c>
    </row>
    <row r="1104" spans="1:5" hidden="1" x14ac:dyDescent="0.25">
      <c r="A1104" s="11">
        <v>9</v>
      </c>
      <c r="B1104" s="11" t="s">
        <v>1985</v>
      </c>
      <c r="C1104" s="11">
        <v>1</v>
      </c>
      <c r="D1104" t="s">
        <v>1968</v>
      </c>
      <c r="E1104">
        <f>VLOOKUP(CONCATENATE(validProjetado[[#This Row],[Tipo]],validProjetado[[#This Row],[Destino]]),validConcreto!K:O,4)</f>
        <v>5.22</v>
      </c>
    </row>
    <row r="1105" spans="1:5" hidden="1" x14ac:dyDescent="0.25">
      <c r="A1105" s="11">
        <v>10</v>
      </c>
      <c r="B1105" s="11" t="s">
        <v>1985</v>
      </c>
      <c r="C1105" s="11">
        <v>2</v>
      </c>
      <c r="D1105" t="s">
        <v>1968</v>
      </c>
      <c r="E1105">
        <f>VLOOKUP(CONCATENATE(validProjetado[[#This Row],[Tipo]],validProjetado[[#This Row],[Destino]]),validConcreto!K:O,4)</f>
        <v>6.38</v>
      </c>
    </row>
    <row r="1106" spans="1:5" hidden="1" x14ac:dyDescent="0.25">
      <c r="A1106" s="11">
        <v>11</v>
      </c>
      <c r="B1106" s="11" t="s">
        <v>1985</v>
      </c>
      <c r="C1106" s="11">
        <v>1</v>
      </c>
      <c r="D1106" t="s">
        <v>1968</v>
      </c>
      <c r="E1106">
        <f>VLOOKUP(CONCATENATE(validProjetado[[#This Row],[Tipo]],validProjetado[[#This Row],[Destino]]),validConcreto!K:O,4)</f>
        <v>5.22</v>
      </c>
    </row>
    <row r="1107" spans="1:5" hidden="1" x14ac:dyDescent="0.25">
      <c r="A1107" s="11">
        <v>12</v>
      </c>
      <c r="B1107" s="11" t="s">
        <v>1985</v>
      </c>
      <c r="C1107" s="11">
        <v>2</v>
      </c>
      <c r="D1107" t="s">
        <v>1968</v>
      </c>
      <c r="E1107">
        <f>VLOOKUP(CONCATENATE(validProjetado[[#This Row],[Tipo]],validProjetado[[#This Row],[Destino]]),validConcreto!K:O,4)</f>
        <v>6.38</v>
      </c>
    </row>
    <row r="1108" spans="1:5" hidden="1" x14ac:dyDescent="0.25">
      <c r="A1108" s="11">
        <v>13</v>
      </c>
      <c r="B1108" s="11" t="s">
        <v>1985</v>
      </c>
      <c r="C1108" s="11">
        <v>1</v>
      </c>
      <c r="D1108" t="s">
        <v>1968</v>
      </c>
      <c r="E1108">
        <f>VLOOKUP(CONCATENATE(validProjetado[[#This Row],[Tipo]],validProjetado[[#This Row],[Destino]]),validConcreto!K:O,4)</f>
        <v>5.22</v>
      </c>
    </row>
    <row r="1109" spans="1:5" hidden="1" x14ac:dyDescent="0.25">
      <c r="A1109" s="11">
        <v>14</v>
      </c>
      <c r="B1109" s="11" t="s">
        <v>1985</v>
      </c>
      <c r="C1109" s="11">
        <v>2</v>
      </c>
      <c r="D1109" t="s">
        <v>1968</v>
      </c>
      <c r="E1109">
        <f>VLOOKUP(CONCATENATE(validProjetado[[#This Row],[Tipo]],validProjetado[[#This Row],[Destino]]),validConcreto!K:O,4)</f>
        <v>6.38</v>
      </c>
    </row>
    <row r="1110" spans="1:5" hidden="1" x14ac:dyDescent="0.25">
      <c r="A1110" s="11">
        <v>15</v>
      </c>
      <c r="B1110" s="11" t="s">
        <v>1985</v>
      </c>
      <c r="C1110" s="11">
        <v>1</v>
      </c>
      <c r="D1110" t="s">
        <v>1968</v>
      </c>
      <c r="E1110">
        <f>VLOOKUP(CONCATENATE(validProjetado[[#This Row],[Tipo]],validProjetado[[#This Row],[Destino]]),validConcreto!K:O,4)</f>
        <v>5.22</v>
      </c>
    </row>
    <row r="1111" spans="1:5" hidden="1" x14ac:dyDescent="0.25">
      <c r="A1111" s="11">
        <v>16</v>
      </c>
      <c r="B1111" s="11" t="s">
        <v>1985</v>
      </c>
      <c r="C1111" s="11">
        <v>2</v>
      </c>
      <c r="D1111" t="s">
        <v>1968</v>
      </c>
      <c r="E1111">
        <f>VLOOKUP(CONCATENATE(validProjetado[[#This Row],[Tipo]],validProjetado[[#This Row],[Destino]]),validConcreto!K:O,4)</f>
        <v>6.38</v>
      </c>
    </row>
    <row r="1112" spans="1:5" hidden="1" x14ac:dyDescent="0.25">
      <c r="A1112" s="11">
        <v>17</v>
      </c>
      <c r="B1112" s="11" t="s">
        <v>1985</v>
      </c>
      <c r="C1112" s="11">
        <v>1</v>
      </c>
      <c r="D1112" t="s">
        <v>1968</v>
      </c>
      <c r="E1112">
        <f>VLOOKUP(CONCATENATE(validProjetado[[#This Row],[Tipo]],validProjetado[[#This Row],[Destino]]),validConcreto!K:O,4)</f>
        <v>5.22</v>
      </c>
    </row>
    <row r="1113" spans="1:5" hidden="1" x14ac:dyDescent="0.25">
      <c r="A1113" s="11">
        <v>1</v>
      </c>
      <c r="B1113" s="11" t="s">
        <v>1989</v>
      </c>
      <c r="C1113" s="11">
        <v>2</v>
      </c>
      <c r="D1113" t="s">
        <v>1968</v>
      </c>
      <c r="E1113">
        <f>VLOOKUP(CONCATENATE(validProjetado[[#This Row],[Tipo]],validProjetado[[#This Row],[Destino]]),validConcreto!K:O,4)</f>
        <v>6.38</v>
      </c>
    </row>
    <row r="1114" spans="1:5" hidden="1" x14ac:dyDescent="0.25">
      <c r="A1114" s="11">
        <v>2</v>
      </c>
      <c r="B1114" s="11" t="s">
        <v>1989</v>
      </c>
      <c r="C1114" s="11">
        <v>1</v>
      </c>
      <c r="D1114" t="s">
        <v>1968</v>
      </c>
      <c r="E1114">
        <f>VLOOKUP(CONCATENATE(validProjetado[[#This Row],[Tipo]],validProjetado[[#This Row],[Destino]]),validConcreto!K:O,4)</f>
        <v>5.22</v>
      </c>
    </row>
    <row r="1115" spans="1:5" hidden="1" x14ac:dyDescent="0.25">
      <c r="A1115" s="11">
        <v>3</v>
      </c>
      <c r="B1115" s="11" t="s">
        <v>1989</v>
      </c>
      <c r="C1115" s="11">
        <v>2</v>
      </c>
      <c r="D1115" t="s">
        <v>1968</v>
      </c>
      <c r="E1115">
        <f>VLOOKUP(CONCATENATE(validProjetado[[#This Row],[Tipo]],validProjetado[[#This Row],[Destino]]),validConcreto!K:O,4)</f>
        <v>6.38</v>
      </c>
    </row>
    <row r="1116" spans="1:5" hidden="1" x14ac:dyDescent="0.25">
      <c r="A1116" s="11">
        <v>4</v>
      </c>
      <c r="B1116" s="11" t="s">
        <v>1989</v>
      </c>
      <c r="C1116" s="11">
        <v>1</v>
      </c>
      <c r="D1116" t="s">
        <v>1968</v>
      </c>
      <c r="E1116">
        <f>VLOOKUP(CONCATENATE(validProjetado[[#This Row],[Tipo]],validProjetado[[#This Row],[Destino]]),validConcreto!K:O,4)</f>
        <v>5.22</v>
      </c>
    </row>
    <row r="1117" spans="1:5" hidden="1" x14ac:dyDescent="0.25">
      <c r="A1117" s="11">
        <v>5</v>
      </c>
      <c r="B1117" s="11" t="s">
        <v>1989</v>
      </c>
      <c r="C1117" s="11">
        <v>2</v>
      </c>
      <c r="D1117" t="s">
        <v>1968</v>
      </c>
      <c r="E1117">
        <f>VLOOKUP(CONCATENATE(validProjetado[[#This Row],[Tipo]],validProjetado[[#This Row],[Destino]]),validConcreto!K:O,4)</f>
        <v>6.38</v>
      </c>
    </row>
    <row r="1118" spans="1:5" hidden="1" x14ac:dyDescent="0.25">
      <c r="A1118" s="11">
        <v>6</v>
      </c>
      <c r="B1118" s="11" t="s">
        <v>1989</v>
      </c>
      <c r="C1118" s="11">
        <v>1</v>
      </c>
      <c r="D1118" t="s">
        <v>1968</v>
      </c>
      <c r="E1118">
        <f>VLOOKUP(CONCATENATE(validProjetado[[#This Row],[Tipo]],validProjetado[[#This Row],[Destino]]),validConcreto!K:O,4)</f>
        <v>5.22</v>
      </c>
    </row>
    <row r="1119" spans="1:5" hidden="1" x14ac:dyDescent="0.25">
      <c r="A1119" s="11">
        <v>7</v>
      </c>
      <c r="B1119" s="11" t="s">
        <v>1989</v>
      </c>
      <c r="C1119" s="11">
        <v>2</v>
      </c>
      <c r="D1119" t="s">
        <v>1968</v>
      </c>
      <c r="E1119">
        <f>VLOOKUP(CONCATENATE(validProjetado[[#This Row],[Tipo]],validProjetado[[#This Row],[Destino]]),validConcreto!K:O,4)</f>
        <v>6.38</v>
      </c>
    </row>
    <row r="1120" spans="1:5" hidden="1" x14ac:dyDescent="0.25">
      <c r="A1120" s="11">
        <v>8</v>
      </c>
      <c r="B1120" s="11" t="s">
        <v>1989</v>
      </c>
      <c r="C1120" s="11">
        <v>1</v>
      </c>
      <c r="D1120" t="s">
        <v>1968</v>
      </c>
      <c r="E1120">
        <f>VLOOKUP(CONCATENATE(validProjetado[[#This Row],[Tipo]],validProjetado[[#This Row],[Destino]]),validConcreto!K:O,4)</f>
        <v>5.22</v>
      </c>
    </row>
    <row r="1121" spans="1:5" hidden="1" x14ac:dyDescent="0.25">
      <c r="A1121" s="11">
        <v>9</v>
      </c>
      <c r="B1121" s="11" t="s">
        <v>1989</v>
      </c>
      <c r="C1121" s="11">
        <v>2</v>
      </c>
      <c r="D1121" t="s">
        <v>1968</v>
      </c>
      <c r="E1121">
        <f>VLOOKUP(CONCATENATE(validProjetado[[#This Row],[Tipo]],validProjetado[[#This Row],[Destino]]),validConcreto!K:O,4)</f>
        <v>6.38</v>
      </c>
    </row>
    <row r="1122" spans="1:5" hidden="1" x14ac:dyDescent="0.25">
      <c r="A1122" s="11">
        <v>10</v>
      </c>
      <c r="B1122" s="11" t="s">
        <v>1989</v>
      </c>
      <c r="C1122" s="11">
        <v>1</v>
      </c>
      <c r="D1122" t="s">
        <v>1968</v>
      </c>
      <c r="E1122">
        <f>VLOOKUP(CONCATENATE(validProjetado[[#This Row],[Tipo]],validProjetado[[#This Row],[Destino]]),validConcreto!K:O,4)</f>
        <v>5.22</v>
      </c>
    </row>
    <row r="1123" spans="1:5" hidden="1" x14ac:dyDescent="0.25">
      <c r="A1123" s="11">
        <v>11</v>
      </c>
      <c r="B1123" s="11" t="s">
        <v>1989</v>
      </c>
      <c r="C1123" s="11">
        <v>2</v>
      </c>
      <c r="D1123" t="s">
        <v>1968</v>
      </c>
      <c r="E1123">
        <f>VLOOKUP(CONCATENATE(validProjetado[[#This Row],[Tipo]],validProjetado[[#This Row],[Destino]]),validConcreto!K:O,4)</f>
        <v>6.38</v>
      </c>
    </row>
    <row r="1124" spans="1:5" hidden="1" x14ac:dyDescent="0.25">
      <c r="A1124" s="11">
        <v>12</v>
      </c>
      <c r="B1124" s="11" t="s">
        <v>1989</v>
      </c>
      <c r="C1124" s="11">
        <v>1</v>
      </c>
      <c r="D1124" t="s">
        <v>1968</v>
      </c>
      <c r="E1124">
        <f>VLOOKUP(CONCATENATE(validProjetado[[#This Row],[Tipo]],validProjetado[[#This Row],[Destino]]),validConcreto!K:O,4)</f>
        <v>5.22</v>
      </c>
    </row>
    <row r="1125" spans="1:5" hidden="1" x14ac:dyDescent="0.25">
      <c r="A1125" s="11">
        <v>13</v>
      </c>
      <c r="B1125" s="11" t="s">
        <v>1989</v>
      </c>
      <c r="C1125" s="11">
        <v>2</v>
      </c>
      <c r="D1125" t="s">
        <v>1968</v>
      </c>
      <c r="E1125">
        <f>VLOOKUP(CONCATENATE(validProjetado[[#This Row],[Tipo]],validProjetado[[#This Row],[Destino]]),validConcreto!K:O,4)</f>
        <v>6.38</v>
      </c>
    </row>
    <row r="1126" spans="1:5" hidden="1" x14ac:dyDescent="0.25">
      <c r="A1126" s="11">
        <v>14</v>
      </c>
      <c r="B1126" s="11" t="s">
        <v>1989</v>
      </c>
      <c r="C1126" s="11">
        <v>1</v>
      </c>
      <c r="D1126" t="s">
        <v>1968</v>
      </c>
      <c r="E1126">
        <f>VLOOKUP(CONCATENATE(validProjetado[[#This Row],[Tipo]],validProjetado[[#This Row],[Destino]]),validConcreto!K:O,4)</f>
        <v>5.22</v>
      </c>
    </row>
    <row r="1127" spans="1:5" hidden="1" x14ac:dyDescent="0.25">
      <c r="A1127" s="11">
        <v>1</v>
      </c>
      <c r="B1127" s="11" t="s">
        <v>1992</v>
      </c>
      <c r="C1127" s="11">
        <v>1</v>
      </c>
      <c r="D1127" t="s">
        <v>1968</v>
      </c>
      <c r="E1127">
        <f>VLOOKUP(CONCATENATE(validProjetado[[#This Row],[Tipo]],validProjetado[[#This Row],[Destino]]),validConcreto!K:O,4)</f>
        <v>5.22</v>
      </c>
    </row>
    <row r="1128" spans="1:5" hidden="1" x14ac:dyDescent="0.25">
      <c r="A1128" s="11">
        <v>2</v>
      </c>
      <c r="B1128" s="11" t="s">
        <v>1992</v>
      </c>
      <c r="C1128" s="11">
        <v>2</v>
      </c>
      <c r="D1128" t="s">
        <v>1968</v>
      </c>
      <c r="E1128">
        <f>VLOOKUP(CONCATENATE(validProjetado[[#This Row],[Tipo]],validProjetado[[#This Row],[Destino]]),validConcreto!K:O,4)</f>
        <v>6.38</v>
      </c>
    </row>
    <row r="1129" spans="1:5" hidden="1" x14ac:dyDescent="0.25">
      <c r="A1129" s="11">
        <v>3</v>
      </c>
      <c r="B1129" s="11" t="s">
        <v>1992</v>
      </c>
      <c r="C1129" s="11">
        <v>2</v>
      </c>
      <c r="D1129" t="s">
        <v>1968</v>
      </c>
      <c r="E1129">
        <f>VLOOKUP(CONCATENATE(validProjetado[[#This Row],[Tipo]],validProjetado[[#This Row],[Destino]]),validConcreto!K:O,4)</f>
        <v>6.38</v>
      </c>
    </row>
    <row r="1130" spans="1:5" hidden="1" x14ac:dyDescent="0.25">
      <c r="A1130" s="11">
        <v>4</v>
      </c>
      <c r="B1130" s="11" t="s">
        <v>1992</v>
      </c>
      <c r="C1130" s="11">
        <v>1</v>
      </c>
      <c r="D1130" t="s">
        <v>1968</v>
      </c>
      <c r="E1130">
        <f>VLOOKUP(CONCATENATE(validProjetado[[#This Row],[Tipo]],validProjetado[[#This Row],[Destino]]),validConcreto!K:O,4)</f>
        <v>5.22</v>
      </c>
    </row>
    <row r="1131" spans="1:5" hidden="1" x14ac:dyDescent="0.25">
      <c r="A1131" s="11">
        <v>5</v>
      </c>
      <c r="B1131" s="11" t="s">
        <v>1992</v>
      </c>
      <c r="C1131" s="11">
        <v>1</v>
      </c>
      <c r="D1131" t="s">
        <v>1968</v>
      </c>
      <c r="E1131">
        <f>VLOOKUP(CONCATENATE(validProjetado[[#This Row],[Tipo]],validProjetado[[#This Row],[Destino]]),validConcreto!K:O,4)</f>
        <v>5.22</v>
      </c>
    </row>
    <row r="1132" spans="1:5" hidden="1" x14ac:dyDescent="0.25">
      <c r="A1132" s="11">
        <v>6</v>
      </c>
      <c r="B1132" s="11" t="s">
        <v>1992</v>
      </c>
      <c r="C1132" s="11">
        <v>1</v>
      </c>
      <c r="D1132" t="s">
        <v>1968</v>
      </c>
      <c r="E1132">
        <f>VLOOKUP(CONCATENATE(validProjetado[[#This Row],[Tipo]],validProjetado[[#This Row],[Destino]]),validConcreto!K:O,4)</f>
        <v>5.22</v>
      </c>
    </row>
    <row r="1133" spans="1:5" hidden="1" x14ac:dyDescent="0.25">
      <c r="A1133" s="11">
        <v>7</v>
      </c>
      <c r="B1133" s="11" t="s">
        <v>1992</v>
      </c>
      <c r="C1133" s="11">
        <v>1</v>
      </c>
      <c r="D1133" t="s">
        <v>1968</v>
      </c>
      <c r="E1133">
        <f>VLOOKUP(CONCATENATE(validProjetado[[#This Row],[Tipo]],validProjetado[[#This Row],[Destino]]),validConcreto!K:O,4)</f>
        <v>5.22</v>
      </c>
    </row>
    <row r="1134" spans="1:5" hidden="1" x14ac:dyDescent="0.25">
      <c r="A1134" s="11">
        <v>8</v>
      </c>
      <c r="B1134" s="11" t="s">
        <v>1992</v>
      </c>
      <c r="C1134" s="11">
        <v>1</v>
      </c>
      <c r="D1134" t="s">
        <v>1968</v>
      </c>
      <c r="E1134">
        <f>VLOOKUP(CONCATENATE(validProjetado[[#This Row],[Tipo]],validProjetado[[#This Row],[Destino]]),validConcreto!K:O,4)</f>
        <v>5.22</v>
      </c>
    </row>
    <row r="1135" spans="1:5" hidden="1" x14ac:dyDescent="0.25">
      <c r="A1135" s="11">
        <v>9</v>
      </c>
      <c r="B1135" s="11" t="s">
        <v>1992</v>
      </c>
      <c r="C1135" s="11">
        <v>1</v>
      </c>
      <c r="D1135" t="s">
        <v>1968</v>
      </c>
      <c r="E1135">
        <f>VLOOKUP(CONCATENATE(validProjetado[[#This Row],[Tipo]],validProjetado[[#This Row],[Destino]]),validConcreto!K:O,4)</f>
        <v>5.22</v>
      </c>
    </row>
    <row r="1136" spans="1:5" hidden="1" x14ac:dyDescent="0.25">
      <c r="A1136" s="11">
        <v>10</v>
      </c>
      <c r="B1136" s="11" t="s">
        <v>1992</v>
      </c>
      <c r="C1136" s="11">
        <v>1</v>
      </c>
      <c r="D1136" t="s">
        <v>1968</v>
      </c>
      <c r="E1136">
        <f>VLOOKUP(CONCATENATE(validProjetado[[#This Row],[Tipo]],validProjetado[[#This Row],[Destino]]),validConcreto!K:O,4)</f>
        <v>5.22</v>
      </c>
    </row>
    <row r="1137" spans="1:5" hidden="1" x14ac:dyDescent="0.25">
      <c r="A1137" s="11">
        <v>11</v>
      </c>
      <c r="B1137" s="11" t="s">
        <v>1992</v>
      </c>
      <c r="C1137" s="11">
        <v>1</v>
      </c>
      <c r="D1137" t="s">
        <v>1968</v>
      </c>
      <c r="E1137">
        <f>VLOOKUP(CONCATENATE(validProjetado[[#This Row],[Tipo]],validProjetado[[#This Row],[Destino]]),validConcreto!K:O,4)</f>
        <v>5.22</v>
      </c>
    </row>
    <row r="1138" spans="1:5" hidden="1" x14ac:dyDescent="0.25">
      <c r="A1138" s="11">
        <v>12</v>
      </c>
      <c r="B1138" s="11" t="s">
        <v>1992</v>
      </c>
      <c r="C1138" s="11">
        <v>1</v>
      </c>
      <c r="D1138" t="s">
        <v>1968</v>
      </c>
      <c r="E1138">
        <f>VLOOKUP(CONCATENATE(validProjetado[[#This Row],[Tipo]],validProjetado[[#This Row],[Destino]]),validConcreto!K:O,4)</f>
        <v>5.22</v>
      </c>
    </row>
    <row r="1139" spans="1:5" hidden="1" x14ac:dyDescent="0.25">
      <c r="A1139" s="11">
        <v>13</v>
      </c>
      <c r="B1139" s="11" t="s">
        <v>1992</v>
      </c>
      <c r="C1139" s="11">
        <v>1</v>
      </c>
      <c r="D1139" t="s">
        <v>1968</v>
      </c>
      <c r="E1139">
        <f>VLOOKUP(CONCATENATE(validProjetado[[#This Row],[Tipo]],validProjetado[[#This Row],[Destino]]),validConcreto!K:O,4)</f>
        <v>5.22</v>
      </c>
    </row>
    <row r="1140" spans="1:5" hidden="1" x14ac:dyDescent="0.25">
      <c r="A1140" s="11">
        <v>14</v>
      </c>
      <c r="B1140" s="11" t="s">
        <v>1992</v>
      </c>
      <c r="C1140" s="11">
        <v>2</v>
      </c>
      <c r="D1140" t="s">
        <v>1968</v>
      </c>
      <c r="E1140">
        <f>VLOOKUP(CONCATENATE(validProjetado[[#This Row],[Tipo]],validProjetado[[#This Row],[Destino]]),validConcreto!K:O,4)</f>
        <v>6.38</v>
      </c>
    </row>
    <row r="1141" spans="1:5" hidden="1" x14ac:dyDescent="0.25">
      <c r="A1141" s="11">
        <v>15</v>
      </c>
      <c r="B1141" s="11" t="s">
        <v>1992</v>
      </c>
      <c r="C1141" s="11">
        <v>2</v>
      </c>
      <c r="D1141" t="s">
        <v>1968</v>
      </c>
      <c r="E1141">
        <f>VLOOKUP(CONCATENATE(validProjetado[[#This Row],[Tipo]],validProjetado[[#This Row],[Destino]]),validConcreto!K:O,4)</f>
        <v>6.38</v>
      </c>
    </row>
    <row r="1142" spans="1:5" hidden="1" x14ac:dyDescent="0.25">
      <c r="A1142" s="11">
        <v>1</v>
      </c>
      <c r="B1142" s="11" t="s">
        <v>1995</v>
      </c>
      <c r="C1142" s="11">
        <v>1</v>
      </c>
      <c r="D1142" t="s">
        <v>1968</v>
      </c>
      <c r="E1142">
        <f>VLOOKUP(CONCATENATE(validProjetado[[#This Row],[Tipo]],validProjetado[[#This Row],[Destino]]),validConcreto!K:O,4)</f>
        <v>5.22</v>
      </c>
    </row>
    <row r="1143" spans="1:5" hidden="1" x14ac:dyDescent="0.25">
      <c r="A1143" s="11">
        <v>2</v>
      </c>
      <c r="B1143" s="11" t="s">
        <v>1995</v>
      </c>
      <c r="C1143" s="11">
        <v>2</v>
      </c>
      <c r="D1143" t="s">
        <v>1968</v>
      </c>
      <c r="E1143">
        <f>VLOOKUP(CONCATENATE(validProjetado[[#This Row],[Tipo]],validProjetado[[#This Row],[Destino]]),validConcreto!K:O,4)</f>
        <v>6.38</v>
      </c>
    </row>
    <row r="1144" spans="1:5" hidden="1" x14ac:dyDescent="0.25">
      <c r="A1144" s="11">
        <v>3</v>
      </c>
      <c r="B1144" s="11" t="s">
        <v>1995</v>
      </c>
      <c r="C1144" s="11">
        <v>1</v>
      </c>
      <c r="D1144" t="s">
        <v>1968</v>
      </c>
      <c r="E1144">
        <f>VLOOKUP(CONCATENATE(validProjetado[[#This Row],[Tipo]],validProjetado[[#This Row],[Destino]]),validConcreto!K:O,4)</f>
        <v>5.22</v>
      </c>
    </row>
    <row r="1145" spans="1:5" hidden="1" x14ac:dyDescent="0.25">
      <c r="A1145" s="11">
        <v>4</v>
      </c>
      <c r="B1145" s="11" t="s">
        <v>1995</v>
      </c>
      <c r="C1145" s="11">
        <v>2</v>
      </c>
      <c r="D1145" t="s">
        <v>1968</v>
      </c>
      <c r="E1145">
        <f>VLOOKUP(CONCATENATE(validProjetado[[#This Row],[Tipo]],validProjetado[[#This Row],[Destino]]),validConcreto!K:O,4)</f>
        <v>6.38</v>
      </c>
    </row>
    <row r="1146" spans="1:5" hidden="1" x14ac:dyDescent="0.25">
      <c r="A1146" s="11">
        <v>5</v>
      </c>
      <c r="B1146" s="11" t="s">
        <v>1995</v>
      </c>
      <c r="C1146" s="11">
        <v>1</v>
      </c>
      <c r="D1146" t="s">
        <v>1968</v>
      </c>
      <c r="E1146">
        <f>VLOOKUP(CONCATENATE(validProjetado[[#This Row],[Tipo]],validProjetado[[#This Row],[Destino]]),validConcreto!K:O,4)</f>
        <v>5.22</v>
      </c>
    </row>
    <row r="1147" spans="1:5" hidden="1" x14ac:dyDescent="0.25">
      <c r="A1147" s="11">
        <v>6</v>
      </c>
      <c r="B1147" s="11" t="s">
        <v>1995</v>
      </c>
      <c r="C1147" s="11">
        <v>2</v>
      </c>
      <c r="D1147" t="s">
        <v>1968</v>
      </c>
      <c r="E1147">
        <f>VLOOKUP(CONCATENATE(validProjetado[[#This Row],[Tipo]],validProjetado[[#This Row],[Destino]]),validConcreto!K:O,4)</f>
        <v>6.38</v>
      </c>
    </row>
    <row r="1148" spans="1:5" hidden="1" x14ac:dyDescent="0.25">
      <c r="A1148" s="11">
        <v>7</v>
      </c>
      <c r="B1148" s="11" t="s">
        <v>1995</v>
      </c>
      <c r="C1148" s="11">
        <v>1</v>
      </c>
      <c r="D1148" t="s">
        <v>1968</v>
      </c>
      <c r="E1148">
        <f>VLOOKUP(CONCATENATE(validProjetado[[#This Row],[Tipo]],validProjetado[[#This Row],[Destino]]),validConcreto!K:O,4)</f>
        <v>5.22</v>
      </c>
    </row>
    <row r="1149" spans="1:5" hidden="1" x14ac:dyDescent="0.25">
      <c r="A1149" s="11">
        <v>8</v>
      </c>
      <c r="B1149" s="11" t="s">
        <v>1995</v>
      </c>
      <c r="C1149" s="11">
        <v>2</v>
      </c>
      <c r="D1149" t="s">
        <v>1968</v>
      </c>
      <c r="E1149">
        <f>VLOOKUP(CONCATENATE(validProjetado[[#This Row],[Tipo]],validProjetado[[#This Row],[Destino]]),validConcreto!K:O,4)</f>
        <v>6.38</v>
      </c>
    </row>
    <row r="1150" spans="1:5" hidden="1" x14ac:dyDescent="0.25">
      <c r="A1150" s="11">
        <v>9</v>
      </c>
      <c r="B1150" s="11" t="s">
        <v>1995</v>
      </c>
      <c r="C1150" s="11">
        <v>1</v>
      </c>
      <c r="D1150" t="s">
        <v>1968</v>
      </c>
      <c r="E1150">
        <f>VLOOKUP(CONCATENATE(validProjetado[[#This Row],[Tipo]],validProjetado[[#This Row],[Destino]]),validConcreto!K:O,4)</f>
        <v>5.22</v>
      </c>
    </row>
    <row r="1151" spans="1:5" hidden="1" x14ac:dyDescent="0.25">
      <c r="A1151" s="11">
        <v>10</v>
      </c>
      <c r="B1151" s="11" t="s">
        <v>1995</v>
      </c>
      <c r="C1151" s="11">
        <v>2</v>
      </c>
      <c r="D1151" t="s">
        <v>1968</v>
      </c>
      <c r="E1151">
        <f>VLOOKUP(CONCATENATE(validProjetado[[#This Row],[Tipo]],validProjetado[[#This Row],[Destino]]),validConcreto!K:O,4)</f>
        <v>6.38</v>
      </c>
    </row>
    <row r="1152" spans="1:5" hidden="1" x14ac:dyDescent="0.25">
      <c r="A1152" s="11">
        <v>11</v>
      </c>
      <c r="B1152" s="11" t="s">
        <v>1995</v>
      </c>
      <c r="C1152" s="11">
        <v>1</v>
      </c>
      <c r="D1152" t="s">
        <v>1968</v>
      </c>
      <c r="E1152">
        <f>VLOOKUP(CONCATENATE(validProjetado[[#This Row],[Tipo]],validProjetado[[#This Row],[Destino]]),validConcreto!K:O,4)</f>
        <v>5.22</v>
      </c>
    </row>
    <row r="1153" spans="1:5" hidden="1" x14ac:dyDescent="0.25">
      <c r="A1153" s="11">
        <v>12</v>
      </c>
      <c r="B1153" s="11" t="s">
        <v>1995</v>
      </c>
      <c r="C1153" s="11">
        <v>2</v>
      </c>
      <c r="D1153" t="s">
        <v>1968</v>
      </c>
      <c r="E1153">
        <f>VLOOKUP(CONCATENATE(validProjetado[[#This Row],[Tipo]],validProjetado[[#This Row],[Destino]]),validConcreto!K:O,4)</f>
        <v>6.38</v>
      </c>
    </row>
    <row r="1154" spans="1:5" hidden="1" x14ac:dyDescent="0.25">
      <c r="A1154" s="11">
        <v>13</v>
      </c>
      <c r="B1154" s="11" t="s">
        <v>1995</v>
      </c>
      <c r="C1154" s="11">
        <v>1</v>
      </c>
      <c r="D1154" t="s">
        <v>1968</v>
      </c>
      <c r="E1154">
        <f>VLOOKUP(CONCATENATE(validProjetado[[#This Row],[Tipo]],validProjetado[[#This Row],[Destino]]),validConcreto!K:O,4)</f>
        <v>5.22</v>
      </c>
    </row>
    <row r="1155" spans="1:5" hidden="1" x14ac:dyDescent="0.25">
      <c r="A1155" s="11">
        <v>14</v>
      </c>
      <c r="B1155" s="11" t="s">
        <v>1995</v>
      </c>
      <c r="C1155" s="11">
        <v>2</v>
      </c>
      <c r="D1155" t="s">
        <v>1968</v>
      </c>
      <c r="E1155">
        <f>VLOOKUP(CONCATENATE(validProjetado[[#This Row],[Tipo]],validProjetado[[#This Row],[Destino]]),validConcreto!K:O,4)</f>
        <v>6.38</v>
      </c>
    </row>
    <row r="1156" spans="1:5" hidden="1" x14ac:dyDescent="0.25">
      <c r="A1156" s="11">
        <v>15</v>
      </c>
      <c r="B1156" s="11" t="s">
        <v>1995</v>
      </c>
      <c r="C1156" s="11">
        <v>1</v>
      </c>
      <c r="D1156" t="s">
        <v>1968</v>
      </c>
      <c r="E1156">
        <f>VLOOKUP(CONCATENATE(validProjetado[[#This Row],[Tipo]],validProjetado[[#This Row],[Destino]]),validConcreto!K:O,4)</f>
        <v>5.22</v>
      </c>
    </row>
    <row r="1157" spans="1:5" hidden="1" x14ac:dyDescent="0.25">
      <c r="A1157" s="11">
        <v>16</v>
      </c>
      <c r="B1157" s="11" t="s">
        <v>1995</v>
      </c>
      <c r="C1157" s="11">
        <v>2</v>
      </c>
      <c r="D1157" t="s">
        <v>1968</v>
      </c>
      <c r="E1157">
        <f>VLOOKUP(CONCATENATE(validProjetado[[#This Row],[Tipo]],validProjetado[[#This Row],[Destino]]),validConcreto!K:O,4)</f>
        <v>6.38</v>
      </c>
    </row>
    <row r="1158" spans="1:5" hidden="1" x14ac:dyDescent="0.25">
      <c r="A1158" s="11">
        <v>17</v>
      </c>
      <c r="B1158" s="11" t="s">
        <v>1995</v>
      </c>
      <c r="C1158" s="11">
        <v>1</v>
      </c>
      <c r="D1158" t="s">
        <v>1968</v>
      </c>
      <c r="E1158">
        <f>VLOOKUP(CONCATENATE(validProjetado[[#This Row],[Tipo]],validProjetado[[#This Row],[Destino]]),validConcreto!K:O,4)</f>
        <v>5.22</v>
      </c>
    </row>
    <row r="1159" spans="1:5" hidden="1" x14ac:dyDescent="0.25">
      <c r="A1159" s="11">
        <v>1</v>
      </c>
      <c r="B1159" s="11" t="s">
        <v>1999</v>
      </c>
      <c r="C1159" s="11">
        <v>2</v>
      </c>
      <c r="D1159" t="s">
        <v>1968</v>
      </c>
      <c r="E1159">
        <f>VLOOKUP(CONCATENATE(validProjetado[[#This Row],[Tipo]],validProjetado[[#This Row],[Destino]]),validConcreto!K:O,4)</f>
        <v>6.38</v>
      </c>
    </row>
    <row r="1160" spans="1:5" hidden="1" x14ac:dyDescent="0.25">
      <c r="A1160" s="11">
        <v>2</v>
      </c>
      <c r="B1160" s="11" t="s">
        <v>1999</v>
      </c>
      <c r="C1160" s="11">
        <v>1</v>
      </c>
      <c r="D1160" t="s">
        <v>1968</v>
      </c>
      <c r="E1160">
        <f>VLOOKUP(CONCATENATE(validProjetado[[#This Row],[Tipo]],validProjetado[[#This Row],[Destino]]),validConcreto!K:O,4)</f>
        <v>5.22</v>
      </c>
    </row>
    <row r="1161" spans="1:5" hidden="1" x14ac:dyDescent="0.25">
      <c r="A1161" s="11">
        <v>3</v>
      </c>
      <c r="B1161" s="11" t="s">
        <v>1999</v>
      </c>
      <c r="C1161" s="11">
        <v>2</v>
      </c>
      <c r="D1161" t="s">
        <v>1968</v>
      </c>
      <c r="E1161">
        <f>VLOOKUP(CONCATENATE(validProjetado[[#This Row],[Tipo]],validProjetado[[#This Row],[Destino]]),validConcreto!K:O,4)</f>
        <v>6.38</v>
      </c>
    </row>
    <row r="1162" spans="1:5" hidden="1" x14ac:dyDescent="0.25">
      <c r="A1162" s="11">
        <v>4</v>
      </c>
      <c r="B1162" s="11" t="s">
        <v>1999</v>
      </c>
      <c r="C1162" s="11">
        <v>1</v>
      </c>
      <c r="D1162" t="s">
        <v>1968</v>
      </c>
      <c r="E1162">
        <f>VLOOKUP(CONCATENATE(validProjetado[[#This Row],[Tipo]],validProjetado[[#This Row],[Destino]]),validConcreto!K:O,4)</f>
        <v>5.22</v>
      </c>
    </row>
    <row r="1163" spans="1:5" hidden="1" x14ac:dyDescent="0.25">
      <c r="A1163" s="11">
        <v>5</v>
      </c>
      <c r="B1163" s="11" t="s">
        <v>1999</v>
      </c>
      <c r="C1163" s="11">
        <v>2</v>
      </c>
      <c r="D1163" t="s">
        <v>1968</v>
      </c>
      <c r="E1163">
        <f>VLOOKUP(CONCATENATE(validProjetado[[#This Row],[Tipo]],validProjetado[[#This Row],[Destino]]),validConcreto!K:O,4)</f>
        <v>6.38</v>
      </c>
    </row>
    <row r="1164" spans="1:5" hidden="1" x14ac:dyDescent="0.25">
      <c r="A1164" s="11">
        <v>6</v>
      </c>
      <c r="B1164" s="11" t="s">
        <v>1999</v>
      </c>
      <c r="C1164" s="11">
        <v>1</v>
      </c>
      <c r="D1164" t="s">
        <v>1968</v>
      </c>
      <c r="E1164">
        <f>VLOOKUP(CONCATENATE(validProjetado[[#This Row],[Tipo]],validProjetado[[#This Row],[Destino]]),validConcreto!K:O,4)</f>
        <v>5.22</v>
      </c>
    </row>
    <row r="1165" spans="1:5" hidden="1" x14ac:dyDescent="0.25">
      <c r="A1165" s="11">
        <v>7</v>
      </c>
      <c r="B1165" s="11" t="s">
        <v>1999</v>
      </c>
      <c r="C1165" s="11">
        <v>2</v>
      </c>
      <c r="D1165" t="s">
        <v>1968</v>
      </c>
      <c r="E1165">
        <f>VLOOKUP(CONCATENATE(validProjetado[[#This Row],[Tipo]],validProjetado[[#This Row],[Destino]]),validConcreto!K:O,4)</f>
        <v>6.38</v>
      </c>
    </row>
    <row r="1166" spans="1:5" hidden="1" x14ac:dyDescent="0.25">
      <c r="A1166" s="11">
        <v>8</v>
      </c>
      <c r="B1166" s="11" t="s">
        <v>1999</v>
      </c>
      <c r="C1166" s="11">
        <v>1</v>
      </c>
      <c r="D1166" t="s">
        <v>1968</v>
      </c>
      <c r="E1166">
        <f>VLOOKUP(CONCATENATE(validProjetado[[#This Row],[Tipo]],validProjetado[[#This Row],[Destino]]),validConcreto!K:O,4)</f>
        <v>5.22</v>
      </c>
    </row>
    <row r="1167" spans="1:5" hidden="1" x14ac:dyDescent="0.25">
      <c r="A1167" s="11">
        <v>9</v>
      </c>
      <c r="B1167" s="11" t="s">
        <v>1999</v>
      </c>
      <c r="C1167" s="11">
        <v>2</v>
      </c>
      <c r="D1167" t="s">
        <v>1968</v>
      </c>
      <c r="E1167">
        <f>VLOOKUP(CONCATENATE(validProjetado[[#This Row],[Tipo]],validProjetado[[#This Row],[Destino]]),validConcreto!K:O,4)</f>
        <v>6.38</v>
      </c>
    </row>
    <row r="1168" spans="1:5" hidden="1" x14ac:dyDescent="0.25">
      <c r="A1168" s="11">
        <v>10</v>
      </c>
      <c r="B1168" s="11" t="s">
        <v>1999</v>
      </c>
      <c r="C1168" s="11">
        <v>1</v>
      </c>
      <c r="D1168" t="s">
        <v>1968</v>
      </c>
      <c r="E1168">
        <f>VLOOKUP(CONCATENATE(validProjetado[[#This Row],[Tipo]],validProjetado[[#This Row],[Destino]]),validConcreto!K:O,4)</f>
        <v>5.22</v>
      </c>
    </row>
    <row r="1169" spans="1:5" hidden="1" x14ac:dyDescent="0.25">
      <c r="A1169" s="11">
        <v>11</v>
      </c>
      <c r="B1169" s="11" t="s">
        <v>1999</v>
      </c>
      <c r="C1169" s="11">
        <v>2</v>
      </c>
      <c r="D1169" t="s">
        <v>1968</v>
      </c>
      <c r="E1169">
        <f>VLOOKUP(CONCATENATE(validProjetado[[#This Row],[Tipo]],validProjetado[[#This Row],[Destino]]),validConcreto!K:O,4)</f>
        <v>6.38</v>
      </c>
    </row>
    <row r="1170" spans="1:5" hidden="1" x14ac:dyDescent="0.25">
      <c r="A1170" s="11">
        <v>12</v>
      </c>
      <c r="B1170" s="11" t="s">
        <v>1999</v>
      </c>
      <c r="C1170" s="11">
        <v>1</v>
      </c>
      <c r="D1170" t="s">
        <v>1968</v>
      </c>
      <c r="E1170">
        <f>VLOOKUP(CONCATENATE(validProjetado[[#This Row],[Tipo]],validProjetado[[#This Row],[Destino]]),validConcreto!K:O,4)</f>
        <v>5.22</v>
      </c>
    </row>
    <row r="1171" spans="1:5" hidden="1" x14ac:dyDescent="0.25">
      <c r="A1171" s="11">
        <v>13</v>
      </c>
      <c r="B1171" s="11" t="s">
        <v>1999</v>
      </c>
      <c r="C1171" s="11">
        <v>2</v>
      </c>
      <c r="D1171" t="s">
        <v>1968</v>
      </c>
      <c r="E1171">
        <f>VLOOKUP(CONCATENATE(validProjetado[[#This Row],[Tipo]],validProjetado[[#This Row],[Destino]]),validConcreto!K:O,4)</f>
        <v>6.38</v>
      </c>
    </row>
    <row r="1172" spans="1:5" hidden="1" x14ac:dyDescent="0.25">
      <c r="A1172" s="11">
        <v>14</v>
      </c>
      <c r="B1172" s="11" t="s">
        <v>1999</v>
      </c>
      <c r="C1172" s="11">
        <v>1</v>
      </c>
      <c r="D1172" t="s">
        <v>1968</v>
      </c>
      <c r="E1172">
        <f>VLOOKUP(CONCATENATE(validProjetado[[#This Row],[Tipo]],validProjetado[[#This Row],[Destino]]),validConcreto!K:O,4)</f>
        <v>5.22</v>
      </c>
    </row>
    <row r="1173" spans="1:5" hidden="1" x14ac:dyDescent="0.25">
      <c r="A1173" s="11">
        <v>1</v>
      </c>
      <c r="B1173" s="11" t="s">
        <v>2002</v>
      </c>
      <c r="C1173" s="11">
        <v>2</v>
      </c>
      <c r="D1173" t="s">
        <v>1968</v>
      </c>
      <c r="E1173">
        <f>VLOOKUP(CONCATENATE(validProjetado[[#This Row],[Tipo]],validProjetado[[#This Row],[Destino]]),validConcreto!K:O,4)</f>
        <v>6.38</v>
      </c>
    </row>
    <row r="1174" spans="1:5" hidden="1" x14ac:dyDescent="0.25">
      <c r="A1174" s="11">
        <v>2</v>
      </c>
      <c r="B1174" s="11" t="s">
        <v>2002</v>
      </c>
      <c r="C1174" s="11">
        <v>2</v>
      </c>
      <c r="D1174" t="s">
        <v>1968</v>
      </c>
      <c r="E1174">
        <f>VLOOKUP(CONCATENATE(validProjetado[[#This Row],[Tipo]],validProjetado[[#This Row],[Destino]]),validConcreto!K:O,4)</f>
        <v>6.38</v>
      </c>
    </row>
    <row r="1175" spans="1:5" hidden="1" x14ac:dyDescent="0.25">
      <c r="A1175" s="11">
        <v>3</v>
      </c>
      <c r="B1175" s="11" t="s">
        <v>2002</v>
      </c>
      <c r="C1175" s="11">
        <v>2</v>
      </c>
      <c r="D1175" t="s">
        <v>1968</v>
      </c>
      <c r="E1175">
        <f>VLOOKUP(CONCATENATE(validProjetado[[#This Row],[Tipo]],validProjetado[[#This Row],[Destino]]),validConcreto!K:O,4)</f>
        <v>6.38</v>
      </c>
    </row>
    <row r="1176" spans="1:5" hidden="1" x14ac:dyDescent="0.25">
      <c r="A1176" s="11">
        <v>4</v>
      </c>
      <c r="B1176" s="11" t="s">
        <v>2002</v>
      </c>
      <c r="C1176" s="11">
        <v>2</v>
      </c>
      <c r="D1176" t="s">
        <v>1968</v>
      </c>
      <c r="E1176">
        <f>VLOOKUP(CONCATENATE(validProjetado[[#This Row],[Tipo]],validProjetado[[#This Row],[Destino]]),validConcreto!K:O,4)</f>
        <v>6.38</v>
      </c>
    </row>
    <row r="1177" spans="1:5" hidden="1" x14ac:dyDescent="0.25">
      <c r="A1177" s="11">
        <v>5</v>
      </c>
      <c r="B1177" s="11" t="s">
        <v>2002</v>
      </c>
      <c r="C1177" s="11">
        <v>2</v>
      </c>
      <c r="D1177" t="s">
        <v>1968</v>
      </c>
      <c r="E1177">
        <f>VLOOKUP(CONCATENATE(validProjetado[[#This Row],[Tipo]],validProjetado[[#This Row],[Destino]]),validConcreto!K:O,4)</f>
        <v>6.38</v>
      </c>
    </row>
    <row r="1178" spans="1:5" hidden="1" x14ac:dyDescent="0.25">
      <c r="A1178" s="11">
        <v>6</v>
      </c>
      <c r="B1178" s="11" t="s">
        <v>2002</v>
      </c>
      <c r="C1178" s="11">
        <v>1</v>
      </c>
      <c r="D1178" t="s">
        <v>1968</v>
      </c>
      <c r="E1178">
        <f>VLOOKUP(CONCATENATE(validProjetado[[#This Row],[Tipo]],validProjetado[[#This Row],[Destino]]),validConcreto!K:O,4)</f>
        <v>5.22</v>
      </c>
    </row>
    <row r="1179" spans="1:5" hidden="1" x14ac:dyDescent="0.25">
      <c r="A1179" s="11">
        <v>7</v>
      </c>
      <c r="B1179" s="11" t="s">
        <v>2002</v>
      </c>
      <c r="C1179" s="11">
        <v>2</v>
      </c>
      <c r="D1179" t="s">
        <v>1968</v>
      </c>
      <c r="E1179">
        <f>VLOOKUP(CONCATENATE(validProjetado[[#This Row],[Tipo]],validProjetado[[#This Row],[Destino]]),validConcreto!K:O,4)</f>
        <v>6.38</v>
      </c>
    </row>
    <row r="1180" spans="1:5" hidden="1" x14ac:dyDescent="0.25">
      <c r="A1180" s="11">
        <v>8</v>
      </c>
      <c r="B1180" s="11" t="s">
        <v>2002</v>
      </c>
      <c r="C1180" s="11">
        <v>1</v>
      </c>
      <c r="D1180" t="s">
        <v>1968</v>
      </c>
      <c r="E1180">
        <f>VLOOKUP(CONCATENATE(validProjetado[[#This Row],[Tipo]],validProjetado[[#This Row],[Destino]]),validConcreto!K:O,4)</f>
        <v>5.22</v>
      </c>
    </row>
    <row r="1181" spans="1:5" hidden="1" x14ac:dyDescent="0.25">
      <c r="A1181" s="11">
        <v>9</v>
      </c>
      <c r="B1181" s="11" t="s">
        <v>2002</v>
      </c>
      <c r="C1181" s="11">
        <v>2</v>
      </c>
      <c r="D1181" t="s">
        <v>1968</v>
      </c>
      <c r="E1181">
        <f>VLOOKUP(CONCATENATE(validProjetado[[#This Row],[Tipo]],validProjetado[[#This Row],[Destino]]),validConcreto!K:O,4)</f>
        <v>6.38</v>
      </c>
    </row>
    <row r="1182" spans="1:5" hidden="1" x14ac:dyDescent="0.25">
      <c r="A1182" s="11">
        <v>10</v>
      </c>
      <c r="B1182" s="11" t="s">
        <v>2002</v>
      </c>
      <c r="C1182" s="11">
        <v>1</v>
      </c>
      <c r="D1182" t="s">
        <v>1968</v>
      </c>
      <c r="E1182">
        <f>VLOOKUP(CONCATENATE(validProjetado[[#This Row],[Tipo]],validProjetado[[#This Row],[Destino]]),validConcreto!K:O,4)</f>
        <v>5.22</v>
      </c>
    </row>
    <row r="1183" spans="1:5" hidden="1" x14ac:dyDescent="0.25">
      <c r="A1183" s="11">
        <v>11</v>
      </c>
      <c r="B1183" s="11" t="s">
        <v>2002</v>
      </c>
      <c r="C1183" s="11">
        <v>2</v>
      </c>
      <c r="D1183" t="s">
        <v>1968</v>
      </c>
      <c r="E1183">
        <f>VLOOKUP(CONCATENATE(validProjetado[[#This Row],[Tipo]],validProjetado[[#This Row],[Destino]]),validConcreto!K:O,4)</f>
        <v>6.38</v>
      </c>
    </row>
    <row r="1184" spans="1:5" hidden="1" x14ac:dyDescent="0.25">
      <c r="A1184" s="11">
        <v>12</v>
      </c>
      <c r="B1184" s="11" t="s">
        <v>2002</v>
      </c>
      <c r="C1184" s="11">
        <v>2</v>
      </c>
      <c r="D1184" t="s">
        <v>1968</v>
      </c>
      <c r="E1184">
        <f>VLOOKUP(CONCATENATE(validProjetado[[#This Row],[Tipo]],validProjetado[[#This Row],[Destino]]),validConcreto!K:O,4)</f>
        <v>6.38</v>
      </c>
    </row>
    <row r="1185" spans="1:5" hidden="1" x14ac:dyDescent="0.25">
      <c r="A1185" s="11">
        <v>13</v>
      </c>
      <c r="B1185" s="11" t="s">
        <v>2002</v>
      </c>
      <c r="C1185" s="11">
        <v>2</v>
      </c>
      <c r="D1185" t="s">
        <v>1968</v>
      </c>
      <c r="E1185">
        <f>VLOOKUP(CONCATENATE(validProjetado[[#This Row],[Tipo]],validProjetado[[#This Row],[Destino]]),validConcreto!K:O,4)</f>
        <v>6.38</v>
      </c>
    </row>
    <row r="1186" spans="1:5" hidden="1" x14ac:dyDescent="0.25">
      <c r="A1186" s="11">
        <v>14</v>
      </c>
      <c r="B1186" s="11" t="s">
        <v>2002</v>
      </c>
      <c r="C1186" s="11">
        <v>2</v>
      </c>
      <c r="D1186" t="s">
        <v>1968</v>
      </c>
      <c r="E1186">
        <f>VLOOKUP(CONCATENATE(validProjetado[[#This Row],[Tipo]],validProjetado[[#This Row],[Destino]]),validConcreto!K:O,4)</f>
        <v>6.38</v>
      </c>
    </row>
    <row r="1187" spans="1:5" hidden="1" x14ac:dyDescent="0.25">
      <c r="A1187" s="11">
        <v>1</v>
      </c>
      <c r="B1187" s="11" t="s">
        <v>2005</v>
      </c>
      <c r="C1187" s="11">
        <v>2</v>
      </c>
      <c r="D1187" t="s">
        <v>1968</v>
      </c>
      <c r="E1187">
        <f>VLOOKUP(CONCATENATE(validProjetado[[#This Row],[Tipo]],validProjetado[[#This Row],[Destino]]),validConcreto!K:O,4)</f>
        <v>6.38</v>
      </c>
    </row>
    <row r="1188" spans="1:5" hidden="1" x14ac:dyDescent="0.25">
      <c r="A1188" s="11">
        <v>2</v>
      </c>
      <c r="B1188" s="11" t="s">
        <v>2005</v>
      </c>
      <c r="C1188" s="11">
        <v>2</v>
      </c>
      <c r="D1188" t="s">
        <v>1968</v>
      </c>
      <c r="E1188">
        <f>VLOOKUP(CONCATENATE(validProjetado[[#This Row],[Tipo]],validProjetado[[#This Row],[Destino]]),validConcreto!K:O,4)</f>
        <v>6.38</v>
      </c>
    </row>
    <row r="1189" spans="1:5" hidden="1" x14ac:dyDescent="0.25">
      <c r="A1189" s="11">
        <v>3</v>
      </c>
      <c r="B1189" s="11" t="s">
        <v>2005</v>
      </c>
      <c r="C1189" s="11">
        <v>2</v>
      </c>
      <c r="D1189" t="s">
        <v>1968</v>
      </c>
      <c r="E1189">
        <f>VLOOKUP(CONCATENATE(validProjetado[[#This Row],[Tipo]],validProjetado[[#This Row],[Destino]]),validConcreto!K:O,4)</f>
        <v>6.38</v>
      </c>
    </row>
    <row r="1190" spans="1:5" hidden="1" x14ac:dyDescent="0.25">
      <c r="A1190" s="11">
        <v>4</v>
      </c>
      <c r="B1190" s="11" t="s">
        <v>2005</v>
      </c>
      <c r="C1190" s="11">
        <v>1</v>
      </c>
      <c r="D1190" t="s">
        <v>1968</v>
      </c>
      <c r="E1190">
        <f>VLOOKUP(CONCATENATE(validProjetado[[#This Row],[Tipo]],validProjetado[[#This Row],[Destino]]),validConcreto!K:O,4)</f>
        <v>5.22</v>
      </c>
    </row>
    <row r="1191" spans="1:5" hidden="1" x14ac:dyDescent="0.25">
      <c r="A1191" s="11">
        <v>5</v>
      </c>
      <c r="B1191" s="11" t="s">
        <v>2005</v>
      </c>
      <c r="C1191" s="11">
        <v>2</v>
      </c>
      <c r="D1191" t="s">
        <v>1968</v>
      </c>
      <c r="E1191">
        <f>VLOOKUP(CONCATENATE(validProjetado[[#This Row],[Tipo]],validProjetado[[#This Row],[Destino]]),validConcreto!K:O,4)</f>
        <v>6.38</v>
      </c>
    </row>
    <row r="1192" spans="1:5" hidden="1" x14ac:dyDescent="0.25">
      <c r="A1192" s="11">
        <v>6</v>
      </c>
      <c r="B1192" s="11" t="s">
        <v>2005</v>
      </c>
      <c r="C1192" s="11">
        <v>1</v>
      </c>
      <c r="D1192" t="s">
        <v>1968</v>
      </c>
      <c r="E1192">
        <f>VLOOKUP(CONCATENATE(validProjetado[[#This Row],[Tipo]],validProjetado[[#This Row],[Destino]]),validConcreto!K:O,4)</f>
        <v>5.22</v>
      </c>
    </row>
    <row r="1193" spans="1:5" hidden="1" x14ac:dyDescent="0.25">
      <c r="A1193" s="11">
        <v>7</v>
      </c>
      <c r="B1193" s="11" t="s">
        <v>2005</v>
      </c>
      <c r="C1193" s="11">
        <v>2</v>
      </c>
      <c r="D1193" t="s">
        <v>1968</v>
      </c>
      <c r="E1193">
        <f>VLOOKUP(CONCATENATE(validProjetado[[#This Row],[Tipo]],validProjetado[[#This Row],[Destino]]),validConcreto!K:O,4)</f>
        <v>6.38</v>
      </c>
    </row>
    <row r="1194" spans="1:5" hidden="1" x14ac:dyDescent="0.25">
      <c r="A1194" s="11">
        <v>8</v>
      </c>
      <c r="B1194" s="11" t="s">
        <v>2005</v>
      </c>
      <c r="C1194" s="11">
        <v>1</v>
      </c>
      <c r="D1194" t="s">
        <v>1968</v>
      </c>
      <c r="E1194">
        <f>VLOOKUP(CONCATENATE(validProjetado[[#This Row],[Tipo]],validProjetado[[#This Row],[Destino]]),validConcreto!K:O,4)</f>
        <v>5.22</v>
      </c>
    </row>
    <row r="1195" spans="1:5" hidden="1" x14ac:dyDescent="0.25">
      <c r="A1195" s="11">
        <v>9</v>
      </c>
      <c r="B1195" s="11" t="s">
        <v>2005</v>
      </c>
      <c r="C1195" s="11">
        <v>2</v>
      </c>
      <c r="D1195" t="s">
        <v>1968</v>
      </c>
      <c r="E1195">
        <f>VLOOKUP(CONCATENATE(validProjetado[[#This Row],[Tipo]],validProjetado[[#This Row],[Destino]]),validConcreto!K:O,4)</f>
        <v>6.38</v>
      </c>
    </row>
    <row r="1196" spans="1:5" hidden="1" x14ac:dyDescent="0.25">
      <c r="A1196" s="11">
        <v>10</v>
      </c>
      <c r="B1196" s="11" t="s">
        <v>2005</v>
      </c>
      <c r="C1196" s="11">
        <v>1</v>
      </c>
      <c r="D1196" t="s">
        <v>1968</v>
      </c>
      <c r="E1196">
        <f>VLOOKUP(CONCATENATE(validProjetado[[#This Row],[Tipo]],validProjetado[[#This Row],[Destino]]),validConcreto!K:O,4)</f>
        <v>5.22</v>
      </c>
    </row>
    <row r="1197" spans="1:5" hidden="1" x14ac:dyDescent="0.25">
      <c r="A1197" s="11">
        <v>11</v>
      </c>
      <c r="B1197" s="11" t="s">
        <v>2005</v>
      </c>
      <c r="C1197" s="11">
        <v>2</v>
      </c>
      <c r="D1197" t="s">
        <v>1968</v>
      </c>
      <c r="E1197">
        <f>VLOOKUP(CONCATENATE(validProjetado[[#This Row],[Tipo]],validProjetado[[#This Row],[Destino]]),validConcreto!K:O,4)</f>
        <v>6.38</v>
      </c>
    </row>
    <row r="1198" spans="1:5" hidden="1" x14ac:dyDescent="0.25">
      <c r="A1198" s="11">
        <v>12</v>
      </c>
      <c r="B1198" s="11" t="s">
        <v>2005</v>
      </c>
      <c r="C1198" s="11">
        <v>1</v>
      </c>
      <c r="D1198" t="s">
        <v>1968</v>
      </c>
      <c r="E1198">
        <f>VLOOKUP(CONCATENATE(validProjetado[[#This Row],[Tipo]],validProjetado[[#This Row],[Destino]]),validConcreto!K:O,4)</f>
        <v>5.22</v>
      </c>
    </row>
    <row r="1199" spans="1:5" hidden="1" x14ac:dyDescent="0.25">
      <c r="A1199" s="11">
        <v>13</v>
      </c>
      <c r="B1199" s="11" t="s">
        <v>2005</v>
      </c>
      <c r="C1199" s="11">
        <v>2</v>
      </c>
      <c r="D1199" t="s">
        <v>1968</v>
      </c>
      <c r="E1199">
        <f>VLOOKUP(CONCATENATE(validProjetado[[#This Row],[Tipo]],validProjetado[[#This Row],[Destino]]),validConcreto!K:O,4)</f>
        <v>6.38</v>
      </c>
    </row>
    <row r="1200" spans="1:5" hidden="1" x14ac:dyDescent="0.25">
      <c r="A1200" s="11">
        <v>14</v>
      </c>
      <c r="B1200" s="11" t="s">
        <v>2005</v>
      </c>
      <c r="C1200" s="11">
        <v>1</v>
      </c>
      <c r="D1200" t="s">
        <v>1968</v>
      </c>
      <c r="E1200">
        <f>VLOOKUP(CONCATENATE(validProjetado[[#This Row],[Tipo]],validProjetado[[#This Row],[Destino]]),validConcreto!K:O,4)</f>
        <v>5.22</v>
      </c>
    </row>
    <row r="1201" spans="1:5" hidden="1" x14ac:dyDescent="0.25">
      <c r="A1201" s="11">
        <v>15</v>
      </c>
      <c r="B1201" s="11" t="s">
        <v>2005</v>
      </c>
      <c r="C1201" s="11">
        <v>2</v>
      </c>
      <c r="D1201" t="s">
        <v>1968</v>
      </c>
      <c r="E1201">
        <f>VLOOKUP(CONCATENATE(validProjetado[[#This Row],[Tipo]],validProjetado[[#This Row],[Destino]]),validConcreto!K:O,4)</f>
        <v>6.38</v>
      </c>
    </row>
    <row r="1202" spans="1:5" hidden="1" x14ac:dyDescent="0.25">
      <c r="A1202" s="11">
        <v>16</v>
      </c>
      <c r="B1202" s="11" t="s">
        <v>2005</v>
      </c>
      <c r="C1202" s="11">
        <v>1</v>
      </c>
      <c r="D1202" t="s">
        <v>1968</v>
      </c>
      <c r="E1202">
        <f>VLOOKUP(CONCATENATE(validProjetado[[#This Row],[Tipo]],validProjetado[[#This Row],[Destino]]),validConcreto!K:O,4)</f>
        <v>5.22</v>
      </c>
    </row>
    <row r="1203" spans="1:5" hidden="1" x14ac:dyDescent="0.25">
      <c r="A1203" s="11">
        <v>17</v>
      </c>
      <c r="B1203" s="11" t="s">
        <v>2005</v>
      </c>
      <c r="C1203" s="11">
        <v>2</v>
      </c>
      <c r="D1203" t="s">
        <v>1968</v>
      </c>
      <c r="E1203">
        <f>VLOOKUP(CONCATENATE(validProjetado[[#This Row],[Tipo]],validProjetado[[#This Row],[Destino]]),validConcreto!K:O,4)</f>
        <v>6.38</v>
      </c>
    </row>
    <row r="1204" spans="1:5" hidden="1" x14ac:dyDescent="0.25">
      <c r="A1204" s="11">
        <v>18</v>
      </c>
      <c r="B1204" s="11" t="s">
        <v>2005</v>
      </c>
      <c r="C1204" s="11">
        <v>1</v>
      </c>
      <c r="D1204" t="s">
        <v>1968</v>
      </c>
      <c r="E1204">
        <f>VLOOKUP(CONCATENATE(validProjetado[[#This Row],[Tipo]],validProjetado[[#This Row],[Destino]]),validConcreto!K:O,4)</f>
        <v>5.22</v>
      </c>
    </row>
    <row r="1205" spans="1:5" hidden="1" x14ac:dyDescent="0.25">
      <c r="A1205" s="11">
        <v>19</v>
      </c>
      <c r="B1205" s="11" t="s">
        <v>2005</v>
      </c>
      <c r="C1205" s="11">
        <v>2</v>
      </c>
      <c r="D1205" t="s">
        <v>1968</v>
      </c>
      <c r="E1205">
        <f>VLOOKUP(CONCATENATE(validProjetado[[#This Row],[Tipo]],validProjetado[[#This Row],[Destino]]),validConcreto!K:O,4)</f>
        <v>6.38</v>
      </c>
    </row>
    <row r="1206" spans="1:5" hidden="1" x14ac:dyDescent="0.25">
      <c r="A1206" s="11">
        <v>20</v>
      </c>
      <c r="B1206" s="11" t="s">
        <v>2005</v>
      </c>
      <c r="C1206" s="11">
        <v>1</v>
      </c>
      <c r="D1206" t="s">
        <v>1968</v>
      </c>
      <c r="E1206">
        <f>VLOOKUP(CONCATENATE(validProjetado[[#This Row],[Tipo]],validProjetado[[#This Row],[Destino]]),validConcreto!K:O,4)</f>
        <v>5.22</v>
      </c>
    </row>
    <row r="1207" spans="1:5" hidden="1" x14ac:dyDescent="0.25">
      <c r="A1207" s="11">
        <v>21</v>
      </c>
      <c r="B1207" s="11" t="s">
        <v>2005</v>
      </c>
      <c r="C1207" s="11">
        <v>2</v>
      </c>
      <c r="D1207" t="s">
        <v>1968</v>
      </c>
      <c r="E1207">
        <f>VLOOKUP(CONCATENATE(validProjetado[[#This Row],[Tipo]],validProjetado[[#This Row],[Destino]]),validConcreto!K:O,4)</f>
        <v>6.38</v>
      </c>
    </row>
    <row r="1208" spans="1:5" hidden="1" x14ac:dyDescent="0.25">
      <c r="A1208" s="11">
        <v>22</v>
      </c>
      <c r="B1208" s="11" t="s">
        <v>2005</v>
      </c>
      <c r="C1208" s="11">
        <v>1</v>
      </c>
      <c r="D1208" t="s">
        <v>1968</v>
      </c>
      <c r="E1208">
        <f>VLOOKUP(CONCATENATE(validProjetado[[#This Row],[Tipo]],validProjetado[[#This Row],[Destino]]),validConcreto!K:O,4)</f>
        <v>5.22</v>
      </c>
    </row>
    <row r="1209" spans="1:5" hidden="1" x14ac:dyDescent="0.25">
      <c r="A1209" s="11">
        <v>23</v>
      </c>
      <c r="B1209" s="11" t="s">
        <v>2005</v>
      </c>
      <c r="C1209" s="11">
        <v>2</v>
      </c>
      <c r="D1209" t="s">
        <v>1968</v>
      </c>
      <c r="E1209">
        <f>VLOOKUP(CONCATENATE(validProjetado[[#This Row],[Tipo]],validProjetado[[#This Row],[Destino]]),validConcreto!K:O,4)</f>
        <v>6.38</v>
      </c>
    </row>
    <row r="1210" spans="1:5" hidden="1" x14ac:dyDescent="0.25">
      <c r="A1210" s="11">
        <v>24</v>
      </c>
      <c r="B1210" s="11" t="s">
        <v>2005</v>
      </c>
      <c r="C1210" s="11">
        <v>1</v>
      </c>
      <c r="D1210" t="s">
        <v>1968</v>
      </c>
      <c r="E1210">
        <f>VLOOKUP(CONCATENATE(validProjetado[[#This Row],[Tipo]],validProjetado[[#This Row],[Destino]]),validConcreto!K:O,4)</f>
        <v>5.22</v>
      </c>
    </row>
    <row r="1211" spans="1:5" hidden="1" x14ac:dyDescent="0.25">
      <c r="A1211" s="11">
        <v>25</v>
      </c>
      <c r="B1211" s="11" t="s">
        <v>2005</v>
      </c>
      <c r="C1211" s="11">
        <v>2</v>
      </c>
      <c r="D1211" t="s">
        <v>1968</v>
      </c>
      <c r="E1211">
        <f>VLOOKUP(CONCATENATE(validProjetado[[#This Row],[Tipo]],validProjetado[[#This Row],[Destino]]),validConcreto!K:O,4)</f>
        <v>6.38</v>
      </c>
    </row>
    <row r="1212" spans="1:5" hidden="1" x14ac:dyDescent="0.25">
      <c r="A1212" s="11">
        <v>26</v>
      </c>
      <c r="B1212" s="11" t="s">
        <v>2005</v>
      </c>
      <c r="C1212" s="11">
        <v>1</v>
      </c>
      <c r="D1212" t="s">
        <v>1968</v>
      </c>
      <c r="E1212">
        <f>VLOOKUP(CONCATENATE(validProjetado[[#This Row],[Tipo]],validProjetado[[#This Row],[Destino]]),validConcreto!K:O,4)</f>
        <v>5.22</v>
      </c>
    </row>
    <row r="1213" spans="1:5" hidden="1" x14ac:dyDescent="0.25">
      <c r="A1213" s="11">
        <v>27</v>
      </c>
      <c r="B1213" s="11" t="s">
        <v>2005</v>
      </c>
      <c r="C1213" s="11">
        <v>2</v>
      </c>
      <c r="D1213" t="s">
        <v>1968</v>
      </c>
      <c r="E1213">
        <f>VLOOKUP(CONCATENATE(validProjetado[[#This Row],[Tipo]],validProjetado[[#This Row],[Destino]]),validConcreto!K:O,4)</f>
        <v>6.38</v>
      </c>
    </row>
    <row r="1214" spans="1:5" hidden="1" x14ac:dyDescent="0.25">
      <c r="A1214" s="11">
        <v>28</v>
      </c>
      <c r="B1214" s="11" t="s">
        <v>2005</v>
      </c>
      <c r="C1214" s="11">
        <v>1</v>
      </c>
      <c r="D1214" t="s">
        <v>1968</v>
      </c>
      <c r="E1214">
        <f>VLOOKUP(CONCATENATE(validProjetado[[#This Row],[Tipo]],validProjetado[[#This Row],[Destino]]),validConcreto!K:O,4)</f>
        <v>5.22</v>
      </c>
    </row>
    <row r="1215" spans="1:5" hidden="1" x14ac:dyDescent="0.25">
      <c r="A1215" s="11">
        <v>29</v>
      </c>
      <c r="B1215" s="11" t="s">
        <v>2005</v>
      </c>
      <c r="C1215" s="11">
        <v>2</v>
      </c>
      <c r="D1215" t="s">
        <v>1968</v>
      </c>
      <c r="E1215">
        <f>VLOOKUP(CONCATENATE(validProjetado[[#This Row],[Tipo]],validProjetado[[#This Row],[Destino]]),validConcreto!K:O,4)</f>
        <v>6.38</v>
      </c>
    </row>
    <row r="1216" spans="1:5" hidden="1" x14ac:dyDescent="0.25">
      <c r="A1216" s="11">
        <v>30</v>
      </c>
      <c r="B1216" s="11" t="s">
        <v>2005</v>
      </c>
      <c r="C1216" s="11">
        <v>1</v>
      </c>
      <c r="D1216" t="s">
        <v>1968</v>
      </c>
      <c r="E1216">
        <f>VLOOKUP(CONCATENATE(validProjetado[[#This Row],[Tipo]],validProjetado[[#This Row],[Destino]]),validConcreto!K:O,4)</f>
        <v>5.22</v>
      </c>
    </row>
    <row r="1217" spans="1:5" hidden="1" x14ac:dyDescent="0.25">
      <c r="A1217" s="11">
        <v>31</v>
      </c>
      <c r="B1217" s="11" t="s">
        <v>2005</v>
      </c>
      <c r="C1217" s="11">
        <v>1</v>
      </c>
      <c r="D1217" t="s">
        <v>1968</v>
      </c>
      <c r="E1217">
        <f>VLOOKUP(CONCATENATE(validProjetado[[#This Row],[Tipo]],validProjetado[[#This Row],[Destino]]),validConcreto!K:O,4)</f>
        <v>5.22</v>
      </c>
    </row>
    <row r="1218" spans="1:5" hidden="1" x14ac:dyDescent="0.25">
      <c r="A1218" s="11">
        <v>32</v>
      </c>
      <c r="B1218" s="11" t="s">
        <v>2005</v>
      </c>
      <c r="C1218" s="11">
        <v>1</v>
      </c>
      <c r="D1218" t="s">
        <v>1968</v>
      </c>
      <c r="E1218">
        <f>VLOOKUP(CONCATENATE(validProjetado[[#This Row],[Tipo]],validProjetado[[#This Row],[Destino]]),validConcreto!K:O,4)</f>
        <v>5.22</v>
      </c>
    </row>
    <row r="1219" spans="1:5" hidden="1" x14ac:dyDescent="0.25">
      <c r="A1219" s="11">
        <v>33</v>
      </c>
      <c r="B1219" s="11" t="s">
        <v>2005</v>
      </c>
      <c r="C1219" s="11">
        <v>1</v>
      </c>
      <c r="D1219" t="s">
        <v>1968</v>
      </c>
      <c r="E1219">
        <f>VLOOKUP(CONCATENATE(validProjetado[[#This Row],[Tipo]],validProjetado[[#This Row],[Destino]]),validConcreto!K:O,4)</f>
        <v>5.22</v>
      </c>
    </row>
    <row r="1220" spans="1:5" hidden="1" x14ac:dyDescent="0.25">
      <c r="A1220" s="11">
        <v>34</v>
      </c>
      <c r="B1220" s="11" t="s">
        <v>2005</v>
      </c>
      <c r="C1220" s="11">
        <v>1</v>
      </c>
      <c r="D1220" t="s">
        <v>1968</v>
      </c>
      <c r="E1220">
        <f>VLOOKUP(CONCATENATE(validProjetado[[#This Row],[Tipo]],validProjetado[[#This Row],[Destino]]),validConcreto!K:O,4)</f>
        <v>5.22</v>
      </c>
    </row>
    <row r="1221" spans="1:5" hidden="1" x14ac:dyDescent="0.25">
      <c r="A1221" s="11">
        <v>35</v>
      </c>
      <c r="B1221" s="11" t="s">
        <v>2005</v>
      </c>
      <c r="C1221" s="11">
        <v>1</v>
      </c>
      <c r="D1221" t="s">
        <v>1968</v>
      </c>
      <c r="E1221">
        <f>VLOOKUP(CONCATENATE(validProjetado[[#This Row],[Tipo]],validProjetado[[#This Row],[Destino]]),validConcreto!K:O,4)</f>
        <v>5.22</v>
      </c>
    </row>
    <row r="1222" spans="1:5" hidden="1" x14ac:dyDescent="0.25">
      <c r="A1222" s="11">
        <v>36</v>
      </c>
      <c r="B1222" s="11" t="s">
        <v>2005</v>
      </c>
      <c r="C1222" s="11">
        <v>1</v>
      </c>
      <c r="D1222" t="s">
        <v>1968</v>
      </c>
      <c r="E1222">
        <f>VLOOKUP(CONCATENATE(validProjetado[[#This Row],[Tipo]],validProjetado[[#This Row],[Destino]]),validConcreto!K:O,4)</f>
        <v>5.22</v>
      </c>
    </row>
    <row r="1223" spans="1:5" hidden="1" x14ac:dyDescent="0.25">
      <c r="A1223" s="11">
        <v>1</v>
      </c>
      <c r="B1223" s="11" t="s">
        <v>2007</v>
      </c>
      <c r="C1223" s="11">
        <v>2</v>
      </c>
      <c r="D1223" t="s">
        <v>1968</v>
      </c>
      <c r="E1223">
        <f>VLOOKUP(CONCATENATE(validProjetado[[#This Row],[Tipo]],validProjetado[[#This Row],[Destino]]),validConcreto!K:O,4)</f>
        <v>6.38</v>
      </c>
    </row>
    <row r="1224" spans="1:5" hidden="1" x14ac:dyDescent="0.25">
      <c r="A1224" s="11">
        <v>2</v>
      </c>
      <c r="B1224" s="11" t="s">
        <v>2007</v>
      </c>
      <c r="C1224" s="11">
        <v>2</v>
      </c>
      <c r="D1224" t="s">
        <v>1968</v>
      </c>
      <c r="E1224">
        <f>VLOOKUP(CONCATENATE(validProjetado[[#This Row],[Tipo]],validProjetado[[#This Row],[Destino]]),validConcreto!K:O,4)</f>
        <v>6.38</v>
      </c>
    </row>
    <row r="1225" spans="1:5" hidden="1" x14ac:dyDescent="0.25">
      <c r="A1225" s="11">
        <v>3</v>
      </c>
      <c r="B1225" s="11" t="s">
        <v>2007</v>
      </c>
      <c r="C1225" s="11">
        <v>2</v>
      </c>
      <c r="D1225" t="s">
        <v>1968</v>
      </c>
      <c r="E1225">
        <f>VLOOKUP(CONCATENATE(validProjetado[[#This Row],[Tipo]],validProjetado[[#This Row],[Destino]]),validConcreto!K:O,4)</f>
        <v>6.38</v>
      </c>
    </row>
    <row r="1226" spans="1:5" hidden="1" x14ac:dyDescent="0.25">
      <c r="A1226" s="11">
        <v>4</v>
      </c>
      <c r="B1226" s="11" t="s">
        <v>2007</v>
      </c>
      <c r="C1226" s="11">
        <v>2</v>
      </c>
      <c r="D1226" t="s">
        <v>1968</v>
      </c>
      <c r="E1226">
        <f>VLOOKUP(CONCATENATE(validProjetado[[#This Row],[Tipo]],validProjetado[[#This Row],[Destino]]),validConcreto!K:O,4)</f>
        <v>6.38</v>
      </c>
    </row>
    <row r="1227" spans="1:5" hidden="1" x14ac:dyDescent="0.25">
      <c r="A1227" s="11">
        <v>5</v>
      </c>
      <c r="B1227" s="11" t="s">
        <v>2007</v>
      </c>
      <c r="C1227" s="11">
        <v>2</v>
      </c>
      <c r="D1227" t="s">
        <v>1968</v>
      </c>
      <c r="E1227">
        <f>VLOOKUP(CONCATENATE(validProjetado[[#This Row],[Tipo]],validProjetado[[#This Row],[Destino]]),validConcreto!K:O,4)</f>
        <v>6.38</v>
      </c>
    </row>
    <row r="1228" spans="1:5" hidden="1" x14ac:dyDescent="0.25">
      <c r="A1228" s="11">
        <v>6</v>
      </c>
      <c r="B1228" s="11" t="s">
        <v>2007</v>
      </c>
      <c r="C1228" s="11">
        <v>2</v>
      </c>
      <c r="D1228" t="s">
        <v>1968</v>
      </c>
      <c r="E1228">
        <f>VLOOKUP(CONCATENATE(validProjetado[[#This Row],[Tipo]],validProjetado[[#This Row],[Destino]]),validConcreto!K:O,4)</f>
        <v>6.38</v>
      </c>
    </row>
    <row r="1229" spans="1:5" hidden="1" x14ac:dyDescent="0.25">
      <c r="A1229" s="11">
        <v>7</v>
      </c>
      <c r="B1229" s="11" t="s">
        <v>2007</v>
      </c>
      <c r="C1229" s="11">
        <v>2</v>
      </c>
      <c r="D1229" t="s">
        <v>1968</v>
      </c>
      <c r="E1229">
        <f>VLOOKUP(CONCATENATE(validProjetado[[#This Row],[Tipo]],validProjetado[[#This Row],[Destino]]),validConcreto!K:O,4)</f>
        <v>6.38</v>
      </c>
    </row>
    <row r="1230" spans="1:5" hidden="1" x14ac:dyDescent="0.25">
      <c r="A1230" s="11">
        <v>8</v>
      </c>
      <c r="B1230" s="11" t="s">
        <v>2007</v>
      </c>
      <c r="C1230" s="11">
        <v>2</v>
      </c>
      <c r="D1230" t="s">
        <v>1968</v>
      </c>
      <c r="E1230">
        <f>VLOOKUP(CONCATENATE(validProjetado[[#This Row],[Tipo]],validProjetado[[#This Row],[Destino]]),validConcreto!K:O,4)</f>
        <v>6.38</v>
      </c>
    </row>
    <row r="1231" spans="1:5" hidden="1" x14ac:dyDescent="0.25">
      <c r="A1231" s="11">
        <v>9</v>
      </c>
      <c r="B1231" s="11" t="s">
        <v>2007</v>
      </c>
      <c r="C1231" s="11">
        <v>2</v>
      </c>
      <c r="D1231" t="s">
        <v>1968</v>
      </c>
      <c r="E1231">
        <f>VLOOKUP(CONCATENATE(validProjetado[[#This Row],[Tipo]],validProjetado[[#This Row],[Destino]]),validConcreto!K:O,4)</f>
        <v>6.38</v>
      </c>
    </row>
    <row r="1232" spans="1:5" hidden="1" x14ac:dyDescent="0.25">
      <c r="A1232" s="11">
        <v>10</v>
      </c>
      <c r="B1232" s="11" t="s">
        <v>2007</v>
      </c>
      <c r="C1232" s="11">
        <v>1</v>
      </c>
      <c r="D1232" t="s">
        <v>1968</v>
      </c>
      <c r="E1232">
        <f>VLOOKUP(CONCATENATE(validProjetado[[#This Row],[Tipo]],validProjetado[[#This Row],[Destino]]),validConcreto!K:O,4)</f>
        <v>5.22</v>
      </c>
    </row>
    <row r="1233" spans="1:5" hidden="1" x14ac:dyDescent="0.25">
      <c r="A1233" s="11">
        <v>11</v>
      </c>
      <c r="B1233" s="11" t="s">
        <v>2007</v>
      </c>
      <c r="C1233" s="11">
        <v>2</v>
      </c>
      <c r="D1233" t="s">
        <v>1968</v>
      </c>
      <c r="E1233">
        <f>VLOOKUP(CONCATENATE(validProjetado[[#This Row],[Tipo]],validProjetado[[#This Row],[Destino]]),validConcreto!K:O,4)</f>
        <v>6.38</v>
      </c>
    </row>
    <row r="1234" spans="1:5" hidden="1" x14ac:dyDescent="0.25">
      <c r="A1234" s="11">
        <v>12</v>
      </c>
      <c r="B1234" s="11" t="s">
        <v>2007</v>
      </c>
      <c r="C1234" s="11">
        <v>1</v>
      </c>
      <c r="D1234" t="s">
        <v>1968</v>
      </c>
      <c r="E1234">
        <f>VLOOKUP(CONCATENATE(validProjetado[[#This Row],[Tipo]],validProjetado[[#This Row],[Destino]]),validConcreto!K:O,4)</f>
        <v>5.22</v>
      </c>
    </row>
    <row r="1235" spans="1:5" hidden="1" x14ac:dyDescent="0.25">
      <c r="A1235" s="11">
        <v>13</v>
      </c>
      <c r="B1235" s="11" t="s">
        <v>2007</v>
      </c>
      <c r="C1235" s="11">
        <v>2</v>
      </c>
      <c r="D1235" t="s">
        <v>1968</v>
      </c>
      <c r="E1235">
        <f>VLOOKUP(CONCATENATE(validProjetado[[#This Row],[Tipo]],validProjetado[[#This Row],[Destino]]),validConcreto!K:O,4)</f>
        <v>6.38</v>
      </c>
    </row>
    <row r="1236" spans="1:5" hidden="1" x14ac:dyDescent="0.25">
      <c r="A1236" s="11">
        <v>14</v>
      </c>
      <c r="B1236" s="11" t="s">
        <v>2007</v>
      </c>
      <c r="C1236" s="11">
        <v>1</v>
      </c>
      <c r="D1236" t="s">
        <v>1968</v>
      </c>
      <c r="E1236">
        <f>VLOOKUP(CONCATENATE(validProjetado[[#This Row],[Tipo]],validProjetado[[#This Row],[Destino]]),validConcreto!K:O,4)</f>
        <v>5.22</v>
      </c>
    </row>
    <row r="1237" spans="1:5" hidden="1" x14ac:dyDescent="0.25">
      <c r="A1237" s="11">
        <v>15</v>
      </c>
      <c r="B1237" s="11" t="s">
        <v>2007</v>
      </c>
      <c r="C1237" s="11">
        <v>2</v>
      </c>
      <c r="D1237" t="s">
        <v>1968</v>
      </c>
      <c r="E1237">
        <f>VLOOKUP(CONCATENATE(validProjetado[[#This Row],[Tipo]],validProjetado[[#This Row],[Destino]]),validConcreto!K:O,4)</f>
        <v>6.38</v>
      </c>
    </row>
    <row r="1238" spans="1:5" hidden="1" x14ac:dyDescent="0.25">
      <c r="A1238" s="11">
        <v>16</v>
      </c>
      <c r="B1238" s="11" t="s">
        <v>2007</v>
      </c>
      <c r="C1238" s="11">
        <v>1</v>
      </c>
      <c r="D1238" t="s">
        <v>1968</v>
      </c>
      <c r="E1238">
        <f>VLOOKUP(CONCATENATE(validProjetado[[#This Row],[Tipo]],validProjetado[[#This Row],[Destino]]),validConcreto!K:O,4)</f>
        <v>5.22</v>
      </c>
    </row>
    <row r="1239" spans="1:5" hidden="1" x14ac:dyDescent="0.25">
      <c r="A1239" s="11">
        <v>17</v>
      </c>
      <c r="B1239" s="11" t="s">
        <v>2007</v>
      </c>
      <c r="C1239" s="11">
        <v>2</v>
      </c>
      <c r="D1239" t="s">
        <v>1968</v>
      </c>
      <c r="E1239">
        <f>VLOOKUP(CONCATENATE(validProjetado[[#This Row],[Tipo]],validProjetado[[#This Row],[Destino]]),validConcreto!K:O,4)</f>
        <v>6.38</v>
      </c>
    </row>
    <row r="1240" spans="1:5" hidden="1" x14ac:dyDescent="0.25">
      <c r="A1240" s="11">
        <v>18</v>
      </c>
      <c r="B1240" s="11" t="s">
        <v>2007</v>
      </c>
      <c r="C1240" s="11">
        <v>1</v>
      </c>
      <c r="D1240" t="s">
        <v>1968</v>
      </c>
      <c r="E1240">
        <f>VLOOKUP(CONCATENATE(validProjetado[[#This Row],[Tipo]],validProjetado[[#This Row],[Destino]]),validConcreto!K:O,4)</f>
        <v>5.22</v>
      </c>
    </row>
    <row r="1241" spans="1:5" hidden="1" x14ac:dyDescent="0.25">
      <c r="A1241" s="11">
        <v>19</v>
      </c>
      <c r="B1241" s="11" t="s">
        <v>2007</v>
      </c>
      <c r="C1241" s="11">
        <v>2</v>
      </c>
      <c r="D1241" t="s">
        <v>1968</v>
      </c>
      <c r="E1241">
        <f>VLOOKUP(CONCATENATE(validProjetado[[#This Row],[Tipo]],validProjetado[[#This Row],[Destino]]),validConcreto!K:O,4)</f>
        <v>6.38</v>
      </c>
    </row>
    <row r="1242" spans="1:5" hidden="1" x14ac:dyDescent="0.25">
      <c r="A1242" s="11">
        <v>20</v>
      </c>
      <c r="B1242" s="11" t="s">
        <v>2007</v>
      </c>
      <c r="C1242" s="11">
        <v>1</v>
      </c>
      <c r="D1242" t="s">
        <v>1968</v>
      </c>
      <c r="E1242">
        <f>VLOOKUP(CONCATENATE(validProjetado[[#This Row],[Tipo]],validProjetado[[#This Row],[Destino]]),validConcreto!K:O,4)</f>
        <v>5.22</v>
      </c>
    </row>
    <row r="1243" spans="1:5" hidden="1" x14ac:dyDescent="0.25">
      <c r="A1243" s="11">
        <v>21</v>
      </c>
      <c r="B1243" s="11" t="s">
        <v>2007</v>
      </c>
      <c r="C1243" s="11">
        <v>1</v>
      </c>
      <c r="D1243" t="s">
        <v>1968</v>
      </c>
      <c r="E1243">
        <f>VLOOKUP(CONCATENATE(validProjetado[[#This Row],[Tipo]],validProjetado[[#This Row],[Destino]]),validConcreto!K:O,4)</f>
        <v>5.22</v>
      </c>
    </row>
    <row r="1244" spans="1:5" hidden="1" x14ac:dyDescent="0.25">
      <c r="A1244" s="11">
        <v>22</v>
      </c>
      <c r="B1244" s="11" t="s">
        <v>2007</v>
      </c>
      <c r="C1244" s="11">
        <v>1</v>
      </c>
      <c r="D1244" t="s">
        <v>1968</v>
      </c>
      <c r="E1244">
        <f>VLOOKUP(CONCATENATE(validProjetado[[#This Row],[Tipo]],validProjetado[[#This Row],[Destino]]),validConcreto!K:O,4)</f>
        <v>5.22</v>
      </c>
    </row>
    <row r="1245" spans="1:5" hidden="1" x14ac:dyDescent="0.25">
      <c r="A1245" s="11">
        <v>23</v>
      </c>
      <c r="B1245" s="11" t="s">
        <v>2007</v>
      </c>
      <c r="C1245" s="11">
        <v>1</v>
      </c>
      <c r="D1245" t="s">
        <v>1968</v>
      </c>
      <c r="E1245">
        <f>VLOOKUP(CONCATENATE(validProjetado[[#This Row],[Tipo]],validProjetado[[#This Row],[Destino]]),validConcreto!K:O,4)</f>
        <v>5.22</v>
      </c>
    </row>
    <row r="1246" spans="1:5" hidden="1" x14ac:dyDescent="0.25">
      <c r="A1246" s="11">
        <v>24</v>
      </c>
      <c r="B1246" s="11" t="s">
        <v>2007</v>
      </c>
      <c r="C1246" s="11">
        <v>1</v>
      </c>
      <c r="D1246" t="s">
        <v>1968</v>
      </c>
      <c r="E1246">
        <f>VLOOKUP(CONCATENATE(validProjetado[[#This Row],[Tipo]],validProjetado[[#This Row],[Destino]]),validConcreto!K:O,4)</f>
        <v>5.22</v>
      </c>
    </row>
    <row r="1247" spans="1:5" hidden="1" x14ac:dyDescent="0.25">
      <c r="A1247" s="11">
        <v>25</v>
      </c>
      <c r="B1247" s="11" t="s">
        <v>2007</v>
      </c>
      <c r="C1247" s="11">
        <v>1</v>
      </c>
      <c r="D1247" t="s">
        <v>1968</v>
      </c>
      <c r="E1247">
        <f>VLOOKUP(CONCATENATE(validProjetado[[#This Row],[Tipo]],validProjetado[[#This Row],[Destino]]),validConcreto!K:O,4)</f>
        <v>5.22</v>
      </c>
    </row>
    <row r="1248" spans="1:5" hidden="1" x14ac:dyDescent="0.25">
      <c r="A1248" s="11">
        <v>26</v>
      </c>
      <c r="B1248" s="11" t="s">
        <v>2007</v>
      </c>
      <c r="C1248" s="11">
        <v>1</v>
      </c>
      <c r="D1248" t="s">
        <v>1968</v>
      </c>
      <c r="E1248">
        <f>VLOOKUP(CONCATENATE(validProjetado[[#This Row],[Tipo]],validProjetado[[#This Row],[Destino]]),validConcreto!K:O,4)</f>
        <v>5.22</v>
      </c>
    </row>
    <row r="1249" spans="1:5" hidden="1" x14ac:dyDescent="0.25">
      <c r="A1249" s="11">
        <v>27</v>
      </c>
      <c r="B1249" s="11" t="s">
        <v>2007</v>
      </c>
      <c r="C1249" s="11">
        <v>1</v>
      </c>
      <c r="D1249" t="s">
        <v>1968</v>
      </c>
      <c r="E1249">
        <f>VLOOKUP(CONCATENATE(validProjetado[[#This Row],[Tipo]],validProjetado[[#This Row],[Destino]]),validConcreto!K:O,4)</f>
        <v>5.22</v>
      </c>
    </row>
    <row r="1250" spans="1:5" hidden="1" x14ac:dyDescent="0.25">
      <c r="A1250" s="11">
        <v>1</v>
      </c>
      <c r="B1250" s="11" t="s">
        <v>2010</v>
      </c>
      <c r="C1250" s="11">
        <v>2</v>
      </c>
      <c r="D1250" t="s">
        <v>1968</v>
      </c>
      <c r="E1250">
        <f>VLOOKUP(CONCATENATE(validProjetado[[#This Row],[Tipo]],validProjetado[[#This Row],[Destino]]),validConcreto!K:O,4)</f>
        <v>6.38</v>
      </c>
    </row>
    <row r="1251" spans="1:5" hidden="1" x14ac:dyDescent="0.25">
      <c r="A1251" s="11">
        <v>2</v>
      </c>
      <c r="B1251" s="11" t="s">
        <v>2010</v>
      </c>
      <c r="C1251" s="11">
        <v>2</v>
      </c>
      <c r="D1251" t="s">
        <v>1968</v>
      </c>
      <c r="E1251">
        <f>VLOOKUP(CONCATENATE(validProjetado[[#This Row],[Tipo]],validProjetado[[#This Row],[Destino]]),validConcreto!K:O,4)</f>
        <v>6.38</v>
      </c>
    </row>
    <row r="1252" spans="1:5" hidden="1" x14ac:dyDescent="0.25">
      <c r="A1252" s="11">
        <v>3</v>
      </c>
      <c r="B1252" s="11" t="s">
        <v>2010</v>
      </c>
      <c r="C1252" s="11">
        <v>2</v>
      </c>
      <c r="D1252" t="s">
        <v>1968</v>
      </c>
      <c r="E1252">
        <f>VLOOKUP(CONCATENATE(validProjetado[[#This Row],[Tipo]],validProjetado[[#This Row],[Destino]]),validConcreto!K:O,4)</f>
        <v>6.38</v>
      </c>
    </row>
    <row r="1253" spans="1:5" hidden="1" x14ac:dyDescent="0.25">
      <c r="A1253" s="11">
        <v>4</v>
      </c>
      <c r="B1253" s="11" t="s">
        <v>2010</v>
      </c>
      <c r="C1253" s="11">
        <v>1</v>
      </c>
      <c r="D1253" t="s">
        <v>1968</v>
      </c>
      <c r="E1253">
        <f>VLOOKUP(CONCATENATE(validProjetado[[#This Row],[Tipo]],validProjetado[[#This Row],[Destino]]),validConcreto!K:O,4)</f>
        <v>5.22</v>
      </c>
    </row>
    <row r="1254" spans="1:5" hidden="1" x14ac:dyDescent="0.25">
      <c r="A1254" s="11">
        <v>5</v>
      </c>
      <c r="B1254" s="11" t="s">
        <v>2010</v>
      </c>
      <c r="C1254" s="11">
        <v>2</v>
      </c>
      <c r="D1254" t="s">
        <v>1968</v>
      </c>
      <c r="E1254">
        <f>VLOOKUP(CONCATENATE(validProjetado[[#This Row],[Tipo]],validProjetado[[#This Row],[Destino]]),validConcreto!K:O,4)</f>
        <v>6.38</v>
      </c>
    </row>
    <row r="1255" spans="1:5" hidden="1" x14ac:dyDescent="0.25">
      <c r="A1255" s="11">
        <v>6</v>
      </c>
      <c r="B1255" s="11" t="s">
        <v>2010</v>
      </c>
      <c r="C1255" s="11">
        <v>1</v>
      </c>
      <c r="D1255" t="s">
        <v>1968</v>
      </c>
      <c r="E1255">
        <f>VLOOKUP(CONCATENATE(validProjetado[[#This Row],[Tipo]],validProjetado[[#This Row],[Destino]]),validConcreto!K:O,4)</f>
        <v>5.22</v>
      </c>
    </row>
    <row r="1256" spans="1:5" hidden="1" x14ac:dyDescent="0.25">
      <c r="A1256" s="11">
        <v>7</v>
      </c>
      <c r="B1256" s="11" t="s">
        <v>2010</v>
      </c>
      <c r="C1256" s="11">
        <v>2</v>
      </c>
      <c r="D1256" t="s">
        <v>1968</v>
      </c>
      <c r="E1256">
        <f>VLOOKUP(CONCATENATE(validProjetado[[#This Row],[Tipo]],validProjetado[[#This Row],[Destino]]),validConcreto!K:O,4)</f>
        <v>6.38</v>
      </c>
    </row>
    <row r="1257" spans="1:5" hidden="1" x14ac:dyDescent="0.25">
      <c r="A1257" s="11">
        <v>8</v>
      </c>
      <c r="B1257" s="11" t="s">
        <v>2010</v>
      </c>
      <c r="C1257" s="11">
        <v>1</v>
      </c>
      <c r="D1257" t="s">
        <v>1968</v>
      </c>
      <c r="E1257">
        <f>VLOOKUP(CONCATENATE(validProjetado[[#This Row],[Tipo]],validProjetado[[#This Row],[Destino]]),validConcreto!K:O,4)</f>
        <v>5.22</v>
      </c>
    </row>
    <row r="1258" spans="1:5" hidden="1" x14ac:dyDescent="0.25">
      <c r="A1258" s="11">
        <v>9</v>
      </c>
      <c r="B1258" s="11" t="s">
        <v>2010</v>
      </c>
      <c r="C1258" s="11">
        <v>2</v>
      </c>
      <c r="D1258" t="s">
        <v>1968</v>
      </c>
      <c r="E1258">
        <f>VLOOKUP(CONCATENATE(validProjetado[[#This Row],[Tipo]],validProjetado[[#This Row],[Destino]]),validConcreto!K:O,4)</f>
        <v>6.38</v>
      </c>
    </row>
    <row r="1259" spans="1:5" hidden="1" x14ac:dyDescent="0.25">
      <c r="A1259" s="11">
        <v>10</v>
      </c>
      <c r="B1259" s="11" t="s">
        <v>2010</v>
      </c>
      <c r="C1259" s="11">
        <v>1</v>
      </c>
      <c r="D1259" t="s">
        <v>1968</v>
      </c>
      <c r="E1259">
        <f>VLOOKUP(CONCATENATE(validProjetado[[#This Row],[Tipo]],validProjetado[[#This Row],[Destino]]),validConcreto!K:O,4)</f>
        <v>5.22</v>
      </c>
    </row>
    <row r="1260" spans="1:5" hidden="1" x14ac:dyDescent="0.25">
      <c r="A1260" s="11">
        <v>11</v>
      </c>
      <c r="B1260" s="11" t="s">
        <v>2010</v>
      </c>
      <c r="C1260" s="11">
        <v>2</v>
      </c>
      <c r="D1260" t="s">
        <v>1968</v>
      </c>
      <c r="E1260">
        <f>VLOOKUP(CONCATENATE(validProjetado[[#This Row],[Tipo]],validProjetado[[#This Row],[Destino]]),validConcreto!K:O,4)</f>
        <v>6.38</v>
      </c>
    </row>
    <row r="1261" spans="1:5" hidden="1" x14ac:dyDescent="0.25">
      <c r="A1261" s="11">
        <v>12</v>
      </c>
      <c r="B1261" s="11" t="s">
        <v>2010</v>
      </c>
      <c r="C1261" s="11">
        <v>1</v>
      </c>
      <c r="D1261" t="s">
        <v>1968</v>
      </c>
      <c r="E1261">
        <f>VLOOKUP(CONCATENATE(validProjetado[[#This Row],[Tipo]],validProjetado[[#This Row],[Destino]]),validConcreto!K:O,4)</f>
        <v>5.22</v>
      </c>
    </row>
    <row r="1262" spans="1:5" hidden="1" x14ac:dyDescent="0.25">
      <c r="A1262" s="11">
        <v>13</v>
      </c>
      <c r="B1262" s="11" t="s">
        <v>2010</v>
      </c>
      <c r="C1262" s="11">
        <v>1</v>
      </c>
      <c r="D1262" t="s">
        <v>1968</v>
      </c>
      <c r="E1262">
        <f>VLOOKUP(CONCATENATE(validProjetado[[#This Row],[Tipo]],validProjetado[[#This Row],[Destino]]),validConcreto!K:O,4)</f>
        <v>5.22</v>
      </c>
    </row>
    <row r="1263" spans="1:5" hidden="1" x14ac:dyDescent="0.25">
      <c r="A1263" s="11">
        <v>14</v>
      </c>
      <c r="B1263" s="11" t="s">
        <v>2010</v>
      </c>
      <c r="C1263" s="11">
        <v>1</v>
      </c>
      <c r="D1263" t="s">
        <v>1968</v>
      </c>
      <c r="E1263">
        <f>VLOOKUP(CONCATENATE(validProjetado[[#This Row],[Tipo]],validProjetado[[#This Row],[Destino]]),validConcreto!K:O,4)</f>
        <v>5.22</v>
      </c>
    </row>
    <row r="1264" spans="1:5" hidden="1" x14ac:dyDescent="0.25">
      <c r="A1264" s="11">
        <v>15</v>
      </c>
      <c r="B1264" s="11" t="s">
        <v>2010</v>
      </c>
      <c r="C1264" s="11">
        <v>1</v>
      </c>
      <c r="D1264" t="s">
        <v>1968</v>
      </c>
      <c r="E1264">
        <f>VLOOKUP(CONCATENATE(validProjetado[[#This Row],[Tipo]],validProjetado[[#This Row],[Destino]]),validConcreto!K:O,4)</f>
        <v>5.22</v>
      </c>
    </row>
    <row r="1265" spans="1:5" hidden="1" x14ac:dyDescent="0.25">
      <c r="A1265" s="11">
        <v>16</v>
      </c>
      <c r="B1265" s="11" t="s">
        <v>2010</v>
      </c>
      <c r="C1265" s="11">
        <v>1</v>
      </c>
      <c r="D1265" t="s">
        <v>1968</v>
      </c>
      <c r="E1265">
        <f>VLOOKUP(CONCATENATE(validProjetado[[#This Row],[Tipo]],validProjetado[[#This Row],[Destino]]),validConcreto!K:O,4)</f>
        <v>5.22</v>
      </c>
    </row>
    <row r="1266" spans="1:5" hidden="1" x14ac:dyDescent="0.25">
      <c r="A1266" s="11">
        <v>17</v>
      </c>
      <c r="B1266" s="11" t="s">
        <v>2010</v>
      </c>
      <c r="C1266" s="11">
        <v>1</v>
      </c>
      <c r="D1266" t="s">
        <v>1968</v>
      </c>
      <c r="E1266">
        <f>VLOOKUP(CONCATENATE(validProjetado[[#This Row],[Tipo]],validProjetado[[#This Row],[Destino]]),validConcreto!K:O,4)</f>
        <v>5.22</v>
      </c>
    </row>
    <row r="1267" spans="1:5" hidden="1" x14ac:dyDescent="0.25">
      <c r="A1267" s="11">
        <v>18</v>
      </c>
      <c r="B1267" s="11" t="s">
        <v>2010</v>
      </c>
      <c r="C1267" s="11">
        <v>1</v>
      </c>
      <c r="D1267" t="s">
        <v>1968</v>
      </c>
      <c r="E1267">
        <f>VLOOKUP(CONCATENATE(validProjetado[[#This Row],[Tipo]],validProjetado[[#This Row],[Destino]]),validConcreto!K:O,4)</f>
        <v>5.22</v>
      </c>
    </row>
    <row r="1268" spans="1:5" hidden="1" x14ac:dyDescent="0.25">
      <c r="A1268" s="11">
        <v>19</v>
      </c>
      <c r="B1268" s="11" t="s">
        <v>2010</v>
      </c>
      <c r="C1268" s="11">
        <v>1</v>
      </c>
      <c r="D1268" t="s">
        <v>1968</v>
      </c>
      <c r="E1268">
        <f>VLOOKUP(CONCATENATE(validProjetado[[#This Row],[Tipo]],validProjetado[[#This Row],[Destino]]),validConcreto!K:O,4)</f>
        <v>5.22</v>
      </c>
    </row>
    <row r="1269" spans="1:5" hidden="1" x14ac:dyDescent="0.25">
      <c r="A1269" s="11">
        <v>20</v>
      </c>
      <c r="B1269" s="11" t="s">
        <v>2010</v>
      </c>
      <c r="C1269" s="11">
        <v>1</v>
      </c>
      <c r="D1269" t="s">
        <v>1968</v>
      </c>
      <c r="E1269">
        <f>VLOOKUP(CONCATENATE(validProjetado[[#This Row],[Tipo]],validProjetado[[#This Row],[Destino]]),validConcreto!K:O,4)</f>
        <v>5.22</v>
      </c>
    </row>
    <row r="1270" spans="1:5" hidden="1" x14ac:dyDescent="0.25">
      <c r="A1270" s="11">
        <v>21</v>
      </c>
      <c r="B1270" s="11" t="s">
        <v>2010</v>
      </c>
      <c r="C1270" s="11">
        <v>1</v>
      </c>
      <c r="D1270" t="s">
        <v>1968</v>
      </c>
      <c r="E1270">
        <f>VLOOKUP(CONCATENATE(validProjetado[[#This Row],[Tipo]],validProjetado[[#This Row],[Destino]]),validConcreto!K:O,4)</f>
        <v>5.22</v>
      </c>
    </row>
    <row r="1271" spans="1:5" hidden="1" x14ac:dyDescent="0.25">
      <c r="A1271" s="11">
        <v>22</v>
      </c>
      <c r="B1271" s="11" t="s">
        <v>2010</v>
      </c>
      <c r="C1271" s="11">
        <v>1</v>
      </c>
      <c r="D1271" t="s">
        <v>1968</v>
      </c>
      <c r="E1271">
        <f>VLOOKUP(CONCATENATE(validProjetado[[#This Row],[Tipo]],validProjetado[[#This Row],[Destino]]),validConcreto!K:O,4)</f>
        <v>5.22</v>
      </c>
    </row>
    <row r="1272" spans="1:5" hidden="1" x14ac:dyDescent="0.25">
      <c r="A1272" s="11">
        <v>23</v>
      </c>
      <c r="B1272" s="11" t="s">
        <v>2010</v>
      </c>
      <c r="C1272" s="11">
        <v>1</v>
      </c>
      <c r="D1272" t="s">
        <v>1968</v>
      </c>
      <c r="E1272">
        <f>VLOOKUP(CONCATENATE(validProjetado[[#This Row],[Tipo]],validProjetado[[#This Row],[Destino]]),validConcreto!K:O,4)</f>
        <v>5.22</v>
      </c>
    </row>
    <row r="1273" spans="1:5" hidden="1" x14ac:dyDescent="0.25">
      <c r="A1273" s="11">
        <v>24</v>
      </c>
      <c r="B1273" s="11" t="s">
        <v>2010</v>
      </c>
      <c r="C1273" s="11">
        <v>1</v>
      </c>
      <c r="D1273" t="s">
        <v>1968</v>
      </c>
      <c r="E1273">
        <f>VLOOKUP(CONCATENATE(validProjetado[[#This Row],[Tipo]],validProjetado[[#This Row],[Destino]]),validConcreto!K:O,4)</f>
        <v>5.22</v>
      </c>
    </row>
    <row r="1274" spans="1:5" hidden="1" x14ac:dyDescent="0.25">
      <c r="A1274" s="11">
        <v>25</v>
      </c>
      <c r="B1274" s="11" t="s">
        <v>2010</v>
      </c>
      <c r="C1274" s="11">
        <v>1</v>
      </c>
      <c r="D1274" t="s">
        <v>1968</v>
      </c>
      <c r="E1274">
        <f>VLOOKUP(CONCATENATE(validProjetado[[#This Row],[Tipo]],validProjetado[[#This Row],[Destino]]),validConcreto!K:O,4)</f>
        <v>5.22</v>
      </c>
    </row>
    <row r="1275" spans="1:5" hidden="1" x14ac:dyDescent="0.25">
      <c r="A1275" s="11">
        <v>26</v>
      </c>
      <c r="B1275" s="11" t="s">
        <v>2010</v>
      </c>
      <c r="C1275" s="11">
        <v>1</v>
      </c>
      <c r="D1275" t="s">
        <v>1968</v>
      </c>
      <c r="E1275">
        <f>VLOOKUP(CONCATENATE(validProjetado[[#This Row],[Tipo]],validProjetado[[#This Row],[Destino]]),validConcreto!K:O,4)</f>
        <v>5.22</v>
      </c>
    </row>
    <row r="1276" spans="1:5" hidden="1" x14ac:dyDescent="0.25">
      <c r="A1276" s="11">
        <v>27</v>
      </c>
      <c r="B1276" s="11" t="s">
        <v>2010</v>
      </c>
      <c r="C1276" s="11">
        <v>1</v>
      </c>
      <c r="D1276" t="s">
        <v>1968</v>
      </c>
      <c r="E1276">
        <f>VLOOKUP(CONCATENATE(validProjetado[[#This Row],[Tipo]],validProjetado[[#This Row],[Destino]]),validConcreto!K:O,4)</f>
        <v>5.22</v>
      </c>
    </row>
    <row r="1277" spans="1:5" hidden="1" x14ac:dyDescent="0.25">
      <c r="A1277" s="11">
        <v>28</v>
      </c>
      <c r="B1277" s="11" t="s">
        <v>2010</v>
      </c>
      <c r="C1277" s="11">
        <v>1</v>
      </c>
      <c r="D1277" t="s">
        <v>1968</v>
      </c>
      <c r="E1277">
        <f>VLOOKUP(CONCATENATE(validProjetado[[#This Row],[Tipo]],validProjetado[[#This Row],[Destino]]),validConcreto!K:O,4)</f>
        <v>5.22</v>
      </c>
    </row>
    <row r="1278" spans="1:5" hidden="1" x14ac:dyDescent="0.25">
      <c r="A1278" s="11">
        <v>29</v>
      </c>
      <c r="B1278" s="11" t="s">
        <v>2010</v>
      </c>
      <c r="C1278" s="11">
        <v>1</v>
      </c>
      <c r="D1278" t="s">
        <v>1968</v>
      </c>
      <c r="E1278">
        <f>VLOOKUP(CONCATENATE(validProjetado[[#This Row],[Tipo]],validProjetado[[#This Row],[Destino]]),validConcreto!K:O,4)</f>
        <v>5.22</v>
      </c>
    </row>
    <row r="1279" spans="1:5" hidden="1" x14ac:dyDescent="0.25">
      <c r="A1279" s="11">
        <v>30</v>
      </c>
      <c r="B1279" s="11" t="s">
        <v>2010</v>
      </c>
      <c r="C1279" s="11">
        <v>2</v>
      </c>
      <c r="D1279" t="s">
        <v>1968</v>
      </c>
      <c r="E1279">
        <f>VLOOKUP(CONCATENATE(validProjetado[[#This Row],[Tipo]],validProjetado[[#This Row],[Destino]]),validConcreto!K:O,4)</f>
        <v>6.38</v>
      </c>
    </row>
    <row r="1280" spans="1:5" hidden="1" x14ac:dyDescent="0.25">
      <c r="A1280" s="11">
        <v>31</v>
      </c>
      <c r="B1280" s="11" t="s">
        <v>2010</v>
      </c>
      <c r="C1280" s="11">
        <v>1</v>
      </c>
      <c r="D1280" t="s">
        <v>1968</v>
      </c>
      <c r="E1280">
        <f>VLOOKUP(CONCATENATE(validProjetado[[#This Row],[Tipo]],validProjetado[[#This Row],[Destino]]),validConcreto!K:O,4)</f>
        <v>5.22</v>
      </c>
    </row>
    <row r="1281" spans="1:5" hidden="1" x14ac:dyDescent="0.25">
      <c r="A1281" s="11">
        <v>32</v>
      </c>
      <c r="B1281" s="11" t="s">
        <v>2010</v>
      </c>
      <c r="C1281" s="11">
        <v>1</v>
      </c>
      <c r="D1281" t="s">
        <v>1968</v>
      </c>
      <c r="E1281">
        <f>VLOOKUP(CONCATENATE(validProjetado[[#This Row],[Tipo]],validProjetado[[#This Row],[Destino]]),validConcreto!K:O,4)</f>
        <v>5.22</v>
      </c>
    </row>
    <row r="1282" spans="1:5" hidden="1" x14ac:dyDescent="0.25">
      <c r="A1282" s="11">
        <v>33</v>
      </c>
      <c r="B1282" s="11" t="s">
        <v>2010</v>
      </c>
      <c r="C1282" s="11">
        <v>1</v>
      </c>
      <c r="D1282" t="s">
        <v>1968</v>
      </c>
      <c r="E1282">
        <f>VLOOKUP(CONCATENATE(validProjetado[[#This Row],[Tipo]],validProjetado[[#This Row],[Destino]]),validConcreto!K:O,4)</f>
        <v>5.22</v>
      </c>
    </row>
    <row r="1283" spans="1:5" hidden="1" x14ac:dyDescent="0.25">
      <c r="A1283" s="11">
        <v>34</v>
      </c>
      <c r="B1283" s="11" t="s">
        <v>2010</v>
      </c>
      <c r="C1283" s="11">
        <v>1</v>
      </c>
      <c r="D1283" t="s">
        <v>1968</v>
      </c>
      <c r="E1283">
        <f>VLOOKUP(CONCATENATE(validProjetado[[#This Row],[Tipo]],validProjetado[[#This Row],[Destino]]),validConcreto!K:O,4)</f>
        <v>5.22</v>
      </c>
    </row>
    <row r="1284" spans="1:5" hidden="1" x14ac:dyDescent="0.25">
      <c r="A1284" s="11">
        <v>35</v>
      </c>
      <c r="B1284" s="11" t="s">
        <v>2010</v>
      </c>
      <c r="C1284" s="11">
        <v>1</v>
      </c>
      <c r="D1284" t="s">
        <v>1968</v>
      </c>
      <c r="E1284">
        <f>VLOOKUP(CONCATENATE(validProjetado[[#This Row],[Tipo]],validProjetado[[#This Row],[Destino]]),validConcreto!K:O,4)</f>
        <v>5.22</v>
      </c>
    </row>
    <row r="1285" spans="1:5" hidden="1" x14ac:dyDescent="0.25">
      <c r="A1285" s="11">
        <v>36</v>
      </c>
      <c r="B1285" s="11" t="s">
        <v>2010</v>
      </c>
      <c r="C1285" s="11">
        <v>1</v>
      </c>
      <c r="D1285" t="s">
        <v>1968</v>
      </c>
      <c r="E1285">
        <f>VLOOKUP(CONCATENATE(validProjetado[[#This Row],[Tipo]],validProjetado[[#This Row],[Destino]]),validConcreto!K:O,4)</f>
        <v>5.22</v>
      </c>
    </row>
    <row r="1286" spans="1:5" hidden="1" x14ac:dyDescent="0.25">
      <c r="A1286" s="11">
        <v>37</v>
      </c>
      <c r="B1286" s="11" t="s">
        <v>2010</v>
      </c>
      <c r="C1286" s="11">
        <v>1</v>
      </c>
      <c r="D1286" t="s">
        <v>1968</v>
      </c>
      <c r="E1286">
        <f>VLOOKUP(CONCATENATE(validProjetado[[#This Row],[Tipo]],validProjetado[[#This Row],[Destino]]),validConcreto!K:O,4)</f>
        <v>5.22</v>
      </c>
    </row>
    <row r="1287" spans="1:5" hidden="1" x14ac:dyDescent="0.25">
      <c r="A1287" s="11">
        <v>1</v>
      </c>
      <c r="B1287" s="11" t="s">
        <v>2013</v>
      </c>
      <c r="C1287" s="11">
        <v>1</v>
      </c>
      <c r="D1287" t="s">
        <v>1968</v>
      </c>
      <c r="E1287">
        <f>VLOOKUP(CONCATENATE(validProjetado[[#This Row],[Tipo]],validProjetado[[#This Row],[Destino]]),validConcreto!K:O,4)</f>
        <v>5.22</v>
      </c>
    </row>
    <row r="1288" spans="1:5" hidden="1" x14ac:dyDescent="0.25">
      <c r="A1288" s="11">
        <v>2</v>
      </c>
      <c r="B1288" s="11" t="s">
        <v>2013</v>
      </c>
      <c r="C1288" s="11">
        <v>1</v>
      </c>
      <c r="D1288" t="s">
        <v>1968</v>
      </c>
      <c r="E1288">
        <f>VLOOKUP(CONCATENATE(validProjetado[[#This Row],[Tipo]],validProjetado[[#This Row],[Destino]]),validConcreto!K:O,4)</f>
        <v>5.22</v>
      </c>
    </row>
    <row r="1289" spans="1:5" hidden="1" x14ac:dyDescent="0.25">
      <c r="A1289" s="11">
        <v>3</v>
      </c>
      <c r="B1289" s="11" t="s">
        <v>2013</v>
      </c>
      <c r="C1289" s="11">
        <v>1</v>
      </c>
      <c r="D1289" t="s">
        <v>1968</v>
      </c>
      <c r="E1289">
        <f>VLOOKUP(CONCATENATE(validProjetado[[#This Row],[Tipo]],validProjetado[[#This Row],[Destino]]),validConcreto!K:O,4)</f>
        <v>5.22</v>
      </c>
    </row>
    <row r="1290" spans="1:5" hidden="1" x14ac:dyDescent="0.25">
      <c r="A1290" s="11">
        <v>4</v>
      </c>
      <c r="B1290" s="11" t="s">
        <v>2013</v>
      </c>
      <c r="C1290" s="11">
        <v>1</v>
      </c>
      <c r="D1290" t="s">
        <v>1968</v>
      </c>
      <c r="E1290">
        <f>VLOOKUP(CONCATENATE(validProjetado[[#This Row],[Tipo]],validProjetado[[#This Row],[Destino]]),validConcreto!K:O,4)</f>
        <v>5.22</v>
      </c>
    </row>
    <row r="1291" spans="1:5" hidden="1" x14ac:dyDescent="0.25">
      <c r="A1291" s="11">
        <v>5</v>
      </c>
      <c r="B1291" s="11" t="s">
        <v>2013</v>
      </c>
      <c r="C1291" s="11">
        <v>1</v>
      </c>
      <c r="D1291" t="s">
        <v>1968</v>
      </c>
      <c r="E1291">
        <f>VLOOKUP(CONCATENATE(validProjetado[[#This Row],[Tipo]],validProjetado[[#This Row],[Destino]]),validConcreto!K:O,4)</f>
        <v>5.22</v>
      </c>
    </row>
    <row r="1292" spans="1:5" hidden="1" x14ac:dyDescent="0.25">
      <c r="A1292" s="11">
        <v>6</v>
      </c>
      <c r="B1292" s="11" t="s">
        <v>2013</v>
      </c>
      <c r="C1292" s="11">
        <v>1</v>
      </c>
      <c r="D1292" t="s">
        <v>1968</v>
      </c>
      <c r="E1292">
        <f>VLOOKUP(CONCATENATE(validProjetado[[#This Row],[Tipo]],validProjetado[[#This Row],[Destino]]),validConcreto!K:O,4)</f>
        <v>5.22</v>
      </c>
    </row>
    <row r="1293" spans="1:5" hidden="1" x14ac:dyDescent="0.25">
      <c r="A1293" s="11">
        <v>7</v>
      </c>
      <c r="B1293" s="11" t="s">
        <v>2013</v>
      </c>
      <c r="C1293" s="11">
        <v>1</v>
      </c>
      <c r="D1293" t="s">
        <v>1968</v>
      </c>
      <c r="E1293">
        <f>VLOOKUP(CONCATENATE(validProjetado[[#This Row],[Tipo]],validProjetado[[#This Row],[Destino]]),validConcreto!K:O,4)</f>
        <v>5.22</v>
      </c>
    </row>
    <row r="1294" spans="1:5" hidden="1" x14ac:dyDescent="0.25">
      <c r="A1294" s="11">
        <v>8</v>
      </c>
      <c r="B1294" s="11" t="s">
        <v>2013</v>
      </c>
      <c r="C1294" s="11">
        <v>1</v>
      </c>
      <c r="D1294" t="s">
        <v>1968</v>
      </c>
      <c r="E1294">
        <f>VLOOKUP(CONCATENATE(validProjetado[[#This Row],[Tipo]],validProjetado[[#This Row],[Destino]]),validConcreto!K:O,4)</f>
        <v>5.22</v>
      </c>
    </row>
    <row r="1295" spans="1:5" hidden="1" x14ac:dyDescent="0.25">
      <c r="A1295" s="11">
        <v>9</v>
      </c>
      <c r="B1295" s="11" t="s">
        <v>2013</v>
      </c>
      <c r="C1295" s="11">
        <v>1</v>
      </c>
      <c r="D1295" t="s">
        <v>1968</v>
      </c>
      <c r="E1295">
        <f>VLOOKUP(CONCATENATE(validProjetado[[#This Row],[Tipo]],validProjetado[[#This Row],[Destino]]),validConcreto!K:O,4)</f>
        <v>5.22</v>
      </c>
    </row>
    <row r="1296" spans="1:5" hidden="1" x14ac:dyDescent="0.25">
      <c r="A1296" s="11">
        <v>10</v>
      </c>
      <c r="B1296" s="11" t="s">
        <v>2013</v>
      </c>
      <c r="C1296" s="11">
        <v>1</v>
      </c>
      <c r="D1296" t="s">
        <v>1968</v>
      </c>
      <c r="E1296">
        <f>VLOOKUP(CONCATENATE(validProjetado[[#This Row],[Tipo]],validProjetado[[#This Row],[Destino]]),validConcreto!K:O,4)</f>
        <v>5.22</v>
      </c>
    </row>
    <row r="1297" spans="1:5" hidden="1" x14ac:dyDescent="0.25">
      <c r="A1297" s="11">
        <v>11</v>
      </c>
      <c r="B1297" s="11" t="s">
        <v>2013</v>
      </c>
      <c r="C1297" s="11">
        <v>1</v>
      </c>
      <c r="D1297" t="s">
        <v>1968</v>
      </c>
      <c r="E1297">
        <f>VLOOKUP(CONCATENATE(validProjetado[[#This Row],[Tipo]],validProjetado[[#This Row],[Destino]]),validConcreto!K:O,4)</f>
        <v>5.22</v>
      </c>
    </row>
    <row r="1298" spans="1:5" hidden="1" x14ac:dyDescent="0.25">
      <c r="A1298" s="11">
        <v>12</v>
      </c>
      <c r="B1298" s="11" t="s">
        <v>2013</v>
      </c>
      <c r="C1298" s="11">
        <v>1</v>
      </c>
      <c r="D1298" t="s">
        <v>1968</v>
      </c>
      <c r="E1298">
        <f>VLOOKUP(CONCATENATE(validProjetado[[#This Row],[Tipo]],validProjetado[[#This Row],[Destino]]),validConcreto!K:O,4)</f>
        <v>5.22</v>
      </c>
    </row>
    <row r="1299" spans="1:5" hidden="1" x14ac:dyDescent="0.25">
      <c r="A1299" s="11">
        <v>13</v>
      </c>
      <c r="B1299" s="11" t="s">
        <v>2013</v>
      </c>
      <c r="C1299" s="11">
        <v>1</v>
      </c>
      <c r="D1299" t="s">
        <v>1968</v>
      </c>
      <c r="E1299">
        <f>VLOOKUP(CONCATENATE(validProjetado[[#This Row],[Tipo]],validProjetado[[#This Row],[Destino]]),validConcreto!K:O,4)</f>
        <v>5.22</v>
      </c>
    </row>
    <row r="1300" spans="1:5" hidden="1" x14ac:dyDescent="0.25">
      <c r="A1300" s="11">
        <v>14</v>
      </c>
      <c r="B1300" s="11" t="s">
        <v>2013</v>
      </c>
      <c r="C1300" s="11">
        <v>1</v>
      </c>
      <c r="D1300" t="s">
        <v>1968</v>
      </c>
      <c r="E1300">
        <f>VLOOKUP(CONCATENATE(validProjetado[[#This Row],[Tipo]],validProjetado[[#This Row],[Destino]]),validConcreto!K:O,4)</f>
        <v>5.22</v>
      </c>
    </row>
    <row r="1301" spans="1:5" hidden="1" x14ac:dyDescent="0.25">
      <c r="A1301" s="11">
        <v>15</v>
      </c>
      <c r="B1301" s="11" t="s">
        <v>2013</v>
      </c>
      <c r="C1301" s="11">
        <v>1</v>
      </c>
      <c r="D1301" t="s">
        <v>1968</v>
      </c>
      <c r="E1301">
        <f>VLOOKUP(CONCATENATE(validProjetado[[#This Row],[Tipo]],validProjetado[[#This Row],[Destino]]),validConcreto!K:O,4)</f>
        <v>5.22</v>
      </c>
    </row>
    <row r="1302" spans="1:5" hidden="1" x14ac:dyDescent="0.25">
      <c r="A1302" s="11">
        <v>16</v>
      </c>
      <c r="B1302" s="11" t="s">
        <v>2013</v>
      </c>
      <c r="C1302" s="11">
        <v>1</v>
      </c>
      <c r="D1302" t="s">
        <v>1968</v>
      </c>
      <c r="E1302">
        <f>VLOOKUP(CONCATENATE(validProjetado[[#This Row],[Tipo]],validProjetado[[#This Row],[Destino]]),validConcreto!K:O,4)</f>
        <v>5.22</v>
      </c>
    </row>
    <row r="1303" spans="1:5" hidden="1" x14ac:dyDescent="0.25">
      <c r="A1303" s="11">
        <v>17</v>
      </c>
      <c r="B1303" s="11" t="s">
        <v>2013</v>
      </c>
      <c r="C1303" s="11">
        <v>1</v>
      </c>
      <c r="D1303" t="s">
        <v>1968</v>
      </c>
      <c r="E1303">
        <f>VLOOKUP(CONCATENATE(validProjetado[[#This Row],[Tipo]],validProjetado[[#This Row],[Destino]]),validConcreto!K:O,4)</f>
        <v>5.22</v>
      </c>
    </row>
    <row r="1304" spans="1:5" hidden="1" x14ac:dyDescent="0.25">
      <c r="A1304" s="11">
        <v>18</v>
      </c>
      <c r="B1304" s="11" t="s">
        <v>2013</v>
      </c>
      <c r="C1304" s="11">
        <v>1</v>
      </c>
      <c r="D1304" t="s">
        <v>1968</v>
      </c>
      <c r="E1304">
        <f>VLOOKUP(CONCATENATE(validProjetado[[#This Row],[Tipo]],validProjetado[[#This Row],[Destino]]),validConcreto!K:O,4)</f>
        <v>5.22</v>
      </c>
    </row>
    <row r="1305" spans="1:5" hidden="1" x14ac:dyDescent="0.25">
      <c r="A1305" s="11">
        <v>19</v>
      </c>
      <c r="B1305" s="11" t="s">
        <v>2013</v>
      </c>
      <c r="C1305" s="11">
        <v>1</v>
      </c>
      <c r="D1305" t="s">
        <v>1968</v>
      </c>
      <c r="E1305">
        <f>VLOOKUP(CONCATENATE(validProjetado[[#This Row],[Tipo]],validProjetado[[#This Row],[Destino]]),validConcreto!K:O,4)</f>
        <v>5.22</v>
      </c>
    </row>
    <row r="1306" spans="1:5" hidden="1" x14ac:dyDescent="0.25">
      <c r="A1306" s="11">
        <v>20</v>
      </c>
      <c r="B1306" s="11" t="s">
        <v>2013</v>
      </c>
      <c r="C1306" s="11">
        <v>1</v>
      </c>
      <c r="D1306" t="s">
        <v>1968</v>
      </c>
      <c r="E1306">
        <f>VLOOKUP(CONCATENATE(validProjetado[[#This Row],[Tipo]],validProjetado[[#This Row],[Destino]]),validConcreto!K:O,4)</f>
        <v>5.22</v>
      </c>
    </row>
    <row r="1307" spans="1:5" hidden="1" x14ac:dyDescent="0.25">
      <c r="A1307" s="11">
        <v>21</v>
      </c>
      <c r="B1307" s="11" t="s">
        <v>2013</v>
      </c>
      <c r="C1307" s="11">
        <v>1</v>
      </c>
      <c r="D1307" t="s">
        <v>1968</v>
      </c>
      <c r="E1307">
        <f>VLOOKUP(CONCATENATE(validProjetado[[#This Row],[Tipo]],validProjetado[[#This Row],[Destino]]),validConcreto!K:O,4)</f>
        <v>5.22</v>
      </c>
    </row>
    <row r="1308" spans="1:5" hidden="1" x14ac:dyDescent="0.25">
      <c r="A1308" s="11">
        <v>22</v>
      </c>
      <c r="B1308" s="11" t="s">
        <v>2013</v>
      </c>
      <c r="C1308" s="11">
        <v>1</v>
      </c>
      <c r="D1308" t="s">
        <v>1968</v>
      </c>
      <c r="E1308">
        <f>VLOOKUP(CONCATENATE(validProjetado[[#This Row],[Tipo]],validProjetado[[#This Row],[Destino]]),validConcreto!K:O,4)</f>
        <v>5.22</v>
      </c>
    </row>
    <row r="1309" spans="1:5" hidden="1" x14ac:dyDescent="0.25">
      <c r="A1309" s="11">
        <v>23</v>
      </c>
      <c r="B1309" s="11" t="s">
        <v>2013</v>
      </c>
      <c r="C1309" s="11">
        <v>1</v>
      </c>
      <c r="D1309" t="s">
        <v>1968</v>
      </c>
      <c r="E1309">
        <f>VLOOKUP(CONCATENATE(validProjetado[[#This Row],[Tipo]],validProjetado[[#This Row],[Destino]]),validConcreto!K:O,4)</f>
        <v>5.22</v>
      </c>
    </row>
    <row r="1310" spans="1:5" hidden="1" x14ac:dyDescent="0.25">
      <c r="A1310" s="11">
        <v>24</v>
      </c>
      <c r="B1310" s="11" t="s">
        <v>2013</v>
      </c>
      <c r="C1310" s="11">
        <v>1</v>
      </c>
      <c r="D1310" t="s">
        <v>1968</v>
      </c>
      <c r="E1310">
        <f>VLOOKUP(CONCATENATE(validProjetado[[#This Row],[Tipo]],validProjetado[[#This Row],[Destino]]),validConcreto!K:O,4)</f>
        <v>5.22</v>
      </c>
    </row>
    <row r="1311" spans="1:5" hidden="1" x14ac:dyDescent="0.25">
      <c r="A1311" s="11">
        <v>25</v>
      </c>
      <c r="B1311" s="11" t="s">
        <v>2013</v>
      </c>
      <c r="C1311" s="11">
        <v>1</v>
      </c>
      <c r="D1311" t="s">
        <v>1968</v>
      </c>
      <c r="E1311">
        <f>VLOOKUP(CONCATENATE(validProjetado[[#This Row],[Tipo]],validProjetado[[#This Row],[Destino]]),validConcreto!K:O,4)</f>
        <v>5.22</v>
      </c>
    </row>
    <row r="1312" spans="1:5" hidden="1" x14ac:dyDescent="0.25">
      <c r="A1312" s="11">
        <v>26</v>
      </c>
      <c r="B1312" s="11" t="s">
        <v>2013</v>
      </c>
      <c r="C1312" s="11">
        <v>1</v>
      </c>
      <c r="D1312" t="s">
        <v>1968</v>
      </c>
      <c r="E1312">
        <f>VLOOKUP(CONCATENATE(validProjetado[[#This Row],[Tipo]],validProjetado[[#This Row],[Destino]]),validConcreto!K:O,4)</f>
        <v>5.22</v>
      </c>
    </row>
    <row r="1313" spans="1:5" hidden="1" x14ac:dyDescent="0.25">
      <c r="A1313" s="11">
        <v>27</v>
      </c>
      <c r="B1313" s="11" t="s">
        <v>2013</v>
      </c>
      <c r="C1313" s="11">
        <v>1</v>
      </c>
      <c r="D1313" t="s">
        <v>1968</v>
      </c>
      <c r="E1313">
        <f>VLOOKUP(CONCATENATE(validProjetado[[#This Row],[Tipo]],validProjetado[[#This Row],[Destino]]),validConcreto!K:O,4)</f>
        <v>5.22</v>
      </c>
    </row>
    <row r="1314" spans="1:5" hidden="1" x14ac:dyDescent="0.25">
      <c r="A1314" s="11">
        <v>28</v>
      </c>
      <c r="B1314" s="11" t="s">
        <v>2013</v>
      </c>
      <c r="C1314" s="11">
        <v>1</v>
      </c>
      <c r="D1314" t="s">
        <v>1968</v>
      </c>
      <c r="E1314">
        <f>VLOOKUP(CONCATENATE(validProjetado[[#This Row],[Tipo]],validProjetado[[#This Row],[Destino]]),validConcreto!K:O,4)</f>
        <v>5.22</v>
      </c>
    </row>
    <row r="1315" spans="1:5" hidden="1" x14ac:dyDescent="0.25">
      <c r="A1315" s="11">
        <v>29</v>
      </c>
      <c r="B1315" s="11" t="s">
        <v>2013</v>
      </c>
      <c r="C1315" s="11">
        <v>2</v>
      </c>
      <c r="D1315" t="s">
        <v>1968</v>
      </c>
      <c r="E1315">
        <f>VLOOKUP(CONCATENATE(validProjetado[[#This Row],[Tipo]],validProjetado[[#This Row],[Destino]]),validConcreto!K:O,4)</f>
        <v>6.38</v>
      </c>
    </row>
    <row r="1316" spans="1:5" hidden="1" x14ac:dyDescent="0.25">
      <c r="A1316" s="11">
        <v>30</v>
      </c>
      <c r="B1316" s="11" t="s">
        <v>2013</v>
      </c>
      <c r="C1316" s="11">
        <v>1</v>
      </c>
      <c r="D1316" t="s">
        <v>1968</v>
      </c>
      <c r="E1316">
        <f>VLOOKUP(CONCATENATE(validProjetado[[#This Row],[Tipo]],validProjetado[[#This Row],[Destino]]),validConcreto!K:O,4)</f>
        <v>5.22</v>
      </c>
    </row>
    <row r="1317" spans="1:5" hidden="1" x14ac:dyDescent="0.25">
      <c r="A1317" s="11">
        <v>31</v>
      </c>
      <c r="B1317" s="11" t="s">
        <v>2013</v>
      </c>
      <c r="C1317" s="11">
        <v>1</v>
      </c>
      <c r="D1317" t="s">
        <v>1968</v>
      </c>
      <c r="E1317">
        <f>VLOOKUP(CONCATENATE(validProjetado[[#This Row],[Tipo]],validProjetado[[#This Row],[Destino]]),validConcreto!K:O,4)</f>
        <v>5.22</v>
      </c>
    </row>
    <row r="1318" spans="1:5" hidden="1" x14ac:dyDescent="0.25">
      <c r="A1318" s="11">
        <v>32</v>
      </c>
      <c r="B1318" s="11" t="s">
        <v>2013</v>
      </c>
      <c r="C1318" s="11">
        <v>1</v>
      </c>
      <c r="D1318" t="s">
        <v>1968</v>
      </c>
      <c r="E1318">
        <f>VLOOKUP(CONCATENATE(validProjetado[[#This Row],[Tipo]],validProjetado[[#This Row],[Destino]]),validConcreto!K:O,4)</f>
        <v>5.22</v>
      </c>
    </row>
    <row r="1319" spans="1:5" hidden="1" x14ac:dyDescent="0.25">
      <c r="A1319" s="11">
        <v>33</v>
      </c>
      <c r="B1319" s="11" t="s">
        <v>2013</v>
      </c>
      <c r="C1319" s="11">
        <v>1</v>
      </c>
      <c r="D1319" t="s">
        <v>1968</v>
      </c>
      <c r="E1319">
        <f>VLOOKUP(CONCATENATE(validProjetado[[#This Row],[Tipo]],validProjetado[[#This Row],[Destino]]),validConcreto!K:O,4)</f>
        <v>5.22</v>
      </c>
    </row>
    <row r="1320" spans="1:5" hidden="1" x14ac:dyDescent="0.25">
      <c r="A1320" s="11">
        <v>34</v>
      </c>
      <c r="B1320" s="11" t="s">
        <v>2013</v>
      </c>
      <c r="C1320" s="11">
        <v>2</v>
      </c>
      <c r="D1320" t="s">
        <v>1968</v>
      </c>
      <c r="E1320">
        <f>VLOOKUP(CONCATENATE(validProjetado[[#This Row],[Tipo]],validProjetado[[#This Row],[Destino]]),validConcreto!K:O,4)</f>
        <v>6.38</v>
      </c>
    </row>
    <row r="1321" spans="1:5" hidden="1" x14ac:dyDescent="0.25">
      <c r="A1321" s="11">
        <v>1</v>
      </c>
      <c r="B1321" s="11" t="s">
        <v>2016</v>
      </c>
      <c r="C1321" s="11">
        <v>1</v>
      </c>
      <c r="D1321" t="s">
        <v>1968</v>
      </c>
      <c r="E1321">
        <f>VLOOKUP(CONCATENATE(validProjetado[[#This Row],[Tipo]],validProjetado[[#This Row],[Destino]]),validConcreto!K:O,4)</f>
        <v>5.22</v>
      </c>
    </row>
    <row r="1322" spans="1:5" hidden="1" x14ac:dyDescent="0.25">
      <c r="A1322" s="11">
        <v>2</v>
      </c>
      <c r="B1322" s="11" t="s">
        <v>2016</v>
      </c>
      <c r="C1322" s="11">
        <v>2</v>
      </c>
      <c r="D1322" t="s">
        <v>1968</v>
      </c>
      <c r="E1322">
        <f>VLOOKUP(CONCATENATE(validProjetado[[#This Row],[Tipo]],validProjetado[[#This Row],[Destino]]),validConcreto!K:O,4)</f>
        <v>6.38</v>
      </c>
    </row>
    <row r="1323" spans="1:5" hidden="1" x14ac:dyDescent="0.25">
      <c r="A1323" s="11">
        <v>3</v>
      </c>
      <c r="B1323" s="11" t="s">
        <v>2016</v>
      </c>
      <c r="C1323" s="11">
        <v>1</v>
      </c>
      <c r="D1323" t="s">
        <v>1968</v>
      </c>
      <c r="E1323">
        <f>VLOOKUP(CONCATENATE(validProjetado[[#This Row],[Tipo]],validProjetado[[#This Row],[Destino]]),validConcreto!K:O,4)</f>
        <v>5.22</v>
      </c>
    </row>
    <row r="1324" spans="1:5" hidden="1" x14ac:dyDescent="0.25">
      <c r="A1324" s="11">
        <v>4</v>
      </c>
      <c r="B1324" s="11" t="s">
        <v>2016</v>
      </c>
      <c r="C1324" s="11">
        <v>2</v>
      </c>
      <c r="D1324" t="s">
        <v>1968</v>
      </c>
      <c r="E1324">
        <f>VLOOKUP(CONCATENATE(validProjetado[[#This Row],[Tipo]],validProjetado[[#This Row],[Destino]]),validConcreto!K:O,4)</f>
        <v>6.38</v>
      </c>
    </row>
    <row r="1325" spans="1:5" hidden="1" x14ac:dyDescent="0.25">
      <c r="A1325" s="11">
        <v>5</v>
      </c>
      <c r="B1325" s="11" t="s">
        <v>2016</v>
      </c>
      <c r="C1325" s="11">
        <v>1</v>
      </c>
      <c r="D1325" t="s">
        <v>1968</v>
      </c>
      <c r="E1325">
        <f>VLOOKUP(CONCATENATE(validProjetado[[#This Row],[Tipo]],validProjetado[[#This Row],[Destino]]),validConcreto!K:O,4)</f>
        <v>5.22</v>
      </c>
    </row>
    <row r="1326" spans="1:5" hidden="1" x14ac:dyDescent="0.25">
      <c r="A1326" s="11">
        <v>6</v>
      </c>
      <c r="B1326" s="11" t="s">
        <v>2016</v>
      </c>
      <c r="C1326" s="11">
        <v>2</v>
      </c>
      <c r="D1326" t="s">
        <v>1968</v>
      </c>
      <c r="E1326">
        <f>VLOOKUP(CONCATENATE(validProjetado[[#This Row],[Tipo]],validProjetado[[#This Row],[Destino]]),validConcreto!K:O,4)</f>
        <v>6.38</v>
      </c>
    </row>
    <row r="1327" spans="1:5" hidden="1" x14ac:dyDescent="0.25">
      <c r="A1327" s="11">
        <v>7</v>
      </c>
      <c r="B1327" s="11" t="s">
        <v>2016</v>
      </c>
      <c r="C1327" s="11">
        <v>1</v>
      </c>
      <c r="D1327" t="s">
        <v>1968</v>
      </c>
      <c r="E1327">
        <f>VLOOKUP(CONCATENATE(validProjetado[[#This Row],[Tipo]],validProjetado[[#This Row],[Destino]]),validConcreto!K:O,4)</f>
        <v>5.22</v>
      </c>
    </row>
    <row r="1328" spans="1:5" hidden="1" x14ac:dyDescent="0.25">
      <c r="A1328" s="11">
        <v>8</v>
      </c>
      <c r="B1328" s="11" t="s">
        <v>2016</v>
      </c>
      <c r="C1328" s="11">
        <v>2</v>
      </c>
      <c r="D1328" t="s">
        <v>1968</v>
      </c>
      <c r="E1328">
        <f>VLOOKUP(CONCATENATE(validProjetado[[#This Row],[Tipo]],validProjetado[[#This Row],[Destino]]),validConcreto!K:O,4)</f>
        <v>6.38</v>
      </c>
    </row>
    <row r="1329" spans="1:5" hidden="1" x14ac:dyDescent="0.25">
      <c r="A1329" s="11">
        <v>9</v>
      </c>
      <c r="B1329" s="11" t="s">
        <v>2016</v>
      </c>
      <c r="C1329" s="11">
        <v>1</v>
      </c>
      <c r="D1329" t="s">
        <v>1968</v>
      </c>
      <c r="E1329">
        <f>VLOOKUP(CONCATENATE(validProjetado[[#This Row],[Tipo]],validProjetado[[#This Row],[Destino]]),validConcreto!K:O,4)</f>
        <v>5.22</v>
      </c>
    </row>
    <row r="1330" spans="1:5" hidden="1" x14ac:dyDescent="0.25">
      <c r="A1330" s="11">
        <v>10</v>
      </c>
      <c r="B1330" s="11" t="s">
        <v>2016</v>
      </c>
      <c r="C1330" s="11">
        <v>2</v>
      </c>
      <c r="D1330" t="s">
        <v>1968</v>
      </c>
      <c r="E1330">
        <f>VLOOKUP(CONCATENATE(validProjetado[[#This Row],[Tipo]],validProjetado[[#This Row],[Destino]]),validConcreto!K:O,4)</f>
        <v>6.38</v>
      </c>
    </row>
    <row r="1331" spans="1:5" hidden="1" x14ac:dyDescent="0.25">
      <c r="A1331" s="11">
        <v>11</v>
      </c>
      <c r="B1331" s="11" t="s">
        <v>2016</v>
      </c>
      <c r="C1331" s="11">
        <v>1</v>
      </c>
      <c r="D1331" t="s">
        <v>1968</v>
      </c>
      <c r="E1331">
        <f>VLOOKUP(CONCATENATE(validProjetado[[#This Row],[Tipo]],validProjetado[[#This Row],[Destino]]),validConcreto!K:O,4)</f>
        <v>5.22</v>
      </c>
    </row>
    <row r="1332" spans="1:5" hidden="1" x14ac:dyDescent="0.25">
      <c r="A1332" s="11">
        <v>12</v>
      </c>
      <c r="B1332" s="11" t="s">
        <v>2016</v>
      </c>
      <c r="C1332" s="11">
        <v>2</v>
      </c>
      <c r="D1332" t="s">
        <v>1968</v>
      </c>
      <c r="E1332">
        <f>VLOOKUP(CONCATENATE(validProjetado[[#This Row],[Tipo]],validProjetado[[#This Row],[Destino]]),validConcreto!K:O,4)</f>
        <v>6.38</v>
      </c>
    </row>
    <row r="1333" spans="1:5" hidden="1" x14ac:dyDescent="0.25">
      <c r="A1333" s="11">
        <v>13</v>
      </c>
      <c r="B1333" s="11" t="s">
        <v>2016</v>
      </c>
      <c r="C1333" s="11">
        <v>1</v>
      </c>
      <c r="D1333" t="s">
        <v>1968</v>
      </c>
      <c r="E1333">
        <f>VLOOKUP(CONCATENATE(validProjetado[[#This Row],[Tipo]],validProjetado[[#This Row],[Destino]]),validConcreto!K:O,4)</f>
        <v>5.22</v>
      </c>
    </row>
    <row r="1334" spans="1:5" hidden="1" x14ac:dyDescent="0.25">
      <c r="A1334" s="11">
        <v>14</v>
      </c>
      <c r="B1334" s="11" t="s">
        <v>2016</v>
      </c>
      <c r="C1334" s="11">
        <v>2</v>
      </c>
      <c r="D1334" t="s">
        <v>1968</v>
      </c>
      <c r="E1334">
        <f>VLOOKUP(CONCATENATE(validProjetado[[#This Row],[Tipo]],validProjetado[[#This Row],[Destino]]),validConcreto!K:O,4)</f>
        <v>6.38</v>
      </c>
    </row>
    <row r="1335" spans="1:5" hidden="1" x14ac:dyDescent="0.25">
      <c r="A1335" s="11">
        <v>15</v>
      </c>
      <c r="B1335" s="11" t="s">
        <v>2016</v>
      </c>
      <c r="C1335" s="11">
        <v>1</v>
      </c>
      <c r="D1335" t="s">
        <v>1968</v>
      </c>
      <c r="E1335">
        <f>VLOOKUP(CONCATENATE(validProjetado[[#This Row],[Tipo]],validProjetado[[#This Row],[Destino]]),validConcreto!K:O,4)</f>
        <v>5.22</v>
      </c>
    </row>
    <row r="1336" spans="1:5" hidden="1" x14ac:dyDescent="0.25">
      <c r="A1336" s="11">
        <v>16</v>
      </c>
      <c r="B1336" s="11" t="s">
        <v>2016</v>
      </c>
      <c r="C1336" s="11">
        <v>2</v>
      </c>
      <c r="D1336" t="s">
        <v>1968</v>
      </c>
      <c r="E1336">
        <f>VLOOKUP(CONCATENATE(validProjetado[[#This Row],[Tipo]],validProjetado[[#This Row],[Destino]]),validConcreto!K:O,4)</f>
        <v>6.38</v>
      </c>
    </row>
    <row r="1337" spans="1:5" hidden="1" x14ac:dyDescent="0.25">
      <c r="A1337" s="11">
        <v>17</v>
      </c>
      <c r="B1337" s="11" t="s">
        <v>2016</v>
      </c>
      <c r="C1337" s="11">
        <v>1</v>
      </c>
      <c r="D1337" t="s">
        <v>1968</v>
      </c>
      <c r="E1337">
        <f>VLOOKUP(CONCATENATE(validProjetado[[#This Row],[Tipo]],validProjetado[[#This Row],[Destino]]),validConcreto!K:O,4)</f>
        <v>5.22</v>
      </c>
    </row>
    <row r="1338" spans="1:5" hidden="1" x14ac:dyDescent="0.25">
      <c r="A1338" s="11">
        <v>1</v>
      </c>
      <c r="B1338" s="11" t="s">
        <v>2021</v>
      </c>
      <c r="C1338" s="11">
        <v>2</v>
      </c>
      <c r="D1338" t="s">
        <v>1968</v>
      </c>
      <c r="E1338">
        <f>VLOOKUP(CONCATENATE(validProjetado[[#This Row],[Tipo]],validProjetado[[#This Row],[Destino]]),validConcreto!K:O,4)</f>
        <v>6.38</v>
      </c>
    </row>
    <row r="1339" spans="1:5" hidden="1" x14ac:dyDescent="0.25">
      <c r="A1339" s="11">
        <v>2</v>
      </c>
      <c r="B1339" s="11" t="s">
        <v>2021</v>
      </c>
      <c r="C1339" s="11">
        <v>1</v>
      </c>
      <c r="D1339" t="s">
        <v>1968</v>
      </c>
      <c r="E1339">
        <f>VLOOKUP(CONCATENATE(validProjetado[[#This Row],[Tipo]],validProjetado[[#This Row],[Destino]]),validConcreto!K:O,4)</f>
        <v>5.22</v>
      </c>
    </row>
    <row r="1340" spans="1:5" hidden="1" x14ac:dyDescent="0.25">
      <c r="A1340" s="11">
        <v>3</v>
      </c>
      <c r="B1340" s="11" t="s">
        <v>2021</v>
      </c>
      <c r="C1340" s="11">
        <v>2</v>
      </c>
      <c r="D1340" t="s">
        <v>1968</v>
      </c>
      <c r="E1340">
        <f>VLOOKUP(CONCATENATE(validProjetado[[#This Row],[Tipo]],validProjetado[[#This Row],[Destino]]),validConcreto!K:O,4)</f>
        <v>6.38</v>
      </c>
    </row>
    <row r="1341" spans="1:5" hidden="1" x14ac:dyDescent="0.25">
      <c r="A1341" s="11">
        <v>4</v>
      </c>
      <c r="B1341" s="11" t="s">
        <v>2021</v>
      </c>
      <c r="C1341" s="11">
        <v>1</v>
      </c>
      <c r="D1341" t="s">
        <v>1968</v>
      </c>
      <c r="E1341">
        <f>VLOOKUP(CONCATENATE(validProjetado[[#This Row],[Tipo]],validProjetado[[#This Row],[Destino]]),validConcreto!K:O,4)</f>
        <v>5.22</v>
      </c>
    </row>
    <row r="1342" spans="1:5" hidden="1" x14ac:dyDescent="0.25">
      <c r="A1342" s="11">
        <v>5</v>
      </c>
      <c r="B1342" s="11" t="s">
        <v>2021</v>
      </c>
      <c r="C1342" s="11">
        <v>2</v>
      </c>
      <c r="D1342" t="s">
        <v>1968</v>
      </c>
      <c r="E1342">
        <f>VLOOKUP(CONCATENATE(validProjetado[[#This Row],[Tipo]],validProjetado[[#This Row],[Destino]]),validConcreto!K:O,4)</f>
        <v>6.38</v>
      </c>
    </row>
    <row r="1343" spans="1:5" hidden="1" x14ac:dyDescent="0.25">
      <c r="A1343" s="11">
        <v>6</v>
      </c>
      <c r="B1343" s="11" t="s">
        <v>2021</v>
      </c>
      <c r="C1343" s="11">
        <v>1</v>
      </c>
      <c r="D1343" t="s">
        <v>1968</v>
      </c>
      <c r="E1343">
        <f>VLOOKUP(CONCATENATE(validProjetado[[#This Row],[Tipo]],validProjetado[[#This Row],[Destino]]),validConcreto!K:O,4)</f>
        <v>5.22</v>
      </c>
    </row>
    <row r="1344" spans="1:5" hidden="1" x14ac:dyDescent="0.25">
      <c r="A1344" s="11">
        <v>7</v>
      </c>
      <c r="B1344" s="11" t="s">
        <v>2021</v>
      </c>
      <c r="C1344" s="11">
        <v>2</v>
      </c>
      <c r="D1344" t="s">
        <v>1968</v>
      </c>
      <c r="E1344">
        <f>VLOOKUP(CONCATENATE(validProjetado[[#This Row],[Tipo]],validProjetado[[#This Row],[Destino]]),validConcreto!K:O,4)</f>
        <v>6.38</v>
      </c>
    </row>
    <row r="1345" spans="1:5" hidden="1" x14ac:dyDescent="0.25">
      <c r="A1345" s="11">
        <v>8</v>
      </c>
      <c r="B1345" s="11" t="s">
        <v>2021</v>
      </c>
      <c r="C1345" s="11">
        <v>1</v>
      </c>
      <c r="D1345" t="s">
        <v>1968</v>
      </c>
      <c r="E1345">
        <f>VLOOKUP(CONCATENATE(validProjetado[[#This Row],[Tipo]],validProjetado[[#This Row],[Destino]]),validConcreto!K:O,4)</f>
        <v>5.22</v>
      </c>
    </row>
    <row r="1346" spans="1:5" hidden="1" x14ac:dyDescent="0.25">
      <c r="A1346" s="11">
        <v>9</v>
      </c>
      <c r="B1346" s="11" t="s">
        <v>2021</v>
      </c>
      <c r="C1346" s="11">
        <v>2</v>
      </c>
      <c r="D1346" t="s">
        <v>1968</v>
      </c>
      <c r="E1346">
        <f>VLOOKUP(CONCATENATE(validProjetado[[#This Row],[Tipo]],validProjetado[[#This Row],[Destino]]),validConcreto!K:O,4)</f>
        <v>6.38</v>
      </c>
    </row>
    <row r="1347" spans="1:5" hidden="1" x14ac:dyDescent="0.25">
      <c r="A1347" s="11">
        <v>10</v>
      </c>
      <c r="B1347" s="11" t="s">
        <v>2021</v>
      </c>
      <c r="C1347" s="11">
        <v>1</v>
      </c>
      <c r="D1347" t="s">
        <v>1968</v>
      </c>
      <c r="E1347">
        <f>VLOOKUP(CONCATENATE(validProjetado[[#This Row],[Tipo]],validProjetado[[#This Row],[Destino]]),validConcreto!K:O,4)</f>
        <v>5.22</v>
      </c>
    </row>
    <row r="1348" spans="1:5" hidden="1" x14ac:dyDescent="0.25">
      <c r="A1348" s="11">
        <v>11</v>
      </c>
      <c r="B1348" s="11" t="s">
        <v>2021</v>
      </c>
      <c r="C1348" s="11">
        <v>2</v>
      </c>
      <c r="D1348" t="s">
        <v>1968</v>
      </c>
      <c r="E1348">
        <f>VLOOKUP(CONCATENATE(validProjetado[[#This Row],[Tipo]],validProjetado[[#This Row],[Destino]]),validConcreto!K:O,4)</f>
        <v>6.38</v>
      </c>
    </row>
    <row r="1349" spans="1:5" hidden="1" x14ac:dyDescent="0.25">
      <c r="A1349" s="11">
        <v>12</v>
      </c>
      <c r="B1349" s="11" t="s">
        <v>2021</v>
      </c>
      <c r="C1349" s="11">
        <v>1</v>
      </c>
      <c r="D1349" t="s">
        <v>1968</v>
      </c>
      <c r="E1349">
        <f>VLOOKUP(CONCATENATE(validProjetado[[#This Row],[Tipo]],validProjetado[[#This Row],[Destino]]),validConcreto!K:O,4)</f>
        <v>5.22</v>
      </c>
    </row>
    <row r="1350" spans="1:5" hidden="1" x14ac:dyDescent="0.25">
      <c r="A1350" s="11">
        <v>13</v>
      </c>
      <c r="B1350" s="11" t="s">
        <v>2021</v>
      </c>
      <c r="C1350" s="11">
        <v>2</v>
      </c>
      <c r="D1350" t="s">
        <v>1968</v>
      </c>
      <c r="E1350">
        <f>VLOOKUP(CONCATENATE(validProjetado[[#This Row],[Tipo]],validProjetado[[#This Row],[Destino]]),validConcreto!K:O,4)</f>
        <v>6.38</v>
      </c>
    </row>
    <row r="1351" spans="1:5" hidden="1" x14ac:dyDescent="0.25">
      <c r="A1351" s="11">
        <v>14</v>
      </c>
      <c r="B1351" s="11" t="s">
        <v>2021</v>
      </c>
      <c r="C1351" s="11">
        <v>1</v>
      </c>
      <c r="D1351" t="s">
        <v>1968</v>
      </c>
      <c r="E1351">
        <f>VLOOKUP(CONCATENATE(validProjetado[[#This Row],[Tipo]],validProjetado[[#This Row],[Destino]]),validConcreto!K:O,4)</f>
        <v>5.22</v>
      </c>
    </row>
    <row r="1352" spans="1:5" hidden="1" x14ac:dyDescent="0.25">
      <c r="A1352" s="11">
        <v>1</v>
      </c>
      <c r="B1352" s="11" t="s">
        <v>2024</v>
      </c>
      <c r="C1352" s="11">
        <v>1</v>
      </c>
      <c r="D1352" t="s">
        <v>1968</v>
      </c>
      <c r="E1352">
        <f>VLOOKUP(CONCATENATE(validProjetado[[#This Row],[Tipo]],validProjetado[[#This Row],[Destino]]),validConcreto!K:O,4)</f>
        <v>5.22</v>
      </c>
    </row>
    <row r="1353" spans="1:5" hidden="1" x14ac:dyDescent="0.25">
      <c r="A1353" s="11">
        <v>2</v>
      </c>
      <c r="B1353" s="11" t="s">
        <v>2024</v>
      </c>
      <c r="C1353" s="11">
        <v>1</v>
      </c>
      <c r="D1353" t="s">
        <v>1968</v>
      </c>
      <c r="E1353">
        <f>VLOOKUP(CONCATENATE(validProjetado[[#This Row],[Tipo]],validProjetado[[#This Row],[Destino]]),validConcreto!K:O,4)</f>
        <v>5.22</v>
      </c>
    </row>
    <row r="1354" spans="1:5" hidden="1" x14ac:dyDescent="0.25">
      <c r="A1354" s="11">
        <v>3</v>
      </c>
      <c r="B1354" s="11" t="s">
        <v>2024</v>
      </c>
      <c r="C1354" s="11">
        <v>1</v>
      </c>
      <c r="D1354" t="s">
        <v>1968</v>
      </c>
      <c r="E1354">
        <f>VLOOKUP(CONCATENATE(validProjetado[[#This Row],[Tipo]],validProjetado[[#This Row],[Destino]]),validConcreto!K:O,4)</f>
        <v>5.22</v>
      </c>
    </row>
    <row r="1355" spans="1:5" hidden="1" x14ac:dyDescent="0.25">
      <c r="A1355" s="11">
        <v>4</v>
      </c>
      <c r="B1355" s="11" t="s">
        <v>2024</v>
      </c>
      <c r="C1355" s="11">
        <v>1</v>
      </c>
      <c r="D1355" t="s">
        <v>1968</v>
      </c>
      <c r="E1355">
        <f>VLOOKUP(CONCATENATE(validProjetado[[#This Row],[Tipo]],validProjetado[[#This Row],[Destino]]),validConcreto!K:O,4)</f>
        <v>5.22</v>
      </c>
    </row>
    <row r="1356" spans="1:5" hidden="1" x14ac:dyDescent="0.25">
      <c r="A1356" s="11">
        <v>5</v>
      </c>
      <c r="B1356" s="11" t="s">
        <v>2024</v>
      </c>
      <c r="C1356" s="11">
        <v>1</v>
      </c>
      <c r="D1356" t="s">
        <v>1968</v>
      </c>
      <c r="E1356">
        <f>VLOOKUP(CONCATENATE(validProjetado[[#This Row],[Tipo]],validProjetado[[#This Row],[Destino]]),validConcreto!K:O,4)</f>
        <v>5.22</v>
      </c>
    </row>
    <row r="1357" spans="1:5" hidden="1" x14ac:dyDescent="0.25">
      <c r="A1357" s="11">
        <v>6</v>
      </c>
      <c r="B1357" s="11" t="s">
        <v>2024</v>
      </c>
      <c r="C1357" s="11">
        <v>1</v>
      </c>
      <c r="D1357" t="s">
        <v>1968</v>
      </c>
      <c r="E1357">
        <f>VLOOKUP(CONCATENATE(validProjetado[[#This Row],[Tipo]],validProjetado[[#This Row],[Destino]]),validConcreto!K:O,4)</f>
        <v>5.22</v>
      </c>
    </row>
    <row r="1358" spans="1:5" hidden="1" x14ac:dyDescent="0.25">
      <c r="A1358" s="11">
        <v>7</v>
      </c>
      <c r="B1358" s="11" t="s">
        <v>2024</v>
      </c>
      <c r="C1358" s="11">
        <v>1</v>
      </c>
      <c r="D1358" t="s">
        <v>1968</v>
      </c>
      <c r="E1358">
        <f>VLOOKUP(CONCATENATE(validProjetado[[#This Row],[Tipo]],validProjetado[[#This Row],[Destino]]),validConcreto!K:O,4)</f>
        <v>5.22</v>
      </c>
    </row>
    <row r="1359" spans="1:5" hidden="1" x14ac:dyDescent="0.25">
      <c r="A1359" s="11">
        <v>8</v>
      </c>
      <c r="B1359" s="11" t="s">
        <v>2024</v>
      </c>
      <c r="C1359" s="11">
        <v>1</v>
      </c>
      <c r="D1359" t="s">
        <v>1968</v>
      </c>
      <c r="E1359">
        <f>VLOOKUP(CONCATENATE(validProjetado[[#This Row],[Tipo]],validProjetado[[#This Row],[Destino]]),validConcreto!K:O,4)</f>
        <v>5.22</v>
      </c>
    </row>
    <row r="1360" spans="1:5" hidden="1" x14ac:dyDescent="0.25">
      <c r="A1360" s="11">
        <v>9</v>
      </c>
      <c r="B1360" s="11" t="s">
        <v>2024</v>
      </c>
      <c r="C1360" s="11">
        <v>1</v>
      </c>
      <c r="D1360" t="s">
        <v>1968</v>
      </c>
      <c r="E1360">
        <f>VLOOKUP(CONCATENATE(validProjetado[[#This Row],[Tipo]],validProjetado[[#This Row],[Destino]]),validConcreto!K:O,4)</f>
        <v>5.22</v>
      </c>
    </row>
    <row r="1361" spans="1:5" hidden="1" x14ac:dyDescent="0.25">
      <c r="A1361" s="11">
        <v>10</v>
      </c>
      <c r="B1361" s="11" t="s">
        <v>2024</v>
      </c>
      <c r="C1361" s="11">
        <v>1</v>
      </c>
      <c r="D1361" t="s">
        <v>1968</v>
      </c>
      <c r="E1361">
        <f>VLOOKUP(CONCATENATE(validProjetado[[#This Row],[Tipo]],validProjetado[[#This Row],[Destino]]),validConcreto!K:O,4)</f>
        <v>5.22</v>
      </c>
    </row>
    <row r="1362" spans="1:5" hidden="1" x14ac:dyDescent="0.25">
      <c r="A1362" s="11">
        <v>11</v>
      </c>
      <c r="B1362" s="11" t="s">
        <v>2024</v>
      </c>
      <c r="C1362" s="11">
        <v>1</v>
      </c>
      <c r="D1362" t="s">
        <v>1968</v>
      </c>
      <c r="E1362">
        <f>VLOOKUP(CONCATENATE(validProjetado[[#This Row],[Tipo]],validProjetado[[#This Row],[Destino]]),validConcreto!K:O,4)</f>
        <v>5.22</v>
      </c>
    </row>
    <row r="1363" spans="1:5" hidden="1" x14ac:dyDescent="0.25">
      <c r="A1363" s="11">
        <v>12</v>
      </c>
      <c r="B1363" s="11" t="s">
        <v>2024</v>
      </c>
      <c r="C1363" s="11">
        <v>1</v>
      </c>
      <c r="D1363" t="s">
        <v>1968</v>
      </c>
      <c r="E1363">
        <f>VLOOKUP(CONCATENATE(validProjetado[[#This Row],[Tipo]],validProjetado[[#This Row],[Destino]]),validConcreto!K:O,4)</f>
        <v>5.22</v>
      </c>
    </row>
    <row r="1364" spans="1:5" hidden="1" x14ac:dyDescent="0.25">
      <c r="A1364" s="11">
        <v>13</v>
      </c>
      <c r="B1364" s="11" t="s">
        <v>2024</v>
      </c>
      <c r="C1364" s="11">
        <v>1</v>
      </c>
      <c r="D1364" t="s">
        <v>1968</v>
      </c>
      <c r="E1364">
        <f>VLOOKUP(CONCATENATE(validProjetado[[#This Row],[Tipo]],validProjetado[[#This Row],[Destino]]),validConcreto!K:O,4)</f>
        <v>5.22</v>
      </c>
    </row>
    <row r="1365" spans="1:5" hidden="1" x14ac:dyDescent="0.25">
      <c r="A1365" s="11">
        <v>14</v>
      </c>
      <c r="B1365" s="11" t="s">
        <v>2024</v>
      </c>
      <c r="C1365" s="11">
        <v>1</v>
      </c>
      <c r="D1365" t="s">
        <v>1968</v>
      </c>
      <c r="E1365">
        <f>VLOOKUP(CONCATENATE(validProjetado[[#This Row],[Tipo]],validProjetado[[#This Row],[Destino]]),validConcreto!K:O,4)</f>
        <v>5.22</v>
      </c>
    </row>
    <row r="1366" spans="1:5" hidden="1" x14ac:dyDescent="0.25">
      <c r="A1366" s="11">
        <v>15</v>
      </c>
      <c r="B1366" s="11" t="s">
        <v>2024</v>
      </c>
      <c r="C1366" s="11">
        <v>1</v>
      </c>
      <c r="D1366" t="s">
        <v>1968</v>
      </c>
      <c r="E1366">
        <f>VLOOKUP(CONCATENATE(validProjetado[[#This Row],[Tipo]],validProjetado[[#This Row],[Destino]]),validConcreto!K:O,4)</f>
        <v>5.22</v>
      </c>
    </row>
    <row r="1367" spans="1:5" hidden="1" x14ac:dyDescent="0.25">
      <c r="A1367" s="11">
        <v>16</v>
      </c>
      <c r="B1367" s="11" t="s">
        <v>2024</v>
      </c>
      <c r="C1367" s="11">
        <v>1</v>
      </c>
      <c r="D1367" t="s">
        <v>1968</v>
      </c>
      <c r="E1367">
        <f>VLOOKUP(CONCATENATE(validProjetado[[#This Row],[Tipo]],validProjetado[[#This Row],[Destino]]),validConcreto!K:O,4)</f>
        <v>5.22</v>
      </c>
    </row>
    <row r="1368" spans="1:5" hidden="1" x14ac:dyDescent="0.25">
      <c r="A1368" s="11">
        <v>17</v>
      </c>
      <c r="B1368" s="11" t="s">
        <v>2024</v>
      </c>
      <c r="C1368" s="11">
        <v>1</v>
      </c>
      <c r="D1368" t="s">
        <v>1968</v>
      </c>
      <c r="E1368">
        <f>VLOOKUP(CONCATENATE(validProjetado[[#This Row],[Tipo]],validProjetado[[#This Row],[Destino]]),validConcreto!K:O,4)</f>
        <v>5.22</v>
      </c>
    </row>
    <row r="1369" spans="1:5" hidden="1" x14ac:dyDescent="0.25">
      <c r="A1369" s="11">
        <v>18</v>
      </c>
      <c r="B1369" s="11" t="s">
        <v>2024</v>
      </c>
      <c r="C1369" s="11">
        <v>1</v>
      </c>
      <c r="D1369" t="s">
        <v>1968</v>
      </c>
      <c r="E1369">
        <f>VLOOKUP(CONCATENATE(validProjetado[[#This Row],[Tipo]],validProjetado[[#This Row],[Destino]]),validConcreto!K:O,4)</f>
        <v>5.22</v>
      </c>
    </row>
    <row r="1370" spans="1:5" hidden="1" x14ac:dyDescent="0.25">
      <c r="A1370" s="11">
        <v>19</v>
      </c>
      <c r="B1370" s="11" t="s">
        <v>2024</v>
      </c>
      <c r="C1370" s="11">
        <v>1</v>
      </c>
      <c r="D1370" t="s">
        <v>1968</v>
      </c>
      <c r="E1370">
        <f>VLOOKUP(CONCATENATE(validProjetado[[#This Row],[Tipo]],validProjetado[[#This Row],[Destino]]),validConcreto!K:O,4)</f>
        <v>5.22</v>
      </c>
    </row>
    <row r="1371" spans="1:5" hidden="1" x14ac:dyDescent="0.25">
      <c r="A1371" s="11">
        <v>20</v>
      </c>
      <c r="B1371" s="11" t="s">
        <v>2024</v>
      </c>
      <c r="C1371" s="11">
        <v>1</v>
      </c>
      <c r="D1371" t="s">
        <v>1968</v>
      </c>
      <c r="E1371">
        <f>VLOOKUP(CONCATENATE(validProjetado[[#This Row],[Tipo]],validProjetado[[#This Row],[Destino]]),validConcreto!K:O,4)</f>
        <v>5.22</v>
      </c>
    </row>
    <row r="1372" spans="1:5" hidden="1" x14ac:dyDescent="0.25">
      <c r="A1372" s="11">
        <v>21</v>
      </c>
      <c r="B1372" s="11" t="s">
        <v>2024</v>
      </c>
      <c r="C1372" s="11">
        <v>1</v>
      </c>
      <c r="D1372" t="s">
        <v>1968</v>
      </c>
      <c r="E1372">
        <f>VLOOKUP(CONCATENATE(validProjetado[[#This Row],[Tipo]],validProjetado[[#This Row],[Destino]]),validConcreto!K:O,4)</f>
        <v>5.22</v>
      </c>
    </row>
    <row r="1373" spans="1:5" hidden="1" x14ac:dyDescent="0.25">
      <c r="A1373" s="11">
        <v>22</v>
      </c>
      <c r="B1373" s="11" t="s">
        <v>2024</v>
      </c>
      <c r="C1373" s="11">
        <v>1</v>
      </c>
      <c r="D1373" t="s">
        <v>1968</v>
      </c>
      <c r="E1373">
        <f>VLOOKUP(CONCATENATE(validProjetado[[#This Row],[Tipo]],validProjetado[[#This Row],[Destino]]),validConcreto!K:O,4)</f>
        <v>5.22</v>
      </c>
    </row>
    <row r="1374" spans="1:5" hidden="1" x14ac:dyDescent="0.25">
      <c r="A1374" s="11">
        <v>23</v>
      </c>
      <c r="B1374" s="11" t="s">
        <v>2024</v>
      </c>
      <c r="C1374" s="11">
        <v>1</v>
      </c>
      <c r="D1374" t="s">
        <v>1968</v>
      </c>
      <c r="E1374">
        <f>VLOOKUP(CONCATENATE(validProjetado[[#This Row],[Tipo]],validProjetado[[#This Row],[Destino]]),validConcreto!K:O,4)</f>
        <v>5.22</v>
      </c>
    </row>
    <row r="1375" spans="1:5" hidden="1" x14ac:dyDescent="0.25">
      <c r="A1375" s="11">
        <v>24</v>
      </c>
      <c r="B1375" s="11" t="s">
        <v>2024</v>
      </c>
      <c r="C1375" s="11">
        <v>1</v>
      </c>
      <c r="D1375" t="s">
        <v>1968</v>
      </c>
      <c r="E1375">
        <f>VLOOKUP(CONCATENATE(validProjetado[[#This Row],[Tipo]],validProjetado[[#This Row],[Destino]]),validConcreto!K:O,4)</f>
        <v>5.22</v>
      </c>
    </row>
    <row r="1376" spans="1:5" hidden="1" x14ac:dyDescent="0.25">
      <c r="A1376" s="11">
        <v>25</v>
      </c>
      <c r="B1376" s="11" t="s">
        <v>2024</v>
      </c>
      <c r="C1376" s="11">
        <v>1</v>
      </c>
      <c r="D1376" t="s">
        <v>1968</v>
      </c>
      <c r="E1376">
        <f>VLOOKUP(CONCATENATE(validProjetado[[#This Row],[Tipo]],validProjetado[[#This Row],[Destino]]),validConcreto!K:O,4)</f>
        <v>5.22</v>
      </c>
    </row>
    <row r="1377" spans="1:5" hidden="1" x14ac:dyDescent="0.25">
      <c r="A1377" s="11">
        <v>26</v>
      </c>
      <c r="B1377" s="11" t="s">
        <v>2024</v>
      </c>
      <c r="C1377" s="11">
        <v>1</v>
      </c>
      <c r="D1377" t="s">
        <v>1968</v>
      </c>
      <c r="E1377">
        <f>VLOOKUP(CONCATENATE(validProjetado[[#This Row],[Tipo]],validProjetado[[#This Row],[Destino]]),validConcreto!K:O,4)</f>
        <v>5.22</v>
      </c>
    </row>
    <row r="1378" spans="1:5" hidden="1" x14ac:dyDescent="0.25">
      <c r="A1378" s="11">
        <v>27</v>
      </c>
      <c r="B1378" s="11" t="s">
        <v>2024</v>
      </c>
      <c r="C1378" s="11">
        <v>1</v>
      </c>
      <c r="D1378" t="s">
        <v>1968</v>
      </c>
      <c r="E1378">
        <f>VLOOKUP(CONCATENATE(validProjetado[[#This Row],[Tipo]],validProjetado[[#This Row],[Destino]]),validConcreto!K:O,4)</f>
        <v>5.22</v>
      </c>
    </row>
    <row r="1379" spans="1:5" hidden="1" x14ac:dyDescent="0.25">
      <c r="A1379" s="11">
        <v>28</v>
      </c>
      <c r="B1379" s="11" t="s">
        <v>2024</v>
      </c>
      <c r="C1379" s="11">
        <v>1</v>
      </c>
      <c r="D1379" t="s">
        <v>1968</v>
      </c>
      <c r="E1379">
        <f>VLOOKUP(CONCATENATE(validProjetado[[#This Row],[Tipo]],validProjetado[[#This Row],[Destino]]),validConcreto!K:O,4)</f>
        <v>5.22</v>
      </c>
    </row>
    <row r="1380" spans="1:5" hidden="1" x14ac:dyDescent="0.25">
      <c r="A1380" s="11">
        <v>29</v>
      </c>
      <c r="B1380" s="11" t="s">
        <v>2024</v>
      </c>
      <c r="C1380" s="11">
        <v>1</v>
      </c>
      <c r="D1380" t="s">
        <v>1968</v>
      </c>
      <c r="E1380">
        <f>VLOOKUP(CONCATENATE(validProjetado[[#This Row],[Tipo]],validProjetado[[#This Row],[Destino]]),validConcreto!K:O,4)</f>
        <v>5.22</v>
      </c>
    </row>
    <row r="1381" spans="1:5" hidden="1" x14ac:dyDescent="0.25">
      <c r="A1381" s="11">
        <v>30</v>
      </c>
      <c r="B1381" s="11" t="s">
        <v>2024</v>
      </c>
      <c r="C1381" s="11">
        <v>1</v>
      </c>
      <c r="D1381" t="s">
        <v>1968</v>
      </c>
      <c r="E1381">
        <f>VLOOKUP(CONCATENATE(validProjetado[[#This Row],[Tipo]],validProjetado[[#This Row],[Destino]]),validConcreto!K:O,4)</f>
        <v>5.22</v>
      </c>
    </row>
    <row r="1382" spans="1:5" hidden="1" x14ac:dyDescent="0.25">
      <c r="A1382" s="11">
        <v>31</v>
      </c>
      <c r="B1382" s="11" t="s">
        <v>2024</v>
      </c>
      <c r="C1382" s="11">
        <v>1</v>
      </c>
      <c r="D1382" t="s">
        <v>1968</v>
      </c>
      <c r="E1382">
        <f>VLOOKUP(CONCATENATE(validProjetado[[#This Row],[Tipo]],validProjetado[[#This Row],[Destino]]),validConcreto!K:O,4)</f>
        <v>5.22</v>
      </c>
    </row>
    <row r="1383" spans="1:5" hidden="1" x14ac:dyDescent="0.25">
      <c r="A1383" s="11">
        <v>32</v>
      </c>
      <c r="B1383" s="11" t="s">
        <v>2024</v>
      </c>
      <c r="C1383" s="11">
        <v>1</v>
      </c>
      <c r="D1383" t="s">
        <v>1968</v>
      </c>
      <c r="E1383">
        <f>VLOOKUP(CONCATENATE(validProjetado[[#This Row],[Tipo]],validProjetado[[#This Row],[Destino]]),validConcreto!K:O,4)</f>
        <v>5.22</v>
      </c>
    </row>
    <row r="1384" spans="1:5" x14ac:dyDescent="0.25">
      <c r="A1384" s="11">
        <v>1</v>
      </c>
      <c r="B1384" s="11" t="s">
        <v>2027</v>
      </c>
      <c r="C1384" s="11">
        <v>1</v>
      </c>
      <c r="D1384" t="s">
        <v>1968</v>
      </c>
      <c r="E1384">
        <f>VLOOKUP(CONCATENATE(validProjetado[[#This Row],[Tipo]],validProjetado[[#This Row],[Destino]]),validConcreto!K:O,4)</f>
        <v>5.22</v>
      </c>
    </row>
    <row r="1385" spans="1:5" x14ac:dyDescent="0.25">
      <c r="A1385" s="11">
        <v>3</v>
      </c>
      <c r="B1385" s="11" t="s">
        <v>2027</v>
      </c>
      <c r="C1385" s="11">
        <v>1</v>
      </c>
      <c r="D1385" t="s">
        <v>1968</v>
      </c>
      <c r="E1385">
        <f>VLOOKUP(CONCATENATE(validProjetado[[#This Row],[Tipo]],validProjetado[[#This Row],[Destino]]),validConcreto!K:O,4)</f>
        <v>5.22</v>
      </c>
    </row>
    <row r="1386" spans="1:5" x14ac:dyDescent="0.25">
      <c r="A1386" s="11">
        <v>5</v>
      </c>
      <c r="B1386" s="11" t="s">
        <v>2027</v>
      </c>
      <c r="C1386" s="11">
        <v>1</v>
      </c>
      <c r="D1386" t="s">
        <v>1968</v>
      </c>
      <c r="E1386">
        <f>VLOOKUP(CONCATENATE(validProjetado[[#This Row],[Tipo]],validProjetado[[#This Row],[Destino]]),validConcreto!K:O,4)</f>
        <v>5.22</v>
      </c>
    </row>
    <row r="1387" spans="1:5" x14ac:dyDescent="0.25">
      <c r="A1387" s="11">
        <v>7</v>
      </c>
      <c r="B1387" s="11" t="s">
        <v>2027</v>
      </c>
      <c r="C1387" s="11">
        <v>1</v>
      </c>
      <c r="D1387" t="s">
        <v>1968</v>
      </c>
      <c r="E1387">
        <f>VLOOKUP(CONCATENATE(validProjetado[[#This Row],[Tipo]],validProjetado[[#This Row],[Destino]]),validConcreto!K:O,4)</f>
        <v>5.22</v>
      </c>
    </row>
    <row r="1388" spans="1:5" x14ac:dyDescent="0.25">
      <c r="A1388" s="11">
        <v>9</v>
      </c>
      <c r="B1388" s="11" t="s">
        <v>2027</v>
      </c>
      <c r="C1388" s="11">
        <v>1</v>
      </c>
      <c r="D1388" t="s">
        <v>1968</v>
      </c>
      <c r="E1388">
        <f>VLOOKUP(CONCATENATE(validProjetado[[#This Row],[Tipo]],validProjetado[[#This Row],[Destino]]),validConcreto!K:O,4)</f>
        <v>5.22</v>
      </c>
    </row>
    <row r="1389" spans="1:5" x14ac:dyDescent="0.25">
      <c r="A1389" s="11">
        <v>11</v>
      </c>
      <c r="B1389" s="11" t="s">
        <v>2027</v>
      </c>
      <c r="C1389" s="11">
        <v>1</v>
      </c>
      <c r="D1389" t="s">
        <v>1968</v>
      </c>
      <c r="E1389">
        <f>VLOOKUP(CONCATENATE(validProjetado[[#This Row],[Tipo]],validProjetado[[#This Row],[Destino]]),validConcreto!K:O,4)</f>
        <v>5.22</v>
      </c>
    </row>
    <row r="1390" spans="1:5" x14ac:dyDescent="0.25">
      <c r="A1390" s="11">
        <v>13</v>
      </c>
      <c r="B1390" s="11" t="s">
        <v>2027</v>
      </c>
      <c r="C1390" s="11">
        <v>1</v>
      </c>
      <c r="D1390" t="s">
        <v>1968</v>
      </c>
      <c r="E1390">
        <f>VLOOKUP(CONCATENATE(validProjetado[[#This Row],[Tipo]],validProjetado[[#This Row],[Destino]]),validConcreto!K:O,4)</f>
        <v>5.22</v>
      </c>
    </row>
    <row r="1391" spans="1:5" x14ac:dyDescent="0.25">
      <c r="A1391" s="11">
        <v>15</v>
      </c>
      <c r="B1391" s="11" t="s">
        <v>2027</v>
      </c>
      <c r="C1391" s="11">
        <v>1</v>
      </c>
      <c r="D1391" t="s">
        <v>1968</v>
      </c>
      <c r="E1391">
        <f>VLOOKUP(CONCATENATE(validProjetado[[#This Row],[Tipo]],validProjetado[[#This Row],[Destino]]),validConcreto!K:O,4)</f>
        <v>5.22</v>
      </c>
    </row>
    <row r="1392" spans="1:5" x14ac:dyDescent="0.25">
      <c r="A1392" s="11">
        <v>17</v>
      </c>
      <c r="B1392" s="11" t="s">
        <v>2027</v>
      </c>
      <c r="C1392" s="11">
        <v>1</v>
      </c>
      <c r="D1392" t="s">
        <v>1968</v>
      </c>
      <c r="E1392">
        <f>VLOOKUP(CONCATENATE(validProjetado[[#This Row],[Tipo]],validProjetado[[#This Row],[Destino]]),validConcreto!K:O,4)</f>
        <v>5.22</v>
      </c>
    </row>
    <row r="1393" spans="1:5" x14ac:dyDescent="0.25">
      <c r="A1393" s="11">
        <v>19</v>
      </c>
      <c r="B1393" s="11" t="s">
        <v>2027</v>
      </c>
      <c r="C1393" s="11">
        <v>1</v>
      </c>
      <c r="D1393" t="s">
        <v>1968</v>
      </c>
      <c r="E1393">
        <f>VLOOKUP(CONCATENATE(validProjetado[[#This Row],[Tipo]],validProjetado[[#This Row],[Destino]]),validConcreto!K:O,4)</f>
        <v>5.22</v>
      </c>
    </row>
    <row r="1394" spans="1:5" x14ac:dyDescent="0.25">
      <c r="A1394" s="11">
        <v>21</v>
      </c>
      <c r="B1394" s="11" t="s">
        <v>2027</v>
      </c>
      <c r="C1394" s="11">
        <v>1</v>
      </c>
      <c r="D1394" t="s">
        <v>1968</v>
      </c>
      <c r="E1394">
        <f>VLOOKUP(CONCATENATE(validProjetado[[#This Row],[Tipo]],validProjetado[[#This Row],[Destino]]),validConcreto!K:O,4)</f>
        <v>5.22</v>
      </c>
    </row>
    <row r="1395" spans="1:5" x14ac:dyDescent="0.25">
      <c r="A1395" s="11">
        <v>23</v>
      </c>
      <c r="B1395" s="11" t="s">
        <v>2027</v>
      </c>
      <c r="C1395" s="11">
        <v>1</v>
      </c>
      <c r="D1395" t="s">
        <v>1968</v>
      </c>
      <c r="E1395">
        <f>VLOOKUP(CONCATENATE(validProjetado[[#This Row],[Tipo]],validProjetado[[#This Row],[Destino]]),validConcreto!K:O,4)</f>
        <v>5.22</v>
      </c>
    </row>
    <row r="1396" spans="1:5" x14ac:dyDescent="0.25">
      <c r="A1396" s="11">
        <v>27</v>
      </c>
      <c r="B1396" s="11" t="s">
        <v>2027</v>
      </c>
      <c r="C1396" s="11">
        <v>1</v>
      </c>
      <c r="D1396" t="s">
        <v>1968</v>
      </c>
      <c r="E1396">
        <f>VLOOKUP(CONCATENATE(validProjetado[[#This Row],[Tipo]],validProjetado[[#This Row],[Destino]]),validConcreto!K:O,4)</f>
        <v>5.22</v>
      </c>
    </row>
    <row r="1397" spans="1:5" x14ac:dyDescent="0.25">
      <c r="A1397" s="11">
        <v>36</v>
      </c>
      <c r="B1397" s="11" t="s">
        <v>2027</v>
      </c>
      <c r="C1397" s="11">
        <v>1</v>
      </c>
      <c r="D1397" t="s">
        <v>1968</v>
      </c>
      <c r="E1397">
        <f>VLOOKUP(CONCATENATE(validProjetado[[#This Row],[Tipo]],validProjetado[[#This Row],[Destino]]),validConcreto!K:O,4)</f>
        <v>5.22</v>
      </c>
    </row>
    <row r="1398" spans="1:5" hidden="1" x14ac:dyDescent="0.25">
      <c r="A1398" s="11">
        <v>1</v>
      </c>
      <c r="B1398" s="11" t="s">
        <v>2030</v>
      </c>
      <c r="C1398" s="11">
        <v>1</v>
      </c>
      <c r="D1398" t="s">
        <v>1968</v>
      </c>
      <c r="E1398">
        <f>VLOOKUP(CONCATENATE(validProjetado[[#This Row],[Tipo]],validProjetado[[#This Row],[Destino]]),validConcreto!K:O,4)</f>
        <v>5.22</v>
      </c>
    </row>
    <row r="1399" spans="1:5" hidden="1" x14ac:dyDescent="0.25">
      <c r="A1399" s="11">
        <v>2</v>
      </c>
      <c r="B1399" s="11" t="s">
        <v>2030</v>
      </c>
      <c r="C1399" s="11">
        <v>1</v>
      </c>
      <c r="D1399" t="s">
        <v>1968</v>
      </c>
      <c r="E1399">
        <f>VLOOKUP(CONCATENATE(validProjetado[[#This Row],[Tipo]],validProjetado[[#This Row],[Destino]]),validConcreto!K:O,4)</f>
        <v>5.22</v>
      </c>
    </row>
    <row r="1400" spans="1:5" hidden="1" x14ac:dyDescent="0.25">
      <c r="A1400" s="11">
        <v>3</v>
      </c>
      <c r="B1400" s="11" t="s">
        <v>2030</v>
      </c>
      <c r="C1400" s="11">
        <v>1</v>
      </c>
      <c r="D1400" t="s">
        <v>1968</v>
      </c>
      <c r="E1400">
        <f>VLOOKUP(CONCATENATE(validProjetado[[#This Row],[Tipo]],validProjetado[[#This Row],[Destino]]),validConcreto!K:O,4)</f>
        <v>5.22</v>
      </c>
    </row>
    <row r="1401" spans="1:5" hidden="1" x14ac:dyDescent="0.25">
      <c r="A1401" s="11">
        <v>4</v>
      </c>
      <c r="B1401" s="11" t="s">
        <v>2030</v>
      </c>
      <c r="C1401" s="11">
        <v>1</v>
      </c>
      <c r="D1401" t="s">
        <v>1968</v>
      </c>
      <c r="E1401">
        <f>VLOOKUP(CONCATENATE(validProjetado[[#This Row],[Tipo]],validProjetado[[#This Row],[Destino]]),validConcreto!K:O,4)</f>
        <v>5.22</v>
      </c>
    </row>
    <row r="1402" spans="1:5" hidden="1" x14ac:dyDescent="0.25">
      <c r="A1402" s="11">
        <v>5</v>
      </c>
      <c r="B1402" s="11" t="s">
        <v>2030</v>
      </c>
      <c r="C1402" s="11">
        <v>1</v>
      </c>
      <c r="D1402" t="s">
        <v>1968</v>
      </c>
      <c r="E1402">
        <f>VLOOKUP(CONCATENATE(validProjetado[[#This Row],[Tipo]],validProjetado[[#This Row],[Destino]]),validConcreto!K:O,4)</f>
        <v>5.22</v>
      </c>
    </row>
    <row r="1403" spans="1:5" hidden="1" x14ac:dyDescent="0.25">
      <c r="A1403" s="11">
        <v>6</v>
      </c>
      <c r="B1403" s="11" t="s">
        <v>2030</v>
      </c>
      <c r="C1403" s="11">
        <v>1</v>
      </c>
      <c r="D1403" t="s">
        <v>1968</v>
      </c>
      <c r="E1403">
        <f>VLOOKUP(CONCATENATE(validProjetado[[#This Row],[Tipo]],validProjetado[[#This Row],[Destino]]),validConcreto!K:O,4)</f>
        <v>5.22</v>
      </c>
    </row>
    <row r="1404" spans="1:5" hidden="1" x14ac:dyDescent="0.25">
      <c r="A1404" s="11">
        <v>7</v>
      </c>
      <c r="B1404" s="11" t="s">
        <v>2030</v>
      </c>
      <c r="C1404" s="11">
        <v>1</v>
      </c>
      <c r="D1404" t="s">
        <v>1968</v>
      </c>
      <c r="E1404">
        <f>VLOOKUP(CONCATENATE(validProjetado[[#This Row],[Tipo]],validProjetado[[#This Row],[Destino]]),validConcreto!K:O,4)</f>
        <v>5.22</v>
      </c>
    </row>
    <row r="1405" spans="1:5" hidden="1" x14ac:dyDescent="0.25">
      <c r="A1405" s="11">
        <v>8</v>
      </c>
      <c r="B1405" s="11" t="s">
        <v>2030</v>
      </c>
      <c r="C1405" s="11">
        <v>1</v>
      </c>
      <c r="D1405" t="s">
        <v>1968</v>
      </c>
      <c r="E1405">
        <f>VLOOKUP(CONCATENATE(validProjetado[[#This Row],[Tipo]],validProjetado[[#This Row],[Destino]]),validConcreto!K:O,4)</f>
        <v>5.22</v>
      </c>
    </row>
    <row r="1406" spans="1:5" hidden="1" x14ac:dyDescent="0.25">
      <c r="A1406" s="11">
        <v>9</v>
      </c>
      <c r="B1406" s="11" t="s">
        <v>2030</v>
      </c>
      <c r="C1406" s="11">
        <v>1</v>
      </c>
      <c r="D1406" t="s">
        <v>1968</v>
      </c>
      <c r="E1406">
        <f>VLOOKUP(CONCATENATE(validProjetado[[#This Row],[Tipo]],validProjetado[[#This Row],[Destino]]),validConcreto!K:O,4)</f>
        <v>5.22</v>
      </c>
    </row>
    <row r="1407" spans="1:5" hidden="1" x14ac:dyDescent="0.25">
      <c r="A1407" s="11">
        <v>10</v>
      </c>
      <c r="B1407" s="11" t="s">
        <v>2030</v>
      </c>
      <c r="C1407" s="11">
        <v>1</v>
      </c>
      <c r="D1407" t="s">
        <v>1968</v>
      </c>
      <c r="E1407">
        <f>VLOOKUP(CONCATENATE(validProjetado[[#This Row],[Tipo]],validProjetado[[#This Row],[Destino]]),validConcreto!K:O,4)</f>
        <v>5.22</v>
      </c>
    </row>
    <row r="1408" spans="1:5" hidden="1" x14ac:dyDescent="0.25">
      <c r="A1408" s="11">
        <v>11</v>
      </c>
      <c r="B1408" s="11" t="s">
        <v>2030</v>
      </c>
      <c r="C1408" s="11">
        <v>1</v>
      </c>
      <c r="D1408" t="s">
        <v>1968</v>
      </c>
      <c r="E1408">
        <f>VLOOKUP(CONCATENATE(validProjetado[[#This Row],[Tipo]],validProjetado[[#This Row],[Destino]]),validConcreto!K:O,4)</f>
        <v>5.22</v>
      </c>
    </row>
    <row r="1409" spans="1:5" hidden="1" x14ac:dyDescent="0.25">
      <c r="A1409" s="11">
        <v>12</v>
      </c>
      <c r="B1409" s="11" t="s">
        <v>2030</v>
      </c>
      <c r="C1409" s="11">
        <v>1</v>
      </c>
      <c r="D1409" t="s">
        <v>1968</v>
      </c>
      <c r="E1409">
        <f>VLOOKUP(CONCATENATE(validProjetado[[#This Row],[Tipo]],validProjetado[[#This Row],[Destino]]),validConcreto!K:O,4)</f>
        <v>5.22</v>
      </c>
    </row>
    <row r="1410" spans="1:5" hidden="1" x14ac:dyDescent="0.25">
      <c r="A1410" s="11">
        <v>13</v>
      </c>
      <c r="B1410" s="11" t="s">
        <v>2030</v>
      </c>
      <c r="C1410" s="11">
        <v>1</v>
      </c>
      <c r="D1410" t="s">
        <v>1968</v>
      </c>
      <c r="E1410">
        <f>VLOOKUP(CONCATENATE(validProjetado[[#This Row],[Tipo]],validProjetado[[#This Row],[Destino]]),validConcreto!K:O,4)</f>
        <v>5.22</v>
      </c>
    </row>
    <row r="1411" spans="1:5" hidden="1" x14ac:dyDescent="0.25">
      <c r="A1411" s="11">
        <v>14</v>
      </c>
      <c r="B1411" s="11" t="s">
        <v>2030</v>
      </c>
      <c r="C1411" s="11">
        <v>1</v>
      </c>
      <c r="D1411" t="s">
        <v>1968</v>
      </c>
      <c r="E1411">
        <f>VLOOKUP(CONCATENATE(validProjetado[[#This Row],[Tipo]],validProjetado[[#This Row],[Destino]]),validConcreto!K:O,4)</f>
        <v>5.22</v>
      </c>
    </row>
    <row r="1412" spans="1:5" hidden="1" x14ac:dyDescent="0.25">
      <c r="A1412" s="11">
        <v>15</v>
      </c>
      <c r="B1412" s="11" t="s">
        <v>2030</v>
      </c>
      <c r="C1412" s="11">
        <v>1</v>
      </c>
      <c r="D1412" t="s">
        <v>1968</v>
      </c>
      <c r="E1412">
        <f>VLOOKUP(CONCATENATE(validProjetado[[#This Row],[Tipo]],validProjetado[[#This Row],[Destino]]),validConcreto!K:O,4)</f>
        <v>5.22</v>
      </c>
    </row>
    <row r="1413" spans="1:5" hidden="1" x14ac:dyDescent="0.25">
      <c r="A1413" s="11">
        <v>16</v>
      </c>
      <c r="B1413" s="11" t="s">
        <v>2030</v>
      </c>
      <c r="C1413" s="11">
        <v>1</v>
      </c>
      <c r="D1413" t="s">
        <v>1968</v>
      </c>
      <c r="E1413">
        <f>VLOOKUP(CONCATENATE(validProjetado[[#This Row],[Tipo]],validProjetado[[#This Row],[Destino]]),validConcreto!K:O,4)</f>
        <v>5.22</v>
      </c>
    </row>
    <row r="1414" spans="1:5" hidden="1" x14ac:dyDescent="0.25">
      <c r="A1414" s="11">
        <v>17</v>
      </c>
      <c r="B1414" s="11" t="s">
        <v>2030</v>
      </c>
      <c r="C1414" s="11">
        <v>1</v>
      </c>
      <c r="D1414" t="s">
        <v>1968</v>
      </c>
      <c r="E1414">
        <f>VLOOKUP(CONCATENATE(validProjetado[[#This Row],[Tipo]],validProjetado[[#This Row],[Destino]]),validConcreto!K:O,4)</f>
        <v>5.22</v>
      </c>
    </row>
    <row r="1415" spans="1:5" hidden="1" x14ac:dyDescent="0.25">
      <c r="A1415" s="11">
        <v>18</v>
      </c>
      <c r="B1415" s="11" t="s">
        <v>2030</v>
      </c>
      <c r="C1415" s="11">
        <v>1</v>
      </c>
      <c r="D1415" t="s">
        <v>1968</v>
      </c>
      <c r="E1415">
        <f>VLOOKUP(CONCATENATE(validProjetado[[#This Row],[Tipo]],validProjetado[[#This Row],[Destino]]),validConcreto!K:O,4)</f>
        <v>5.22</v>
      </c>
    </row>
    <row r="1416" spans="1:5" hidden="1" x14ac:dyDescent="0.25">
      <c r="A1416" s="11">
        <v>19</v>
      </c>
      <c r="B1416" s="11" t="s">
        <v>2030</v>
      </c>
      <c r="C1416" s="11">
        <v>1</v>
      </c>
      <c r="D1416" t="s">
        <v>1968</v>
      </c>
      <c r="E1416">
        <f>VLOOKUP(CONCATENATE(validProjetado[[#This Row],[Tipo]],validProjetado[[#This Row],[Destino]]),validConcreto!K:O,4)</f>
        <v>5.22</v>
      </c>
    </row>
    <row r="1417" spans="1:5" hidden="1" x14ac:dyDescent="0.25">
      <c r="A1417" s="11">
        <v>1</v>
      </c>
      <c r="B1417" s="11" t="s">
        <v>2033</v>
      </c>
      <c r="C1417" s="11">
        <v>1</v>
      </c>
      <c r="D1417" t="s">
        <v>1968</v>
      </c>
      <c r="E1417">
        <f>VLOOKUP(CONCATENATE(validProjetado[[#This Row],[Tipo]],validProjetado[[#This Row],[Destino]]),validConcreto!K:O,4)</f>
        <v>5.22</v>
      </c>
    </row>
    <row r="1418" spans="1:5" hidden="1" x14ac:dyDescent="0.25">
      <c r="A1418" s="11">
        <v>2</v>
      </c>
      <c r="B1418" s="11" t="s">
        <v>2033</v>
      </c>
      <c r="C1418" s="11">
        <v>1</v>
      </c>
      <c r="D1418" t="s">
        <v>1968</v>
      </c>
      <c r="E1418">
        <f>VLOOKUP(CONCATENATE(validProjetado[[#This Row],[Tipo]],validProjetado[[#This Row],[Destino]]),validConcreto!K:O,4)</f>
        <v>5.22</v>
      </c>
    </row>
    <row r="1419" spans="1:5" hidden="1" x14ac:dyDescent="0.25">
      <c r="A1419" s="11">
        <v>3</v>
      </c>
      <c r="B1419" s="11" t="s">
        <v>2033</v>
      </c>
      <c r="C1419" s="11">
        <v>1</v>
      </c>
      <c r="D1419" t="s">
        <v>1968</v>
      </c>
      <c r="E1419">
        <f>VLOOKUP(CONCATENATE(validProjetado[[#This Row],[Tipo]],validProjetado[[#This Row],[Destino]]),validConcreto!K:O,4)</f>
        <v>5.22</v>
      </c>
    </row>
    <row r="1420" spans="1:5" hidden="1" x14ac:dyDescent="0.25">
      <c r="A1420" s="11">
        <v>4</v>
      </c>
      <c r="B1420" s="11" t="s">
        <v>2033</v>
      </c>
      <c r="C1420" s="11">
        <v>1</v>
      </c>
      <c r="D1420" t="s">
        <v>1968</v>
      </c>
      <c r="E1420">
        <f>VLOOKUP(CONCATENATE(validProjetado[[#This Row],[Tipo]],validProjetado[[#This Row],[Destino]]),validConcreto!K:O,4)</f>
        <v>5.22</v>
      </c>
    </row>
    <row r="1421" spans="1:5" hidden="1" x14ac:dyDescent="0.25">
      <c r="A1421" s="11">
        <v>5</v>
      </c>
      <c r="B1421" s="11" t="s">
        <v>2033</v>
      </c>
      <c r="C1421" s="11">
        <v>1</v>
      </c>
      <c r="D1421" t="s">
        <v>1968</v>
      </c>
      <c r="E1421">
        <f>VLOOKUP(CONCATENATE(validProjetado[[#This Row],[Tipo]],validProjetado[[#This Row],[Destino]]),validConcreto!K:O,4)</f>
        <v>5.22</v>
      </c>
    </row>
    <row r="1422" spans="1:5" hidden="1" x14ac:dyDescent="0.25">
      <c r="A1422" s="11">
        <v>6</v>
      </c>
      <c r="B1422" s="11" t="s">
        <v>2033</v>
      </c>
      <c r="C1422" s="11">
        <v>1</v>
      </c>
      <c r="D1422" t="s">
        <v>1968</v>
      </c>
      <c r="E1422">
        <f>VLOOKUP(CONCATENATE(validProjetado[[#This Row],[Tipo]],validProjetado[[#This Row],[Destino]]),validConcreto!K:O,4)</f>
        <v>5.22</v>
      </c>
    </row>
    <row r="1423" spans="1:5" hidden="1" x14ac:dyDescent="0.25">
      <c r="A1423" s="11">
        <v>7</v>
      </c>
      <c r="B1423" s="11" t="s">
        <v>2033</v>
      </c>
      <c r="C1423" s="11">
        <v>1</v>
      </c>
      <c r="D1423" t="s">
        <v>1968</v>
      </c>
      <c r="E1423">
        <f>VLOOKUP(CONCATENATE(validProjetado[[#This Row],[Tipo]],validProjetado[[#This Row],[Destino]]),validConcreto!K:O,4)</f>
        <v>5.22</v>
      </c>
    </row>
    <row r="1424" spans="1:5" hidden="1" x14ac:dyDescent="0.25">
      <c r="A1424" s="11">
        <v>8</v>
      </c>
      <c r="B1424" s="11" t="s">
        <v>2033</v>
      </c>
      <c r="C1424" s="11">
        <v>1</v>
      </c>
      <c r="D1424" t="s">
        <v>1968</v>
      </c>
      <c r="E1424">
        <f>VLOOKUP(CONCATENATE(validProjetado[[#This Row],[Tipo]],validProjetado[[#This Row],[Destino]]),validConcreto!K:O,4)</f>
        <v>5.22</v>
      </c>
    </row>
    <row r="1425" spans="1:5" hidden="1" x14ac:dyDescent="0.25">
      <c r="A1425" s="11">
        <v>9</v>
      </c>
      <c r="B1425" s="11" t="s">
        <v>2033</v>
      </c>
      <c r="C1425" s="11">
        <v>1</v>
      </c>
      <c r="D1425" t="s">
        <v>1968</v>
      </c>
      <c r="E1425">
        <f>VLOOKUP(CONCATENATE(validProjetado[[#This Row],[Tipo]],validProjetado[[#This Row],[Destino]]),validConcreto!K:O,4)</f>
        <v>5.22</v>
      </c>
    </row>
    <row r="1426" spans="1:5" hidden="1" x14ac:dyDescent="0.25">
      <c r="A1426" s="11">
        <v>10</v>
      </c>
      <c r="B1426" s="11" t="s">
        <v>2033</v>
      </c>
      <c r="C1426" s="11">
        <v>1</v>
      </c>
      <c r="D1426" t="s">
        <v>1968</v>
      </c>
      <c r="E1426">
        <f>VLOOKUP(CONCATENATE(validProjetado[[#This Row],[Tipo]],validProjetado[[#This Row],[Destino]]),validConcreto!K:O,4)</f>
        <v>5.22</v>
      </c>
    </row>
    <row r="1427" spans="1:5" hidden="1" x14ac:dyDescent="0.25">
      <c r="A1427" s="11">
        <v>11</v>
      </c>
      <c r="B1427" s="11" t="s">
        <v>2033</v>
      </c>
      <c r="C1427" s="11">
        <v>1</v>
      </c>
      <c r="D1427" t="s">
        <v>1968</v>
      </c>
      <c r="E1427">
        <f>VLOOKUP(CONCATENATE(validProjetado[[#This Row],[Tipo]],validProjetado[[#This Row],[Destino]]),validConcreto!K:O,4)</f>
        <v>5.22</v>
      </c>
    </row>
    <row r="1428" spans="1:5" hidden="1" x14ac:dyDescent="0.25">
      <c r="A1428" s="11">
        <v>12</v>
      </c>
      <c r="B1428" s="11" t="s">
        <v>2033</v>
      </c>
      <c r="C1428" s="11">
        <v>1</v>
      </c>
      <c r="D1428" t="s">
        <v>1968</v>
      </c>
      <c r="E1428">
        <f>VLOOKUP(CONCATENATE(validProjetado[[#This Row],[Tipo]],validProjetado[[#This Row],[Destino]]),validConcreto!K:O,4)</f>
        <v>5.22</v>
      </c>
    </row>
    <row r="1429" spans="1:5" hidden="1" x14ac:dyDescent="0.25">
      <c r="A1429" s="11">
        <v>13</v>
      </c>
      <c r="B1429" s="11" t="s">
        <v>2033</v>
      </c>
      <c r="C1429" s="11">
        <v>1</v>
      </c>
      <c r="D1429" t="s">
        <v>1968</v>
      </c>
      <c r="E1429">
        <f>VLOOKUP(CONCATENATE(validProjetado[[#This Row],[Tipo]],validProjetado[[#This Row],[Destino]]),validConcreto!K:O,4)</f>
        <v>5.22</v>
      </c>
    </row>
    <row r="1430" spans="1:5" hidden="1" x14ac:dyDescent="0.25">
      <c r="A1430" s="11">
        <v>14</v>
      </c>
      <c r="B1430" s="11" t="s">
        <v>2033</v>
      </c>
      <c r="C1430" s="11">
        <v>1</v>
      </c>
      <c r="D1430" t="s">
        <v>1968</v>
      </c>
      <c r="E1430">
        <f>VLOOKUP(CONCATENATE(validProjetado[[#This Row],[Tipo]],validProjetado[[#This Row],[Destino]]),validConcreto!K:O,4)</f>
        <v>5.22</v>
      </c>
    </row>
    <row r="1431" spans="1:5" hidden="1" x14ac:dyDescent="0.25">
      <c r="A1431" s="11">
        <v>15</v>
      </c>
      <c r="B1431" s="11" t="s">
        <v>2033</v>
      </c>
      <c r="C1431" s="11">
        <v>1</v>
      </c>
      <c r="D1431" t="s">
        <v>1968</v>
      </c>
      <c r="E1431">
        <f>VLOOKUP(CONCATENATE(validProjetado[[#This Row],[Tipo]],validProjetado[[#This Row],[Destino]]),validConcreto!K:O,4)</f>
        <v>5.22</v>
      </c>
    </row>
    <row r="1432" spans="1:5" hidden="1" x14ac:dyDescent="0.25">
      <c r="A1432" s="11">
        <v>16</v>
      </c>
      <c r="B1432" s="11" t="s">
        <v>2033</v>
      </c>
      <c r="C1432" s="11">
        <v>1</v>
      </c>
      <c r="D1432" t="s">
        <v>1968</v>
      </c>
      <c r="E1432">
        <f>VLOOKUP(CONCATENATE(validProjetado[[#This Row],[Tipo]],validProjetado[[#This Row],[Destino]]),validConcreto!K:O,4)</f>
        <v>5.22</v>
      </c>
    </row>
    <row r="1433" spans="1:5" hidden="1" x14ac:dyDescent="0.25">
      <c r="A1433" s="11">
        <v>17</v>
      </c>
      <c r="B1433" s="11" t="s">
        <v>2033</v>
      </c>
      <c r="C1433" s="11">
        <v>1</v>
      </c>
      <c r="D1433" t="s">
        <v>1968</v>
      </c>
      <c r="E1433">
        <f>VLOOKUP(CONCATENATE(validProjetado[[#This Row],[Tipo]],validProjetado[[#This Row],[Destino]]),validConcreto!K:O,4)</f>
        <v>5.22</v>
      </c>
    </row>
    <row r="1434" spans="1:5" hidden="1" x14ac:dyDescent="0.25">
      <c r="A1434" s="11">
        <v>18</v>
      </c>
      <c r="B1434" s="11" t="s">
        <v>2033</v>
      </c>
      <c r="C1434" s="11">
        <v>1</v>
      </c>
      <c r="D1434" t="s">
        <v>1968</v>
      </c>
      <c r="E1434">
        <f>VLOOKUP(CONCATENATE(validProjetado[[#This Row],[Tipo]],validProjetado[[#This Row],[Destino]]),validConcreto!K:O,4)</f>
        <v>5.22</v>
      </c>
    </row>
    <row r="1435" spans="1:5" hidden="1" x14ac:dyDescent="0.25">
      <c r="A1435" s="11">
        <v>19</v>
      </c>
      <c r="B1435" s="11" t="s">
        <v>2033</v>
      </c>
      <c r="C1435" s="11">
        <v>1</v>
      </c>
      <c r="D1435" t="s">
        <v>1968</v>
      </c>
      <c r="E1435">
        <f>VLOOKUP(CONCATENATE(validProjetado[[#This Row],[Tipo]],validProjetado[[#This Row],[Destino]]),validConcreto!K:O,4)</f>
        <v>5.22</v>
      </c>
    </row>
    <row r="1436" spans="1:5" hidden="1" x14ac:dyDescent="0.25">
      <c r="A1436" s="11">
        <v>20</v>
      </c>
      <c r="B1436" s="11" t="s">
        <v>2033</v>
      </c>
      <c r="C1436" s="11">
        <v>1</v>
      </c>
      <c r="D1436" t="s">
        <v>1968</v>
      </c>
      <c r="E1436">
        <f>VLOOKUP(CONCATENATE(validProjetado[[#This Row],[Tipo]],validProjetado[[#This Row],[Destino]]),validConcreto!K:O,4)</f>
        <v>5.22</v>
      </c>
    </row>
    <row r="1437" spans="1:5" hidden="1" x14ac:dyDescent="0.25">
      <c r="A1437" s="11">
        <v>21</v>
      </c>
      <c r="B1437" s="11" t="s">
        <v>2033</v>
      </c>
      <c r="C1437" s="11">
        <v>1</v>
      </c>
      <c r="D1437" t="s">
        <v>1968</v>
      </c>
      <c r="E1437">
        <f>VLOOKUP(CONCATENATE(validProjetado[[#This Row],[Tipo]],validProjetado[[#This Row],[Destino]]),validConcreto!K:O,4)</f>
        <v>5.22</v>
      </c>
    </row>
    <row r="1438" spans="1:5" hidden="1" x14ac:dyDescent="0.25">
      <c r="A1438" s="11">
        <v>22</v>
      </c>
      <c r="B1438" s="11" t="s">
        <v>2033</v>
      </c>
      <c r="C1438" s="11">
        <v>1</v>
      </c>
      <c r="D1438" t="s">
        <v>1968</v>
      </c>
      <c r="E1438">
        <f>VLOOKUP(CONCATENATE(validProjetado[[#This Row],[Tipo]],validProjetado[[#This Row],[Destino]]),validConcreto!K:O,4)</f>
        <v>5.22</v>
      </c>
    </row>
    <row r="1439" spans="1:5" hidden="1" x14ac:dyDescent="0.25">
      <c r="A1439" s="11">
        <v>23</v>
      </c>
      <c r="B1439" s="11" t="s">
        <v>2033</v>
      </c>
      <c r="C1439" s="11">
        <v>2</v>
      </c>
      <c r="D1439" t="s">
        <v>1968</v>
      </c>
      <c r="E1439">
        <f>VLOOKUP(CONCATENATE(validProjetado[[#This Row],[Tipo]],validProjetado[[#This Row],[Destino]]),validConcreto!K:O,4)</f>
        <v>6.38</v>
      </c>
    </row>
    <row r="1440" spans="1:5" hidden="1" x14ac:dyDescent="0.25">
      <c r="A1440" s="11">
        <v>24</v>
      </c>
      <c r="B1440" s="11" t="s">
        <v>2033</v>
      </c>
      <c r="C1440" s="11">
        <v>1</v>
      </c>
      <c r="D1440" t="s">
        <v>1968</v>
      </c>
      <c r="E1440">
        <f>VLOOKUP(CONCATENATE(validProjetado[[#This Row],[Tipo]],validProjetado[[#This Row],[Destino]]),validConcreto!K:O,4)</f>
        <v>5.22</v>
      </c>
    </row>
    <row r="1441" spans="1:5" hidden="1" x14ac:dyDescent="0.25">
      <c r="A1441" s="11">
        <v>25</v>
      </c>
      <c r="B1441" s="11" t="s">
        <v>2033</v>
      </c>
      <c r="C1441" s="11">
        <v>2</v>
      </c>
      <c r="D1441" t="s">
        <v>1968</v>
      </c>
      <c r="E1441">
        <f>VLOOKUP(CONCATENATE(validProjetado[[#This Row],[Tipo]],validProjetado[[#This Row],[Destino]]),validConcreto!K:O,4)</f>
        <v>6.38</v>
      </c>
    </row>
    <row r="1442" spans="1:5" hidden="1" x14ac:dyDescent="0.25">
      <c r="A1442" s="11">
        <v>26</v>
      </c>
      <c r="B1442" s="11" t="s">
        <v>2033</v>
      </c>
      <c r="C1442" s="11">
        <v>1</v>
      </c>
      <c r="D1442" t="s">
        <v>1968</v>
      </c>
      <c r="E1442">
        <f>VLOOKUP(CONCATENATE(validProjetado[[#This Row],[Tipo]],validProjetado[[#This Row],[Destino]]),validConcreto!K:O,4)</f>
        <v>5.22</v>
      </c>
    </row>
    <row r="1443" spans="1:5" hidden="1" x14ac:dyDescent="0.25">
      <c r="A1443" s="11">
        <v>27</v>
      </c>
      <c r="B1443" s="11" t="s">
        <v>2033</v>
      </c>
      <c r="C1443" s="11">
        <v>2</v>
      </c>
      <c r="D1443" t="s">
        <v>1968</v>
      </c>
      <c r="E1443">
        <f>VLOOKUP(CONCATENATE(validProjetado[[#This Row],[Tipo]],validProjetado[[#This Row],[Destino]]),validConcreto!K:O,4)</f>
        <v>6.38</v>
      </c>
    </row>
    <row r="1444" spans="1:5" hidden="1" x14ac:dyDescent="0.25">
      <c r="A1444" s="11">
        <v>28</v>
      </c>
      <c r="B1444" s="11" t="s">
        <v>2033</v>
      </c>
      <c r="C1444" s="11">
        <v>1</v>
      </c>
      <c r="D1444" t="s">
        <v>1968</v>
      </c>
      <c r="E1444">
        <f>VLOOKUP(CONCATENATE(validProjetado[[#This Row],[Tipo]],validProjetado[[#This Row],[Destino]]),validConcreto!K:O,4)</f>
        <v>5.22</v>
      </c>
    </row>
    <row r="1445" spans="1:5" hidden="1" x14ac:dyDescent="0.25">
      <c r="A1445" s="11">
        <v>29</v>
      </c>
      <c r="B1445" s="11" t="s">
        <v>2033</v>
      </c>
      <c r="C1445" s="11">
        <v>2</v>
      </c>
      <c r="D1445" t="s">
        <v>1968</v>
      </c>
      <c r="E1445">
        <f>VLOOKUP(CONCATENATE(validProjetado[[#This Row],[Tipo]],validProjetado[[#This Row],[Destino]]),validConcreto!K:O,4)</f>
        <v>6.38</v>
      </c>
    </row>
    <row r="1446" spans="1:5" hidden="1" x14ac:dyDescent="0.25">
      <c r="A1446" s="11">
        <v>30</v>
      </c>
      <c r="B1446" s="11" t="s">
        <v>2033</v>
      </c>
      <c r="C1446" s="11">
        <v>1</v>
      </c>
      <c r="D1446" t="s">
        <v>1968</v>
      </c>
      <c r="E1446">
        <f>VLOOKUP(CONCATENATE(validProjetado[[#This Row],[Tipo]],validProjetado[[#This Row],[Destino]]),validConcreto!K:O,4)</f>
        <v>5.22</v>
      </c>
    </row>
    <row r="1447" spans="1:5" hidden="1" x14ac:dyDescent="0.25">
      <c r="A1447" s="11">
        <v>31</v>
      </c>
      <c r="B1447" s="11" t="s">
        <v>2033</v>
      </c>
      <c r="C1447" s="11">
        <v>2</v>
      </c>
      <c r="D1447" t="s">
        <v>1968</v>
      </c>
      <c r="E1447">
        <f>VLOOKUP(CONCATENATE(validProjetado[[#This Row],[Tipo]],validProjetado[[#This Row],[Destino]]),validConcreto!K:O,4)</f>
        <v>6.38</v>
      </c>
    </row>
    <row r="1448" spans="1:5" hidden="1" x14ac:dyDescent="0.25">
      <c r="A1448" s="11">
        <v>32</v>
      </c>
      <c r="B1448" s="11" t="s">
        <v>2033</v>
      </c>
      <c r="C1448" s="11">
        <v>1</v>
      </c>
      <c r="D1448" t="s">
        <v>1968</v>
      </c>
      <c r="E1448">
        <f>VLOOKUP(CONCATENATE(validProjetado[[#This Row],[Tipo]],validProjetado[[#This Row],[Destino]]),validConcreto!K:O,4)</f>
        <v>5.22</v>
      </c>
    </row>
    <row r="1449" spans="1:5" hidden="1" x14ac:dyDescent="0.25">
      <c r="A1449" s="11">
        <v>33</v>
      </c>
      <c r="B1449" s="11" t="s">
        <v>2033</v>
      </c>
      <c r="C1449" s="11">
        <v>2</v>
      </c>
      <c r="D1449" t="s">
        <v>1968</v>
      </c>
      <c r="E1449">
        <f>VLOOKUP(CONCATENATE(validProjetado[[#This Row],[Tipo]],validProjetado[[#This Row],[Destino]]),validConcreto!K:O,4)</f>
        <v>6.38</v>
      </c>
    </row>
    <row r="1450" spans="1:5" hidden="1" x14ac:dyDescent="0.25">
      <c r="A1450" s="11">
        <v>34</v>
      </c>
      <c r="B1450" s="11" t="s">
        <v>2033</v>
      </c>
      <c r="C1450" s="11">
        <v>1</v>
      </c>
      <c r="D1450" t="s">
        <v>1968</v>
      </c>
      <c r="E1450">
        <f>VLOOKUP(CONCATENATE(validProjetado[[#This Row],[Tipo]],validProjetado[[#This Row],[Destino]]),validConcreto!K:O,4)</f>
        <v>5.22</v>
      </c>
    </row>
    <row r="1451" spans="1:5" hidden="1" x14ac:dyDescent="0.25">
      <c r="A1451" s="11">
        <v>35</v>
      </c>
      <c r="B1451" s="11" t="s">
        <v>2033</v>
      </c>
      <c r="C1451" s="11">
        <v>2</v>
      </c>
      <c r="D1451" t="s">
        <v>1968</v>
      </c>
      <c r="E1451">
        <f>VLOOKUP(CONCATENATE(validProjetado[[#This Row],[Tipo]],validProjetado[[#This Row],[Destino]]),validConcreto!K:O,4)</f>
        <v>6.38</v>
      </c>
    </row>
    <row r="1452" spans="1:5" hidden="1" x14ac:dyDescent="0.25">
      <c r="A1452" s="11">
        <v>36</v>
      </c>
      <c r="B1452" s="11" t="s">
        <v>2033</v>
      </c>
      <c r="C1452" s="11">
        <v>1</v>
      </c>
      <c r="D1452" t="s">
        <v>1968</v>
      </c>
      <c r="E1452">
        <f>VLOOKUP(CONCATENATE(validProjetado[[#This Row],[Tipo]],validProjetado[[#This Row],[Destino]]),validConcreto!K:O,4)</f>
        <v>5.22</v>
      </c>
    </row>
    <row r="1453" spans="1:5" hidden="1" x14ac:dyDescent="0.25">
      <c r="A1453" s="11">
        <v>37</v>
      </c>
      <c r="B1453" s="11" t="s">
        <v>2033</v>
      </c>
      <c r="C1453" s="11">
        <v>1</v>
      </c>
      <c r="D1453" t="s">
        <v>1968</v>
      </c>
      <c r="E1453">
        <f>VLOOKUP(CONCATENATE(validProjetado[[#This Row],[Tipo]],validProjetado[[#This Row],[Destino]]),validConcreto!K:O,4)</f>
        <v>5.22</v>
      </c>
    </row>
    <row r="1454" spans="1:5" hidden="1" x14ac:dyDescent="0.25">
      <c r="A1454" s="11">
        <v>38</v>
      </c>
      <c r="B1454" s="11" t="s">
        <v>2033</v>
      </c>
      <c r="C1454" s="11">
        <v>2</v>
      </c>
      <c r="D1454" t="s">
        <v>1968</v>
      </c>
      <c r="E1454">
        <f>VLOOKUP(CONCATENATE(validProjetado[[#This Row],[Tipo]],validProjetado[[#This Row],[Destino]]),validConcreto!K:O,4)</f>
        <v>6.38</v>
      </c>
    </row>
    <row r="1455" spans="1:5" hidden="1" x14ac:dyDescent="0.25">
      <c r="A1455" s="11">
        <v>1</v>
      </c>
      <c r="B1455" s="11" t="s">
        <v>2036</v>
      </c>
      <c r="C1455" s="11">
        <v>1</v>
      </c>
      <c r="D1455" t="s">
        <v>1968</v>
      </c>
      <c r="E1455">
        <f>VLOOKUP(CONCATENATE(validProjetado[[#This Row],[Tipo]],validProjetado[[#This Row],[Destino]]),validConcreto!K:O,4)</f>
        <v>5.22</v>
      </c>
    </row>
    <row r="1456" spans="1:5" hidden="1" x14ac:dyDescent="0.25">
      <c r="A1456" s="11">
        <v>2</v>
      </c>
      <c r="B1456" s="11" t="s">
        <v>2036</v>
      </c>
      <c r="C1456" s="11">
        <v>1</v>
      </c>
      <c r="D1456" t="s">
        <v>1968</v>
      </c>
      <c r="E1456">
        <f>VLOOKUP(CONCATENATE(validProjetado[[#This Row],[Tipo]],validProjetado[[#This Row],[Destino]]),validConcreto!K:O,4)</f>
        <v>5.22</v>
      </c>
    </row>
    <row r="1457" spans="1:5" hidden="1" x14ac:dyDescent="0.25">
      <c r="A1457" s="11">
        <v>3</v>
      </c>
      <c r="B1457" s="11" t="s">
        <v>2036</v>
      </c>
      <c r="C1457" s="11">
        <v>1</v>
      </c>
      <c r="D1457" t="s">
        <v>1968</v>
      </c>
      <c r="E1457">
        <f>VLOOKUP(CONCATENATE(validProjetado[[#This Row],[Tipo]],validProjetado[[#This Row],[Destino]]),validConcreto!K:O,4)</f>
        <v>5.22</v>
      </c>
    </row>
    <row r="1458" spans="1:5" hidden="1" x14ac:dyDescent="0.25">
      <c r="A1458" s="11">
        <v>4</v>
      </c>
      <c r="B1458" s="11" t="s">
        <v>2036</v>
      </c>
      <c r="C1458" s="11">
        <v>1</v>
      </c>
      <c r="D1458" t="s">
        <v>1968</v>
      </c>
      <c r="E1458">
        <f>VLOOKUP(CONCATENATE(validProjetado[[#This Row],[Tipo]],validProjetado[[#This Row],[Destino]]),validConcreto!K:O,4)</f>
        <v>5.22</v>
      </c>
    </row>
    <row r="1459" spans="1:5" hidden="1" x14ac:dyDescent="0.25">
      <c r="A1459" s="11">
        <v>5</v>
      </c>
      <c r="B1459" s="11" t="s">
        <v>2036</v>
      </c>
      <c r="C1459" s="11">
        <v>1</v>
      </c>
      <c r="D1459" t="s">
        <v>1968</v>
      </c>
      <c r="E1459">
        <f>VLOOKUP(CONCATENATE(validProjetado[[#This Row],[Tipo]],validProjetado[[#This Row],[Destino]]),validConcreto!K:O,4)</f>
        <v>5.22</v>
      </c>
    </row>
    <row r="1460" spans="1:5" hidden="1" x14ac:dyDescent="0.25">
      <c r="A1460" s="11">
        <v>6</v>
      </c>
      <c r="B1460" s="11" t="s">
        <v>2036</v>
      </c>
      <c r="C1460" s="11">
        <v>1</v>
      </c>
      <c r="D1460" t="s">
        <v>1968</v>
      </c>
      <c r="E1460">
        <f>VLOOKUP(CONCATENATE(validProjetado[[#This Row],[Tipo]],validProjetado[[#This Row],[Destino]]),validConcreto!K:O,4)</f>
        <v>5.22</v>
      </c>
    </row>
    <row r="1461" spans="1:5" hidden="1" x14ac:dyDescent="0.25">
      <c r="A1461" s="11">
        <v>7</v>
      </c>
      <c r="B1461" s="11" t="s">
        <v>2036</v>
      </c>
      <c r="C1461" s="11">
        <v>1</v>
      </c>
      <c r="D1461" t="s">
        <v>1968</v>
      </c>
      <c r="E1461">
        <f>VLOOKUP(CONCATENATE(validProjetado[[#This Row],[Tipo]],validProjetado[[#This Row],[Destino]]),validConcreto!K:O,4)</f>
        <v>5.22</v>
      </c>
    </row>
    <row r="1462" spans="1:5" hidden="1" x14ac:dyDescent="0.25">
      <c r="A1462" s="11">
        <v>8</v>
      </c>
      <c r="B1462" s="11" t="s">
        <v>2036</v>
      </c>
      <c r="C1462" s="11">
        <v>1</v>
      </c>
      <c r="D1462" t="s">
        <v>1968</v>
      </c>
      <c r="E1462">
        <f>VLOOKUP(CONCATENATE(validProjetado[[#This Row],[Tipo]],validProjetado[[#This Row],[Destino]]),validConcreto!K:O,4)</f>
        <v>5.22</v>
      </c>
    </row>
    <row r="1463" spans="1:5" hidden="1" x14ac:dyDescent="0.25">
      <c r="A1463" s="11">
        <v>9</v>
      </c>
      <c r="B1463" s="11" t="s">
        <v>2036</v>
      </c>
      <c r="C1463" s="11">
        <v>1</v>
      </c>
      <c r="D1463" t="s">
        <v>1968</v>
      </c>
      <c r="E1463">
        <f>VLOOKUP(CONCATENATE(validProjetado[[#This Row],[Tipo]],validProjetado[[#This Row],[Destino]]),validConcreto!K:O,4)</f>
        <v>5.22</v>
      </c>
    </row>
    <row r="1464" spans="1:5" hidden="1" x14ac:dyDescent="0.25">
      <c r="A1464" s="11">
        <v>10</v>
      </c>
      <c r="B1464" s="11" t="s">
        <v>2036</v>
      </c>
      <c r="C1464" s="11">
        <v>1</v>
      </c>
      <c r="D1464" t="s">
        <v>1968</v>
      </c>
      <c r="E1464">
        <f>VLOOKUP(CONCATENATE(validProjetado[[#This Row],[Tipo]],validProjetado[[#This Row],[Destino]]),validConcreto!K:O,4)</f>
        <v>5.22</v>
      </c>
    </row>
    <row r="1465" spans="1:5" hidden="1" x14ac:dyDescent="0.25">
      <c r="A1465" s="11">
        <v>11</v>
      </c>
      <c r="B1465" s="11" t="s">
        <v>2036</v>
      </c>
      <c r="C1465" s="11">
        <v>1</v>
      </c>
      <c r="D1465" t="s">
        <v>1968</v>
      </c>
      <c r="E1465">
        <f>VLOOKUP(CONCATENATE(validProjetado[[#This Row],[Tipo]],validProjetado[[#This Row],[Destino]]),validConcreto!K:O,4)</f>
        <v>5.22</v>
      </c>
    </row>
    <row r="1466" spans="1:5" hidden="1" x14ac:dyDescent="0.25">
      <c r="A1466" s="11">
        <v>12</v>
      </c>
      <c r="B1466" s="11" t="s">
        <v>2036</v>
      </c>
      <c r="C1466" s="11">
        <v>1</v>
      </c>
      <c r="D1466" t="s">
        <v>1968</v>
      </c>
      <c r="E1466">
        <f>VLOOKUP(CONCATENATE(validProjetado[[#This Row],[Tipo]],validProjetado[[#This Row],[Destino]]),validConcreto!K:O,4)</f>
        <v>5.22</v>
      </c>
    </row>
    <row r="1467" spans="1:5" hidden="1" x14ac:dyDescent="0.25">
      <c r="A1467" s="11">
        <v>13</v>
      </c>
      <c r="B1467" s="11" t="s">
        <v>2036</v>
      </c>
      <c r="C1467" s="11">
        <v>1</v>
      </c>
      <c r="D1467" t="s">
        <v>1968</v>
      </c>
      <c r="E1467">
        <f>VLOOKUP(CONCATENATE(validProjetado[[#This Row],[Tipo]],validProjetado[[#This Row],[Destino]]),validConcreto!K:O,4)</f>
        <v>5.22</v>
      </c>
    </row>
    <row r="1468" spans="1:5" hidden="1" x14ac:dyDescent="0.25">
      <c r="A1468" s="11">
        <v>14</v>
      </c>
      <c r="B1468" s="11" t="s">
        <v>2036</v>
      </c>
      <c r="C1468" s="11">
        <v>1</v>
      </c>
      <c r="D1468" t="s">
        <v>1968</v>
      </c>
      <c r="E1468">
        <f>VLOOKUP(CONCATENATE(validProjetado[[#This Row],[Tipo]],validProjetado[[#This Row],[Destino]]),validConcreto!K:O,4)</f>
        <v>5.22</v>
      </c>
    </row>
    <row r="1469" spans="1:5" hidden="1" x14ac:dyDescent="0.25">
      <c r="A1469" s="11">
        <v>15</v>
      </c>
      <c r="B1469" s="11" t="s">
        <v>2036</v>
      </c>
      <c r="C1469" s="11">
        <v>1</v>
      </c>
      <c r="D1469" t="s">
        <v>1968</v>
      </c>
      <c r="E1469">
        <f>VLOOKUP(CONCATENATE(validProjetado[[#This Row],[Tipo]],validProjetado[[#This Row],[Destino]]),validConcreto!K:O,4)</f>
        <v>5.22</v>
      </c>
    </row>
    <row r="1470" spans="1:5" hidden="1" x14ac:dyDescent="0.25">
      <c r="A1470" s="11">
        <v>16</v>
      </c>
      <c r="B1470" s="11" t="s">
        <v>2036</v>
      </c>
      <c r="C1470" s="11">
        <v>1</v>
      </c>
      <c r="D1470" t="s">
        <v>1968</v>
      </c>
      <c r="E1470">
        <f>VLOOKUP(CONCATENATE(validProjetado[[#This Row],[Tipo]],validProjetado[[#This Row],[Destino]]),validConcreto!K:O,4)</f>
        <v>5.22</v>
      </c>
    </row>
    <row r="1471" spans="1:5" hidden="1" x14ac:dyDescent="0.25">
      <c r="A1471" s="11">
        <v>17</v>
      </c>
      <c r="B1471" s="11" t="s">
        <v>2036</v>
      </c>
      <c r="C1471" s="11">
        <v>1</v>
      </c>
      <c r="D1471" t="s">
        <v>1968</v>
      </c>
      <c r="E1471">
        <f>VLOOKUP(CONCATENATE(validProjetado[[#This Row],[Tipo]],validProjetado[[#This Row],[Destino]]),validConcreto!K:O,4)</f>
        <v>5.22</v>
      </c>
    </row>
    <row r="1472" spans="1:5" hidden="1" x14ac:dyDescent="0.25">
      <c r="A1472" s="11">
        <v>18</v>
      </c>
      <c r="B1472" s="11" t="s">
        <v>2036</v>
      </c>
      <c r="C1472" s="11">
        <v>1</v>
      </c>
      <c r="D1472" t="s">
        <v>1968</v>
      </c>
      <c r="E1472">
        <f>VLOOKUP(CONCATENATE(validProjetado[[#This Row],[Tipo]],validProjetado[[#This Row],[Destino]]),validConcreto!K:O,4)</f>
        <v>5.22</v>
      </c>
    </row>
    <row r="1473" spans="1:5" hidden="1" x14ac:dyDescent="0.25">
      <c r="A1473" s="11">
        <v>19</v>
      </c>
      <c r="B1473" s="11" t="s">
        <v>2036</v>
      </c>
      <c r="C1473" s="11">
        <v>1</v>
      </c>
      <c r="D1473" t="s">
        <v>1968</v>
      </c>
      <c r="E1473">
        <f>VLOOKUP(CONCATENATE(validProjetado[[#This Row],[Tipo]],validProjetado[[#This Row],[Destino]]),validConcreto!K:O,4)</f>
        <v>5.22</v>
      </c>
    </row>
    <row r="1474" spans="1:5" hidden="1" x14ac:dyDescent="0.25">
      <c r="A1474" s="11">
        <v>20</v>
      </c>
      <c r="B1474" s="11" t="s">
        <v>2036</v>
      </c>
      <c r="C1474" s="11">
        <v>1</v>
      </c>
      <c r="D1474" t="s">
        <v>1968</v>
      </c>
      <c r="E1474">
        <f>VLOOKUP(CONCATENATE(validProjetado[[#This Row],[Tipo]],validProjetado[[#This Row],[Destino]]),validConcreto!K:O,4)</f>
        <v>5.22</v>
      </c>
    </row>
    <row r="1475" spans="1:5" hidden="1" x14ac:dyDescent="0.25">
      <c r="A1475" s="11">
        <v>21</v>
      </c>
      <c r="B1475" s="11" t="s">
        <v>2036</v>
      </c>
      <c r="C1475" s="11">
        <v>1</v>
      </c>
      <c r="D1475" t="s">
        <v>1968</v>
      </c>
      <c r="E1475">
        <f>VLOOKUP(CONCATENATE(validProjetado[[#This Row],[Tipo]],validProjetado[[#This Row],[Destino]]),validConcreto!K:O,4)</f>
        <v>5.22</v>
      </c>
    </row>
    <row r="1476" spans="1:5" hidden="1" x14ac:dyDescent="0.25">
      <c r="A1476" s="11">
        <v>22</v>
      </c>
      <c r="B1476" s="11" t="s">
        <v>2036</v>
      </c>
      <c r="C1476" s="11">
        <v>1</v>
      </c>
      <c r="D1476" t="s">
        <v>1968</v>
      </c>
      <c r="E1476">
        <f>VLOOKUP(CONCATENATE(validProjetado[[#This Row],[Tipo]],validProjetado[[#This Row],[Destino]]),validConcreto!K:O,4)</f>
        <v>5.22</v>
      </c>
    </row>
    <row r="1477" spans="1:5" hidden="1" x14ac:dyDescent="0.25">
      <c r="A1477" s="11">
        <v>23</v>
      </c>
      <c r="B1477" s="11" t="s">
        <v>2036</v>
      </c>
      <c r="C1477" s="11">
        <v>1</v>
      </c>
      <c r="D1477" t="s">
        <v>1968</v>
      </c>
      <c r="E1477">
        <f>VLOOKUP(CONCATENATE(validProjetado[[#This Row],[Tipo]],validProjetado[[#This Row],[Destino]]),validConcreto!K:O,4)</f>
        <v>5.22</v>
      </c>
    </row>
    <row r="1478" spans="1:5" hidden="1" x14ac:dyDescent="0.25">
      <c r="A1478" s="11">
        <v>24</v>
      </c>
      <c r="B1478" s="11" t="s">
        <v>2036</v>
      </c>
      <c r="C1478" s="11">
        <v>1</v>
      </c>
      <c r="D1478" t="s">
        <v>1968</v>
      </c>
      <c r="E1478">
        <f>VLOOKUP(CONCATENATE(validProjetado[[#This Row],[Tipo]],validProjetado[[#This Row],[Destino]]),validConcreto!K:O,4)</f>
        <v>5.22</v>
      </c>
    </row>
    <row r="1479" spans="1:5" hidden="1" x14ac:dyDescent="0.25">
      <c r="A1479" s="11">
        <v>25</v>
      </c>
      <c r="B1479" s="11" t="s">
        <v>2036</v>
      </c>
      <c r="C1479" s="11">
        <v>1</v>
      </c>
      <c r="D1479" t="s">
        <v>1968</v>
      </c>
      <c r="E1479">
        <f>VLOOKUP(CONCATENATE(validProjetado[[#This Row],[Tipo]],validProjetado[[#This Row],[Destino]]),validConcreto!K:O,4)</f>
        <v>5.22</v>
      </c>
    </row>
    <row r="1480" spans="1:5" hidden="1" x14ac:dyDescent="0.25">
      <c r="A1480" s="11">
        <v>26</v>
      </c>
      <c r="B1480" s="11" t="s">
        <v>2036</v>
      </c>
      <c r="C1480" s="11">
        <v>1</v>
      </c>
      <c r="D1480" t="s">
        <v>1968</v>
      </c>
      <c r="E1480">
        <f>VLOOKUP(CONCATENATE(validProjetado[[#This Row],[Tipo]],validProjetado[[#This Row],[Destino]]),validConcreto!K:O,4)</f>
        <v>5.22</v>
      </c>
    </row>
    <row r="1481" spans="1:5" hidden="1" x14ac:dyDescent="0.25">
      <c r="A1481" s="11">
        <v>27</v>
      </c>
      <c r="B1481" s="11" t="s">
        <v>2036</v>
      </c>
      <c r="C1481" s="11">
        <v>1</v>
      </c>
      <c r="D1481" t="s">
        <v>1968</v>
      </c>
      <c r="E1481">
        <f>VLOOKUP(CONCATENATE(validProjetado[[#This Row],[Tipo]],validProjetado[[#This Row],[Destino]]),validConcreto!K:O,4)</f>
        <v>5.22</v>
      </c>
    </row>
    <row r="1482" spans="1:5" hidden="1" x14ac:dyDescent="0.25">
      <c r="A1482" s="11">
        <v>28</v>
      </c>
      <c r="B1482" s="11" t="s">
        <v>2036</v>
      </c>
      <c r="C1482" s="11">
        <v>1</v>
      </c>
      <c r="D1482" t="s">
        <v>1968</v>
      </c>
      <c r="E1482">
        <f>VLOOKUP(CONCATENATE(validProjetado[[#This Row],[Tipo]],validProjetado[[#This Row],[Destino]]),validConcreto!K:O,4)</f>
        <v>5.22</v>
      </c>
    </row>
    <row r="1483" spans="1:5" hidden="1" x14ac:dyDescent="0.25">
      <c r="A1483" s="11">
        <v>29</v>
      </c>
      <c r="B1483" s="11" t="s">
        <v>2036</v>
      </c>
      <c r="C1483" s="11">
        <v>1</v>
      </c>
      <c r="D1483" t="s">
        <v>1968</v>
      </c>
      <c r="E1483">
        <f>VLOOKUP(CONCATENATE(validProjetado[[#This Row],[Tipo]],validProjetado[[#This Row],[Destino]]),validConcreto!K:O,4)</f>
        <v>5.22</v>
      </c>
    </row>
    <row r="1484" spans="1:5" hidden="1" x14ac:dyDescent="0.25">
      <c r="A1484" s="11">
        <v>30</v>
      </c>
      <c r="B1484" s="11" t="s">
        <v>2036</v>
      </c>
      <c r="C1484" s="11">
        <v>1</v>
      </c>
      <c r="D1484" t="s">
        <v>1968</v>
      </c>
      <c r="E1484">
        <f>VLOOKUP(CONCATENATE(validProjetado[[#This Row],[Tipo]],validProjetado[[#This Row],[Destino]]),validConcreto!K:O,4)</f>
        <v>5.22</v>
      </c>
    </row>
    <row r="1485" spans="1:5" hidden="1" x14ac:dyDescent="0.25">
      <c r="A1485" s="11">
        <v>31</v>
      </c>
      <c r="B1485" s="11" t="s">
        <v>2036</v>
      </c>
      <c r="C1485" s="11">
        <v>1</v>
      </c>
      <c r="D1485" t="s">
        <v>1968</v>
      </c>
      <c r="E1485">
        <f>VLOOKUP(CONCATENATE(validProjetado[[#This Row],[Tipo]],validProjetado[[#This Row],[Destino]]),validConcreto!K:O,4)</f>
        <v>5.22</v>
      </c>
    </row>
    <row r="1486" spans="1:5" hidden="1" x14ac:dyDescent="0.25">
      <c r="A1486" s="11">
        <v>32</v>
      </c>
      <c r="B1486" s="11" t="s">
        <v>2036</v>
      </c>
      <c r="C1486" s="11">
        <v>1</v>
      </c>
      <c r="D1486" t="s">
        <v>1968</v>
      </c>
      <c r="E1486">
        <f>VLOOKUP(CONCATENATE(validProjetado[[#This Row],[Tipo]],validProjetado[[#This Row],[Destino]]),validConcreto!K:O,4)</f>
        <v>5.22</v>
      </c>
    </row>
    <row r="1487" spans="1:5" hidden="1" x14ac:dyDescent="0.25">
      <c r="A1487" s="11">
        <v>33</v>
      </c>
      <c r="B1487" s="11" t="s">
        <v>2036</v>
      </c>
      <c r="C1487" s="11">
        <v>1</v>
      </c>
      <c r="D1487" t="s">
        <v>1968</v>
      </c>
      <c r="E1487">
        <f>VLOOKUP(CONCATENATE(validProjetado[[#This Row],[Tipo]],validProjetado[[#This Row],[Destino]]),validConcreto!K:O,4)</f>
        <v>5.22</v>
      </c>
    </row>
    <row r="1488" spans="1:5" hidden="1" x14ac:dyDescent="0.25">
      <c r="A1488" s="11">
        <v>34</v>
      </c>
      <c r="B1488" s="11" t="s">
        <v>2036</v>
      </c>
      <c r="C1488" s="11">
        <v>1</v>
      </c>
      <c r="D1488" t="s">
        <v>1968</v>
      </c>
      <c r="E1488">
        <f>VLOOKUP(CONCATENATE(validProjetado[[#This Row],[Tipo]],validProjetado[[#This Row],[Destino]]),validConcreto!K:O,4)</f>
        <v>5.22</v>
      </c>
    </row>
    <row r="1489" spans="1:5" hidden="1" x14ac:dyDescent="0.25">
      <c r="A1489" s="11">
        <v>35</v>
      </c>
      <c r="B1489" s="11" t="s">
        <v>2036</v>
      </c>
      <c r="C1489" s="11">
        <v>1</v>
      </c>
      <c r="D1489" t="s">
        <v>1968</v>
      </c>
      <c r="E1489">
        <f>VLOOKUP(CONCATENATE(validProjetado[[#This Row],[Tipo]],validProjetado[[#This Row],[Destino]]),validConcreto!K:O,4)</f>
        <v>5.22</v>
      </c>
    </row>
    <row r="1490" spans="1:5" hidden="1" x14ac:dyDescent="0.25">
      <c r="A1490" s="11">
        <v>36</v>
      </c>
      <c r="B1490" s="11" t="s">
        <v>2036</v>
      </c>
      <c r="C1490" s="11">
        <v>1</v>
      </c>
      <c r="D1490" t="s">
        <v>1968</v>
      </c>
      <c r="E1490">
        <f>VLOOKUP(CONCATENATE(validProjetado[[#This Row],[Tipo]],validProjetado[[#This Row],[Destino]]),validConcreto!K:O,4)</f>
        <v>5.22</v>
      </c>
    </row>
    <row r="1491" spans="1:5" hidden="1" x14ac:dyDescent="0.25">
      <c r="A1491" s="11">
        <v>37</v>
      </c>
      <c r="B1491" s="11" t="s">
        <v>2036</v>
      </c>
      <c r="C1491" s="11">
        <v>1</v>
      </c>
      <c r="D1491" t="s">
        <v>1968</v>
      </c>
      <c r="E1491">
        <f>VLOOKUP(CONCATENATE(validProjetado[[#This Row],[Tipo]],validProjetado[[#This Row],[Destino]]),validConcreto!K:O,4)</f>
        <v>5.22</v>
      </c>
    </row>
    <row r="1492" spans="1:5" hidden="1" x14ac:dyDescent="0.25">
      <c r="A1492" s="11">
        <v>38</v>
      </c>
      <c r="B1492" s="11" t="s">
        <v>2036</v>
      </c>
      <c r="C1492" s="11">
        <v>1</v>
      </c>
      <c r="D1492" t="s">
        <v>1968</v>
      </c>
      <c r="E1492">
        <f>VLOOKUP(CONCATENATE(validProjetado[[#This Row],[Tipo]],validProjetado[[#This Row],[Destino]]),validConcreto!K:O,4)</f>
        <v>5.22</v>
      </c>
    </row>
    <row r="1493" spans="1:5" hidden="1" x14ac:dyDescent="0.25">
      <c r="A1493" s="11">
        <v>39</v>
      </c>
      <c r="B1493" s="11" t="s">
        <v>2036</v>
      </c>
      <c r="C1493" s="11">
        <v>1</v>
      </c>
      <c r="D1493" t="s">
        <v>1968</v>
      </c>
      <c r="E1493">
        <f>VLOOKUP(CONCATENATE(validProjetado[[#This Row],[Tipo]],validProjetado[[#This Row],[Destino]]),validConcreto!K:O,4)</f>
        <v>5.22</v>
      </c>
    </row>
    <row r="1494" spans="1:5" hidden="1" x14ac:dyDescent="0.25">
      <c r="A1494" s="11">
        <v>40</v>
      </c>
      <c r="B1494" s="11" t="s">
        <v>2036</v>
      </c>
      <c r="C1494" s="11">
        <v>1</v>
      </c>
      <c r="D1494" t="s">
        <v>1968</v>
      </c>
      <c r="E1494">
        <f>VLOOKUP(CONCATENATE(validProjetado[[#This Row],[Tipo]],validProjetado[[#This Row],[Destino]]),validConcreto!K:O,4)</f>
        <v>5.22</v>
      </c>
    </row>
    <row r="1495" spans="1:5" hidden="1" x14ac:dyDescent="0.25">
      <c r="A1495" s="11">
        <v>41</v>
      </c>
      <c r="B1495" s="11" t="s">
        <v>2036</v>
      </c>
      <c r="C1495" s="11">
        <v>1</v>
      </c>
      <c r="D1495" t="s">
        <v>1968</v>
      </c>
      <c r="E1495">
        <f>VLOOKUP(CONCATENATE(validProjetado[[#This Row],[Tipo]],validProjetado[[#This Row],[Destino]]),validConcreto!K:O,4)</f>
        <v>5.22</v>
      </c>
    </row>
    <row r="1496" spans="1:5" hidden="1" x14ac:dyDescent="0.25">
      <c r="A1496" s="11">
        <v>42</v>
      </c>
      <c r="B1496" s="11" t="s">
        <v>2036</v>
      </c>
      <c r="C1496" s="11">
        <v>1</v>
      </c>
      <c r="D1496" t="s">
        <v>1968</v>
      </c>
      <c r="E1496">
        <f>VLOOKUP(CONCATENATE(validProjetado[[#This Row],[Tipo]],validProjetado[[#This Row],[Destino]]),validConcreto!K:O,4)</f>
        <v>5.22</v>
      </c>
    </row>
    <row r="1497" spans="1:5" hidden="1" x14ac:dyDescent="0.25">
      <c r="A1497" s="11">
        <v>43</v>
      </c>
      <c r="B1497" s="11" t="s">
        <v>2036</v>
      </c>
      <c r="C1497" s="11">
        <v>2</v>
      </c>
      <c r="D1497" t="s">
        <v>1968</v>
      </c>
      <c r="E1497">
        <f>VLOOKUP(CONCATENATE(validProjetado[[#This Row],[Tipo]],validProjetado[[#This Row],[Destino]]),validConcreto!K:O,4)</f>
        <v>6.38</v>
      </c>
    </row>
    <row r="1498" spans="1:5" hidden="1" x14ac:dyDescent="0.25">
      <c r="A1498" s="11">
        <v>44</v>
      </c>
      <c r="B1498" s="11" t="s">
        <v>2036</v>
      </c>
      <c r="C1498" s="11">
        <v>2</v>
      </c>
      <c r="D1498" t="s">
        <v>1968</v>
      </c>
      <c r="E1498">
        <f>VLOOKUP(CONCATENATE(validProjetado[[#This Row],[Tipo]],validProjetado[[#This Row],[Destino]]),validConcreto!K:O,4)</f>
        <v>6.38</v>
      </c>
    </row>
    <row r="1499" spans="1:5" hidden="1" x14ac:dyDescent="0.25">
      <c r="A1499" s="11">
        <v>45</v>
      </c>
      <c r="B1499" s="11" t="s">
        <v>2036</v>
      </c>
      <c r="C1499" s="11">
        <v>2</v>
      </c>
      <c r="D1499" t="s">
        <v>1968</v>
      </c>
      <c r="E1499">
        <f>VLOOKUP(CONCATENATE(validProjetado[[#This Row],[Tipo]],validProjetado[[#This Row],[Destino]]),validConcreto!K:O,4)</f>
        <v>6.38</v>
      </c>
    </row>
    <row r="1500" spans="1:5" hidden="1" x14ac:dyDescent="0.25">
      <c r="A1500" s="11">
        <v>46</v>
      </c>
      <c r="B1500" s="11" t="s">
        <v>2036</v>
      </c>
      <c r="C1500" s="11">
        <v>2</v>
      </c>
      <c r="D1500" t="s">
        <v>1968</v>
      </c>
      <c r="E1500">
        <f>VLOOKUP(CONCATENATE(validProjetado[[#This Row],[Tipo]],validProjetado[[#This Row],[Destino]]),validConcreto!K:O,4)</f>
        <v>6.38</v>
      </c>
    </row>
    <row r="1501" spans="1:5" hidden="1" x14ac:dyDescent="0.25">
      <c r="A1501" s="11">
        <v>47</v>
      </c>
      <c r="B1501" s="11" t="s">
        <v>2036</v>
      </c>
      <c r="C1501" s="11">
        <v>2</v>
      </c>
      <c r="D1501" t="s">
        <v>1968</v>
      </c>
      <c r="E1501">
        <f>VLOOKUP(CONCATENATE(validProjetado[[#This Row],[Tipo]],validProjetado[[#This Row],[Destino]]),validConcreto!K:O,4)</f>
        <v>6.38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FD41A-961E-49C6-86E8-A9C7B9401B2B}">
  <sheetPr codeName="Planilha9">
    <tabColor theme="0" tint="-0.499984740745262"/>
  </sheetPr>
  <dimension ref="A1:B7"/>
  <sheetViews>
    <sheetView workbookViewId="0">
      <selection activeCell="B5" sqref="B5"/>
    </sheetView>
  </sheetViews>
  <sheetFormatPr defaultRowHeight="15" x14ac:dyDescent="0.25"/>
  <cols>
    <col min="1" max="1" width="16.28515625" bestFit="1" customWidth="1"/>
    <col min="2" max="2" width="12.85546875" bestFit="1" customWidth="1"/>
  </cols>
  <sheetData>
    <row r="1" spans="1:2" x14ac:dyDescent="0.25">
      <c r="A1" t="s">
        <v>3309</v>
      </c>
      <c r="B1" t="s">
        <v>3310</v>
      </c>
    </row>
    <row r="2" spans="1:2" x14ac:dyDescent="0.25">
      <c r="A2" t="s">
        <v>27</v>
      </c>
      <c r="B2" t="s">
        <v>3311</v>
      </c>
    </row>
    <row r="3" spans="1:2" x14ac:dyDescent="0.25">
      <c r="A3" t="s">
        <v>3312</v>
      </c>
      <c r="B3" t="s">
        <v>3313</v>
      </c>
    </row>
    <row r="4" spans="1:2" x14ac:dyDescent="0.25">
      <c r="A4" t="s">
        <v>3314</v>
      </c>
      <c r="B4" t="s">
        <v>3313</v>
      </c>
    </row>
    <row r="5" spans="1:2" x14ac:dyDescent="0.25">
      <c r="A5" t="s">
        <v>3315</v>
      </c>
      <c r="B5">
        <v>100516</v>
      </c>
    </row>
    <row r="6" spans="1:2" x14ac:dyDescent="0.25">
      <c r="A6" t="s">
        <v>3316</v>
      </c>
      <c r="B6">
        <v>4002</v>
      </c>
    </row>
    <row r="7" spans="1:2" x14ac:dyDescent="0.25">
      <c r="A7" t="s">
        <v>3317</v>
      </c>
      <c r="B7" t="s">
        <v>3318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2BC6DB-0495-40F3-B229-296A798CBD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Aviso</vt:lpstr>
      <vt:lpstr>recebConcreto</vt:lpstr>
      <vt:lpstr>consConcreto</vt:lpstr>
      <vt:lpstr>resisConcreto</vt:lpstr>
      <vt:lpstr>validConcreto</vt:lpstr>
      <vt:lpstr>validEndereços</vt:lpstr>
      <vt:lpstr>validUser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planejamento02</dc:creator>
  <cp:keywords/>
  <dc:description/>
  <cp:lastModifiedBy>planejamento02</cp:lastModifiedBy>
  <cp:revision/>
  <dcterms:created xsi:type="dcterms:W3CDTF">2023-05-04T15:07:10Z</dcterms:created>
  <dcterms:modified xsi:type="dcterms:W3CDTF">2023-06-27T13:52:27Z</dcterms:modified>
  <cp:category/>
  <cp:contentStatus/>
</cp:coreProperties>
</file>